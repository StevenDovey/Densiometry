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cionresearch-my.sharepoint.com/personal/russell_mckinley_scionresearch_com/Documents/DENSITOM P drive/Wharerata densitom 2012-3/Akarana road/"/>
    </mc:Choice>
  </mc:AlternateContent>
  <xr:revisionPtr revIDLastSave="0" documentId="11_F056885D3E7988E68E18A24AE8538E51FC50394C" xr6:coauthVersionLast="47" xr6:coauthVersionMax="47" xr10:uidLastSave="{00000000-0000-0000-0000-000000000000}"/>
  <bookViews>
    <workbookView xWindow="-120" yWindow="-120" windowWidth="29040" windowHeight="15720" firstSheet="3" activeTab="7" xr2:uid="{00000000-000D-0000-FFFF-FFFF00000000}"/>
  </bookViews>
  <sheets>
    <sheet name="Sheet1" sheetId="1" r:id="rId1"/>
    <sheet name="Subtot data" sheetId="2" r:id="rId2"/>
    <sheet name="Subtot avgs" sheetId="3" r:id="rId3"/>
    <sheet name="Graph data" sheetId="4" r:id="rId4"/>
    <sheet name="Chart - 5 plots ring wid" sheetId="5" r:id="rId5"/>
    <sheet name="Chart - 5 plots basal area incr" sheetId="6" r:id="rId6"/>
    <sheet name="Chart- 5 plots basal area cumul" sheetId="7" r:id="rId7"/>
    <sheet name="Chart - 5 plots ring de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642" i="2" l="1"/>
  <c r="U1642" i="2"/>
  <c r="T1642" i="2"/>
  <c r="S1642" i="2"/>
  <c r="R1642" i="2"/>
  <c r="Q1642" i="2"/>
  <c r="P1642" i="2"/>
  <c r="O1642" i="2"/>
  <c r="N1642" i="2"/>
  <c r="M1642" i="2"/>
  <c r="L1642" i="2"/>
  <c r="K1642" i="2"/>
  <c r="J1642" i="2"/>
  <c r="I1642" i="2"/>
  <c r="H1642" i="2"/>
  <c r="G1642" i="2"/>
  <c r="F1642" i="2"/>
  <c r="E1642" i="2"/>
  <c r="D1642" i="2"/>
  <c r="V1630" i="2"/>
  <c r="U1630" i="2"/>
  <c r="T1630" i="2"/>
  <c r="S1630" i="2"/>
  <c r="R1630" i="2"/>
  <c r="Q1630" i="2"/>
  <c r="P1630" i="2"/>
  <c r="O1630" i="2"/>
  <c r="N1630" i="2"/>
  <c r="M1630" i="2"/>
  <c r="L1630" i="2"/>
  <c r="K1630" i="2"/>
  <c r="J1630" i="2"/>
  <c r="I1630" i="2"/>
  <c r="H1630" i="2"/>
  <c r="G1630" i="2"/>
  <c r="F1630" i="2"/>
  <c r="E1630" i="2"/>
  <c r="D1630" i="2"/>
  <c r="V1618" i="2"/>
  <c r="U1618" i="2"/>
  <c r="T1618" i="2"/>
  <c r="S1618" i="2"/>
  <c r="R1618" i="2"/>
  <c r="Q1618" i="2"/>
  <c r="P1618" i="2"/>
  <c r="O1618" i="2"/>
  <c r="N1618" i="2"/>
  <c r="M1618" i="2"/>
  <c r="L1618" i="2"/>
  <c r="K1618" i="2"/>
  <c r="J1618" i="2"/>
  <c r="I1618" i="2"/>
  <c r="H1618" i="2"/>
  <c r="G1618" i="2"/>
  <c r="F1618" i="2"/>
  <c r="E1618" i="2"/>
  <c r="D1618" i="2"/>
  <c r="V1606" i="2"/>
  <c r="U1606" i="2"/>
  <c r="T1606" i="2"/>
  <c r="S1606" i="2"/>
  <c r="R1606" i="2"/>
  <c r="Q1606" i="2"/>
  <c r="P1606" i="2"/>
  <c r="O1606" i="2"/>
  <c r="N1606" i="2"/>
  <c r="M1606" i="2"/>
  <c r="L1606" i="2"/>
  <c r="K1606" i="2"/>
  <c r="J1606" i="2"/>
  <c r="I1606" i="2"/>
  <c r="H1606" i="2"/>
  <c r="G1606" i="2"/>
  <c r="F1606" i="2"/>
  <c r="E1606" i="2"/>
  <c r="D1606" i="2"/>
  <c r="V1594" i="2"/>
  <c r="U1594" i="2"/>
  <c r="T1594" i="2"/>
  <c r="S1594" i="2"/>
  <c r="R1594" i="2"/>
  <c r="Q1594" i="2"/>
  <c r="P1594" i="2"/>
  <c r="O1594" i="2"/>
  <c r="N1594" i="2"/>
  <c r="M1594" i="2"/>
  <c r="L1594" i="2"/>
  <c r="K1594" i="2"/>
  <c r="J1594" i="2"/>
  <c r="I1594" i="2"/>
  <c r="H1594" i="2"/>
  <c r="G1594" i="2"/>
  <c r="F1594" i="2"/>
  <c r="E1594" i="2"/>
  <c r="D1594" i="2"/>
  <c r="V1582" i="2"/>
  <c r="U1582" i="2"/>
  <c r="T1582" i="2"/>
  <c r="S1582" i="2"/>
  <c r="R1582" i="2"/>
  <c r="Q1582" i="2"/>
  <c r="P1582" i="2"/>
  <c r="O1582" i="2"/>
  <c r="N1582" i="2"/>
  <c r="M1582" i="2"/>
  <c r="L1582" i="2"/>
  <c r="K1582" i="2"/>
  <c r="J1582" i="2"/>
  <c r="I1582" i="2"/>
  <c r="H1582" i="2"/>
  <c r="G1582" i="2"/>
  <c r="F1582" i="2"/>
  <c r="E1582" i="2"/>
  <c r="D1582" i="2"/>
  <c r="V1570" i="2"/>
  <c r="U1570" i="2"/>
  <c r="T1570" i="2"/>
  <c r="S1570" i="2"/>
  <c r="R1570" i="2"/>
  <c r="Q1570" i="2"/>
  <c r="P1570" i="2"/>
  <c r="O1570" i="2"/>
  <c r="N1570" i="2"/>
  <c r="M1570" i="2"/>
  <c r="L1570" i="2"/>
  <c r="K1570" i="2"/>
  <c r="J1570" i="2"/>
  <c r="I1570" i="2"/>
  <c r="H1570" i="2"/>
  <c r="G1570" i="2"/>
  <c r="F1570" i="2"/>
  <c r="E1570" i="2"/>
  <c r="D1570" i="2"/>
  <c r="V1558" i="2"/>
  <c r="U1558" i="2"/>
  <c r="T1558" i="2"/>
  <c r="S1558" i="2"/>
  <c r="R1558" i="2"/>
  <c r="Q1558" i="2"/>
  <c r="P1558" i="2"/>
  <c r="O1558" i="2"/>
  <c r="N1558" i="2"/>
  <c r="M1558" i="2"/>
  <c r="L1558" i="2"/>
  <c r="K1558" i="2"/>
  <c r="J1558" i="2"/>
  <c r="I1558" i="2"/>
  <c r="H1558" i="2"/>
  <c r="G1558" i="2"/>
  <c r="F1558" i="2"/>
  <c r="E1558" i="2"/>
  <c r="D1558" i="2"/>
  <c r="V1546" i="2"/>
  <c r="U1546" i="2"/>
  <c r="T1546" i="2"/>
  <c r="S1546" i="2"/>
  <c r="R1546" i="2"/>
  <c r="Q1546" i="2"/>
  <c r="P1546" i="2"/>
  <c r="O1546" i="2"/>
  <c r="N1546" i="2"/>
  <c r="M1546" i="2"/>
  <c r="L1546" i="2"/>
  <c r="K1546" i="2"/>
  <c r="J1546" i="2"/>
  <c r="I1546" i="2"/>
  <c r="H1546" i="2"/>
  <c r="G1546" i="2"/>
  <c r="F1546" i="2"/>
  <c r="E1546" i="2"/>
  <c r="D1546" i="2"/>
  <c r="V1534" i="2"/>
  <c r="U1534" i="2"/>
  <c r="T1534" i="2"/>
  <c r="S1534" i="2"/>
  <c r="R1534" i="2"/>
  <c r="Q1534" i="2"/>
  <c r="P1534" i="2"/>
  <c r="O1534" i="2"/>
  <c r="N1534" i="2"/>
  <c r="M1534" i="2"/>
  <c r="L1534" i="2"/>
  <c r="K1534" i="2"/>
  <c r="J1534" i="2"/>
  <c r="I1534" i="2"/>
  <c r="H1534" i="2"/>
  <c r="G1534" i="2"/>
  <c r="F1534" i="2"/>
  <c r="E1534" i="2"/>
  <c r="D1534" i="2"/>
  <c r="V1522" i="2"/>
  <c r="U1522" i="2"/>
  <c r="T1522" i="2"/>
  <c r="S1522" i="2"/>
  <c r="R1522" i="2"/>
  <c r="Q1522" i="2"/>
  <c r="P1522" i="2"/>
  <c r="O1522" i="2"/>
  <c r="N1522" i="2"/>
  <c r="M1522" i="2"/>
  <c r="L1522" i="2"/>
  <c r="K1522" i="2"/>
  <c r="J1522" i="2"/>
  <c r="I1522" i="2"/>
  <c r="H1522" i="2"/>
  <c r="G1522" i="2"/>
  <c r="F1522" i="2"/>
  <c r="E1522" i="2"/>
  <c r="D1522" i="2"/>
  <c r="V1510" i="2"/>
  <c r="U1510" i="2"/>
  <c r="T1510" i="2"/>
  <c r="S1510" i="2"/>
  <c r="R1510" i="2"/>
  <c r="Q1510" i="2"/>
  <c r="P1510" i="2"/>
  <c r="O1510" i="2"/>
  <c r="N1510" i="2"/>
  <c r="M1510" i="2"/>
  <c r="L1510" i="2"/>
  <c r="K1510" i="2"/>
  <c r="J1510" i="2"/>
  <c r="I1510" i="2"/>
  <c r="H1510" i="2"/>
  <c r="G1510" i="2"/>
  <c r="F1510" i="2"/>
  <c r="E1510" i="2"/>
  <c r="D1510" i="2"/>
  <c r="V1498" i="2"/>
  <c r="U1498" i="2"/>
  <c r="T1498" i="2"/>
  <c r="S1498" i="2"/>
  <c r="R1498" i="2"/>
  <c r="Q1498" i="2"/>
  <c r="P1498" i="2"/>
  <c r="O1498" i="2"/>
  <c r="N1498" i="2"/>
  <c r="M1498" i="2"/>
  <c r="L1498" i="2"/>
  <c r="K1498" i="2"/>
  <c r="J1498" i="2"/>
  <c r="I1498" i="2"/>
  <c r="H1498" i="2"/>
  <c r="G1498" i="2"/>
  <c r="F1498" i="2"/>
  <c r="E1498" i="2"/>
  <c r="D1498" i="2"/>
  <c r="V1486" i="2"/>
  <c r="U1486" i="2"/>
  <c r="T1486" i="2"/>
  <c r="S1486" i="2"/>
  <c r="R1486" i="2"/>
  <c r="Q1486" i="2"/>
  <c r="P1486" i="2"/>
  <c r="O1486" i="2"/>
  <c r="N1486" i="2"/>
  <c r="M1486" i="2"/>
  <c r="L1486" i="2"/>
  <c r="K1486" i="2"/>
  <c r="J1486" i="2"/>
  <c r="I1486" i="2"/>
  <c r="H1486" i="2"/>
  <c r="G1486" i="2"/>
  <c r="F1486" i="2"/>
  <c r="E1486" i="2"/>
  <c r="D1486" i="2"/>
  <c r="V1474" i="2"/>
  <c r="U1474" i="2"/>
  <c r="T1474" i="2"/>
  <c r="S1474" i="2"/>
  <c r="R1474" i="2"/>
  <c r="Q1474" i="2"/>
  <c r="P1474" i="2"/>
  <c r="O1474" i="2"/>
  <c r="N1474" i="2"/>
  <c r="M1474" i="2"/>
  <c r="L1474" i="2"/>
  <c r="K1474" i="2"/>
  <c r="J1474" i="2"/>
  <c r="I1474" i="2"/>
  <c r="H1474" i="2"/>
  <c r="G1474" i="2"/>
  <c r="F1474" i="2"/>
  <c r="E1474" i="2"/>
  <c r="D1474" i="2"/>
  <c r="V1462" i="2"/>
  <c r="U1462" i="2"/>
  <c r="T1462" i="2"/>
  <c r="S1462" i="2"/>
  <c r="R1462" i="2"/>
  <c r="Q1462" i="2"/>
  <c r="P1462" i="2"/>
  <c r="O1462" i="2"/>
  <c r="N1462" i="2"/>
  <c r="M1462" i="2"/>
  <c r="L1462" i="2"/>
  <c r="K1462" i="2"/>
  <c r="J1462" i="2"/>
  <c r="I1462" i="2"/>
  <c r="H1462" i="2"/>
  <c r="G1462" i="2"/>
  <c r="F1462" i="2"/>
  <c r="E1462" i="2"/>
  <c r="D1462" i="2"/>
  <c r="V1450" i="2"/>
  <c r="U1450" i="2"/>
  <c r="T1450" i="2"/>
  <c r="S1450" i="2"/>
  <c r="R1450" i="2"/>
  <c r="Q1450" i="2"/>
  <c r="P1450" i="2"/>
  <c r="O1450" i="2"/>
  <c r="N1450" i="2"/>
  <c r="M1450" i="2"/>
  <c r="L1450" i="2"/>
  <c r="K1450" i="2"/>
  <c r="J1450" i="2"/>
  <c r="I1450" i="2"/>
  <c r="H1450" i="2"/>
  <c r="G1450" i="2"/>
  <c r="F1450" i="2"/>
  <c r="E1450" i="2"/>
  <c r="D1450" i="2"/>
  <c r="V1438" i="2"/>
  <c r="U1438" i="2"/>
  <c r="T1438" i="2"/>
  <c r="S1438" i="2"/>
  <c r="R1438" i="2"/>
  <c r="Q1438" i="2"/>
  <c r="P1438" i="2"/>
  <c r="O1438" i="2"/>
  <c r="N1438" i="2"/>
  <c r="M1438" i="2"/>
  <c r="L1438" i="2"/>
  <c r="K1438" i="2"/>
  <c r="J1438" i="2"/>
  <c r="I1438" i="2"/>
  <c r="H1438" i="2"/>
  <c r="G1438" i="2"/>
  <c r="F1438" i="2"/>
  <c r="E1438" i="2"/>
  <c r="D1438" i="2"/>
  <c r="V1426" i="2"/>
  <c r="U1426" i="2"/>
  <c r="T1426" i="2"/>
  <c r="S1426" i="2"/>
  <c r="R1426" i="2"/>
  <c r="Q1426" i="2"/>
  <c r="P1426" i="2"/>
  <c r="O1426" i="2"/>
  <c r="N1426" i="2"/>
  <c r="M1426" i="2"/>
  <c r="L1426" i="2"/>
  <c r="K1426" i="2"/>
  <c r="J1426" i="2"/>
  <c r="I1426" i="2"/>
  <c r="H1426" i="2"/>
  <c r="G1426" i="2"/>
  <c r="F1426" i="2"/>
  <c r="E1426" i="2"/>
  <c r="D1426" i="2"/>
  <c r="V1414" i="2"/>
  <c r="U1414" i="2"/>
  <c r="T1414" i="2"/>
  <c r="S1414" i="2"/>
  <c r="R1414" i="2"/>
  <c r="Q1414" i="2"/>
  <c r="P1414" i="2"/>
  <c r="O1414" i="2"/>
  <c r="N1414" i="2"/>
  <c r="M1414" i="2"/>
  <c r="L1414" i="2"/>
  <c r="K1414" i="2"/>
  <c r="J1414" i="2"/>
  <c r="I1414" i="2"/>
  <c r="H1414" i="2"/>
  <c r="G1414" i="2"/>
  <c r="F1414" i="2"/>
  <c r="E1414" i="2"/>
  <c r="D1414" i="2"/>
  <c r="V1402" i="2"/>
  <c r="U1402" i="2"/>
  <c r="T1402" i="2"/>
  <c r="S1402" i="2"/>
  <c r="R1402" i="2"/>
  <c r="Q1402" i="2"/>
  <c r="P1402" i="2"/>
  <c r="O1402" i="2"/>
  <c r="N1402" i="2"/>
  <c r="M1402" i="2"/>
  <c r="L1402" i="2"/>
  <c r="K1402" i="2"/>
  <c r="J1402" i="2"/>
  <c r="I1402" i="2"/>
  <c r="H1402" i="2"/>
  <c r="G1402" i="2"/>
  <c r="F1402" i="2"/>
  <c r="E1402" i="2"/>
  <c r="D1402" i="2"/>
  <c r="V1390" i="2"/>
  <c r="U1390" i="2"/>
  <c r="T1390" i="2"/>
  <c r="S1390" i="2"/>
  <c r="R1390" i="2"/>
  <c r="Q1390" i="2"/>
  <c r="P1390" i="2"/>
  <c r="O1390" i="2"/>
  <c r="N1390" i="2"/>
  <c r="M1390" i="2"/>
  <c r="L1390" i="2"/>
  <c r="K1390" i="2"/>
  <c r="J1390" i="2"/>
  <c r="I1390" i="2"/>
  <c r="H1390" i="2"/>
  <c r="G1390" i="2"/>
  <c r="F1390" i="2"/>
  <c r="E1390" i="2"/>
  <c r="D1390" i="2"/>
  <c r="V1378" i="2"/>
  <c r="U1378" i="2"/>
  <c r="T1378" i="2"/>
  <c r="S1378" i="2"/>
  <c r="R1378" i="2"/>
  <c r="Q1378" i="2"/>
  <c r="P1378" i="2"/>
  <c r="O1378" i="2"/>
  <c r="N1378" i="2"/>
  <c r="M1378" i="2"/>
  <c r="L1378" i="2"/>
  <c r="K1378" i="2"/>
  <c r="J1378" i="2"/>
  <c r="I1378" i="2"/>
  <c r="H1378" i="2"/>
  <c r="G1378" i="2"/>
  <c r="F1378" i="2"/>
  <c r="E1378" i="2"/>
  <c r="D1378" i="2"/>
  <c r="V1367" i="2"/>
  <c r="U1367" i="2"/>
  <c r="T1367" i="2"/>
  <c r="S1367" i="2"/>
  <c r="R1367" i="2"/>
  <c r="Q1367" i="2"/>
  <c r="P1367" i="2"/>
  <c r="O1367" i="2"/>
  <c r="N1367" i="2"/>
  <c r="M1367" i="2"/>
  <c r="L1367" i="2"/>
  <c r="K1367" i="2"/>
  <c r="J1367" i="2"/>
  <c r="I1367" i="2"/>
  <c r="H1367" i="2"/>
  <c r="G1367" i="2"/>
  <c r="F1367" i="2"/>
  <c r="E1367" i="2"/>
  <c r="D1367" i="2"/>
  <c r="V1358" i="2"/>
  <c r="U1358" i="2"/>
  <c r="T1358" i="2"/>
  <c r="S1358" i="2"/>
  <c r="R1358" i="2"/>
  <c r="Q1358" i="2"/>
  <c r="P1358" i="2"/>
  <c r="O1358" i="2"/>
  <c r="N1358" i="2"/>
  <c r="M1358" i="2"/>
  <c r="L1358" i="2"/>
  <c r="K1358" i="2"/>
  <c r="J1358" i="2"/>
  <c r="I1358" i="2"/>
  <c r="H1358" i="2"/>
  <c r="G1358" i="2"/>
  <c r="F1358" i="2"/>
  <c r="E1358" i="2"/>
  <c r="D1358" i="2"/>
  <c r="V1350" i="2"/>
  <c r="U1350" i="2"/>
  <c r="T1350" i="2"/>
  <c r="S1350" i="2"/>
  <c r="R1350" i="2"/>
  <c r="Q1350" i="2"/>
  <c r="P1350" i="2"/>
  <c r="O1350" i="2"/>
  <c r="N1350" i="2"/>
  <c r="M1350" i="2"/>
  <c r="L1350" i="2"/>
  <c r="K1350" i="2"/>
  <c r="J1350" i="2"/>
  <c r="I1350" i="2"/>
  <c r="H1350" i="2"/>
  <c r="G1350" i="2"/>
  <c r="F1350" i="2"/>
  <c r="E1350" i="2"/>
  <c r="D1350" i="2"/>
  <c r="V1344" i="2"/>
  <c r="U1344" i="2"/>
  <c r="T1344" i="2"/>
  <c r="S1344" i="2"/>
  <c r="R1344" i="2"/>
  <c r="Q1344" i="2"/>
  <c r="P1344" i="2"/>
  <c r="O1344" i="2"/>
  <c r="N1344" i="2"/>
  <c r="M1344" i="2"/>
  <c r="L1344" i="2"/>
  <c r="K1344" i="2"/>
  <c r="J1344" i="2"/>
  <c r="I1344" i="2"/>
  <c r="H1344" i="2"/>
  <c r="G1344" i="2"/>
  <c r="F1344" i="2"/>
  <c r="E1344" i="2"/>
  <c r="D1344" i="2"/>
  <c r="V1335" i="2"/>
  <c r="U1335" i="2"/>
  <c r="T1335" i="2"/>
  <c r="S1335" i="2"/>
  <c r="R1335" i="2"/>
  <c r="Q1335" i="2"/>
  <c r="P1335" i="2"/>
  <c r="O1335" i="2"/>
  <c r="N1335" i="2"/>
  <c r="M1335" i="2"/>
  <c r="L1335" i="2"/>
  <c r="K1335" i="2"/>
  <c r="J1335" i="2"/>
  <c r="I1335" i="2"/>
  <c r="H1335" i="2"/>
  <c r="G1335" i="2"/>
  <c r="F1335" i="2"/>
  <c r="E1335" i="2"/>
  <c r="D1335" i="2"/>
  <c r="V1326" i="2"/>
  <c r="U1326" i="2"/>
  <c r="T1326" i="2"/>
  <c r="S1326" i="2"/>
  <c r="R1326" i="2"/>
  <c r="Q1326" i="2"/>
  <c r="P1326" i="2"/>
  <c r="O1326" i="2"/>
  <c r="N1326" i="2"/>
  <c r="M1326" i="2"/>
  <c r="L1326" i="2"/>
  <c r="K1326" i="2"/>
  <c r="J1326" i="2"/>
  <c r="I1326" i="2"/>
  <c r="H1326" i="2"/>
  <c r="G1326" i="2"/>
  <c r="F1326" i="2"/>
  <c r="E1326" i="2"/>
  <c r="D1326" i="2"/>
  <c r="V1317" i="2"/>
  <c r="U1317" i="2"/>
  <c r="T1317" i="2"/>
  <c r="S1317" i="2"/>
  <c r="R1317" i="2"/>
  <c r="Q1317" i="2"/>
  <c r="P1317" i="2"/>
  <c r="O1317" i="2"/>
  <c r="N1317" i="2"/>
  <c r="M1317" i="2"/>
  <c r="L1317" i="2"/>
  <c r="K1317" i="2"/>
  <c r="J1317" i="2"/>
  <c r="I1317" i="2"/>
  <c r="H1317" i="2"/>
  <c r="G1317" i="2"/>
  <c r="F1317" i="2"/>
  <c r="E1317" i="2"/>
  <c r="D1317" i="2"/>
  <c r="V1308" i="2"/>
  <c r="U1308" i="2"/>
  <c r="T1308" i="2"/>
  <c r="S1308" i="2"/>
  <c r="R1308" i="2"/>
  <c r="Q1308" i="2"/>
  <c r="P1308" i="2"/>
  <c r="O1308" i="2"/>
  <c r="N1308" i="2"/>
  <c r="M1308" i="2"/>
  <c r="L1308" i="2"/>
  <c r="K1308" i="2"/>
  <c r="J1308" i="2"/>
  <c r="I1308" i="2"/>
  <c r="H1308" i="2"/>
  <c r="G1308" i="2"/>
  <c r="F1308" i="2"/>
  <c r="E1308" i="2"/>
  <c r="D1308" i="2"/>
  <c r="V1299" i="2"/>
  <c r="U1299" i="2"/>
  <c r="T1299" i="2"/>
  <c r="S1299" i="2"/>
  <c r="R1299" i="2"/>
  <c r="Q1299" i="2"/>
  <c r="P1299" i="2"/>
  <c r="O1299" i="2"/>
  <c r="N1299" i="2"/>
  <c r="M1299" i="2"/>
  <c r="L1299" i="2"/>
  <c r="K1299" i="2"/>
  <c r="J1299" i="2"/>
  <c r="I1299" i="2"/>
  <c r="H1299" i="2"/>
  <c r="G1299" i="2"/>
  <c r="F1299" i="2"/>
  <c r="E1299" i="2"/>
  <c r="D1299" i="2"/>
  <c r="V1289" i="2"/>
  <c r="U1289" i="2"/>
  <c r="T1289" i="2"/>
  <c r="S1289" i="2"/>
  <c r="R1289" i="2"/>
  <c r="Q1289" i="2"/>
  <c r="P1289" i="2"/>
  <c r="O1289" i="2"/>
  <c r="N1289" i="2"/>
  <c r="M1289" i="2"/>
  <c r="L1289" i="2"/>
  <c r="K1289" i="2"/>
  <c r="J1289" i="2"/>
  <c r="I1289" i="2"/>
  <c r="H1289" i="2"/>
  <c r="G1289" i="2"/>
  <c r="F1289" i="2"/>
  <c r="E1289" i="2"/>
  <c r="D1289" i="2"/>
  <c r="V1279" i="2"/>
  <c r="U1279" i="2"/>
  <c r="T1279" i="2"/>
  <c r="S1279" i="2"/>
  <c r="R1279" i="2"/>
  <c r="Q1279" i="2"/>
  <c r="P1279" i="2"/>
  <c r="O1279" i="2"/>
  <c r="N1279" i="2"/>
  <c r="M1279" i="2"/>
  <c r="L1279" i="2"/>
  <c r="K1279" i="2"/>
  <c r="J1279" i="2"/>
  <c r="I1279" i="2"/>
  <c r="H1279" i="2"/>
  <c r="G1279" i="2"/>
  <c r="F1279" i="2"/>
  <c r="E1279" i="2"/>
  <c r="D1279" i="2"/>
  <c r="V1269" i="2"/>
  <c r="U1269" i="2"/>
  <c r="T1269" i="2"/>
  <c r="S1269" i="2"/>
  <c r="R1269" i="2"/>
  <c r="Q1269" i="2"/>
  <c r="P1269" i="2"/>
  <c r="O1269" i="2"/>
  <c r="N1269" i="2"/>
  <c r="M1269" i="2"/>
  <c r="L1269" i="2"/>
  <c r="K1269" i="2"/>
  <c r="J1269" i="2"/>
  <c r="I1269" i="2"/>
  <c r="H1269" i="2"/>
  <c r="G1269" i="2"/>
  <c r="F1269" i="2"/>
  <c r="E1269" i="2"/>
  <c r="D1269" i="2"/>
  <c r="V1258" i="2"/>
  <c r="U1258" i="2"/>
  <c r="T1258" i="2"/>
  <c r="S1258" i="2"/>
  <c r="R1258" i="2"/>
  <c r="Q1258" i="2"/>
  <c r="P1258" i="2"/>
  <c r="O1258" i="2"/>
  <c r="N1258" i="2"/>
  <c r="M1258" i="2"/>
  <c r="L1258" i="2"/>
  <c r="K1258" i="2"/>
  <c r="J1258" i="2"/>
  <c r="I1258" i="2"/>
  <c r="H1258" i="2"/>
  <c r="G1258" i="2"/>
  <c r="F1258" i="2"/>
  <c r="E1258" i="2"/>
  <c r="D1258" i="2"/>
  <c r="V1247" i="2"/>
  <c r="U1247" i="2"/>
  <c r="T1247" i="2"/>
  <c r="S1247" i="2"/>
  <c r="R1247" i="2"/>
  <c r="Q1247" i="2"/>
  <c r="P1247" i="2"/>
  <c r="O1247" i="2"/>
  <c r="N1247" i="2"/>
  <c r="M1247" i="2"/>
  <c r="L1247" i="2"/>
  <c r="K1247" i="2"/>
  <c r="J1247" i="2"/>
  <c r="I1247" i="2"/>
  <c r="H1247" i="2"/>
  <c r="G1247" i="2"/>
  <c r="F1247" i="2"/>
  <c r="E1247" i="2"/>
  <c r="D1247" i="2"/>
  <c r="V1236" i="2"/>
  <c r="U1236" i="2"/>
  <c r="T1236" i="2"/>
  <c r="S1236" i="2"/>
  <c r="R1236" i="2"/>
  <c r="Q1236" i="2"/>
  <c r="P1236" i="2"/>
  <c r="O1236" i="2"/>
  <c r="N1236" i="2"/>
  <c r="M1236" i="2"/>
  <c r="L1236" i="2"/>
  <c r="K1236" i="2"/>
  <c r="J1236" i="2"/>
  <c r="I1236" i="2"/>
  <c r="H1236" i="2"/>
  <c r="G1236" i="2"/>
  <c r="F1236" i="2"/>
  <c r="E1236" i="2"/>
  <c r="D1236" i="2"/>
  <c r="V1225" i="2"/>
  <c r="U1225" i="2"/>
  <c r="T1225" i="2"/>
  <c r="S1225" i="2"/>
  <c r="R1225" i="2"/>
  <c r="Q1225" i="2"/>
  <c r="P1225" i="2"/>
  <c r="O1225" i="2"/>
  <c r="N1225" i="2"/>
  <c r="M1225" i="2"/>
  <c r="L1225" i="2"/>
  <c r="K1225" i="2"/>
  <c r="J1225" i="2"/>
  <c r="I1225" i="2"/>
  <c r="H1225" i="2"/>
  <c r="G1225" i="2"/>
  <c r="F1225" i="2"/>
  <c r="E1225" i="2"/>
  <c r="D1225" i="2"/>
  <c r="V1214" i="2"/>
  <c r="U1214" i="2"/>
  <c r="T1214" i="2"/>
  <c r="S1214" i="2"/>
  <c r="R1214" i="2"/>
  <c r="Q1214" i="2"/>
  <c r="P1214" i="2"/>
  <c r="O1214" i="2"/>
  <c r="N1214" i="2"/>
  <c r="M1214" i="2"/>
  <c r="L1214" i="2"/>
  <c r="K1214" i="2"/>
  <c r="J1214" i="2"/>
  <c r="I1214" i="2"/>
  <c r="H1214" i="2"/>
  <c r="G1214" i="2"/>
  <c r="F1214" i="2"/>
  <c r="E1214" i="2"/>
  <c r="D1214" i="2"/>
  <c r="V1203" i="2"/>
  <c r="U1203" i="2"/>
  <c r="T1203" i="2"/>
  <c r="S1203" i="2"/>
  <c r="R1203" i="2"/>
  <c r="Q1203" i="2"/>
  <c r="P1203" i="2"/>
  <c r="O1203" i="2"/>
  <c r="N1203" i="2"/>
  <c r="M1203" i="2"/>
  <c r="L1203" i="2"/>
  <c r="K1203" i="2"/>
  <c r="J1203" i="2"/>
  <c r="I1203" i="2"/>
  <c r="H1203" i="2"/>
  <c r="G1203" i="2"/>
  <c r="F1203" i="2"/>
  <c r="E1203" i="2"/>
  <c r="D1203" i="2"/>
  <c r="V1192" i="2"/>
  <c r="U1192" i="2"/>
  <c r="T1192" i="2"/>
  <c r="S1192" i="2"/>
  <c r="R1192" i="2"/>
  <c r="Q1192" i="2"/>
  <c r="P1192" i="2"/>
  <c r="O1192" i="2"/>
  <c r="N1192" i="2"/>
  <c r="M1192" i="2"/>
  <c r="L1192" i="2"/>
  <c r="K1192" i="2"/>
  <c r="J1192" i="2"/>
  <c r="I1192" i="2"/>
  <c r="H1192" i="2"/>
  <c r="G1192" i="2"/>
  <c r="F1192" i="2"/>
  <c r="E1192" i="2"/>
  <c r="D1192" i="2"/>
  <c r="V1181" i="2"/>
  <c r="U1181" i="2"/>
  <c r="T1181" i="2"/>
  <c r="S1181" i="2"/>
  <c r="R1181" i="2"/>
  <c r="Q1181" i="2"/>
  <c r="P1181" i="2"/>
  <c r="O1181" i="2"/>
  <c r="N1181" i="2"/>
  <c r="M1181" i="2"/>
  <c r="L1181" i="2"/>
  <c r="K1181" i="2"/>
  <c r="J1181" i="2"/>
  <c r="I1181" i="2"/>
  <c r="H1181" i="2"/>
  <c r="G1181" i="2"/>
  <c r="F1181" i="2"/>
  <c r="E1181" i="2"/>
  <c r="D1181" i="2"/>
  <c r="V1170" i="2"/>
  <c r="U1170" i="2"/>
  <c r="T1170" i="2"/>
  <c r="S1170" i="2"/>
  <c r="R1170" i="2"/>
  <c r="Q1170" i="2"/>
  <c r="P1170" i="2"/>
  <c r="O1170" i="2"/>
  <c r="N1170" i="2"/>
  <c r="M1170" i="2"/>
  <c r="L1170" i="2"/>
  <c r="K1170" i="2"/>
  <c r="J1170" i="2"/>
  <c r="I1170" i="2"/>
  <c r="H1170" i="2"/>
  <c r="G1170" i="2"/>
  <c r="F1170" i="2"/>
  <c r="E1170" i="2"/>
  <c r="D1170" i="2"/>
  <c r="V1159" i="2"/>
  <c r="U1159" i="2"/>
  <c r="T1159" i="2"/>
  <c r="S1159" i="2"/>
  <c r="R1159" i="2"/>
  <c r="Q1159" i="2"/>
  <c r="P1159" i="2"/>
  <c r="O1159" i="2"/>
  <c r="N1159" i="2"/>
  <c r="M1159" i="2"/>
  <c r="L1159" i="2"/>
  <c r="K1159" i="2"/>
  <c r="J1159" i="2"/>
  <c r="I1159" i="2"/>
  <c r="H1159" i="2"/>
  <c r="G1159" i="2"/>
  <c r="F1159" i="2"/>
  <c r="E1159" i="2"/>
  <c r="D1159" i="2"/>
  <c r="V1148" i="2"/>
  <c r="U1148" i="2"/>
  <c r="T1148" i="2"/>
  <c r="S1148" i="2"/>
  <c r="R1148" i="2"/>
  <c r="Q1148" i="2"/>
  <c r="P1148" i="2"/>
  <c r="O1148" i="2"/>
  <c r="N1148" i="2"/>
  <c r="M1148" i="2"/>
  <c r="L1148" i="2"/>
  <c r="K1148" i="2"/>
  <c r="J1148" i="2"/>
  <c r="I1148" i="2"/>
  <c r="H1148" i="2"/>
  <c r="G1148" i="2"/>
  <c r="F1148" i="2"/>
  <c r="E1148" i="2"/>
  <c r="D1148" i="2"/>
  <c r="V1137" i="2"/>
  <c r="U1137" i="2"/>
  <c r="T1137" i="2"/>
  <c r="S1137" i="2"/>
  <c r="R1137" i="2"/>
  <c r="Q1137" i="2"/>
  <c r="P1137" i="2"/>
  <c r="O1137" i="2"/>
  <c r="N1137" i="2"/>
  <c r="M1137" i="2"/>
  <c r="L1137" i="2"/>
  <c r="K1137" i="2"/>
  <c r="J1137" i="2"/>
  <c r="I1137" i="2"/>
  <c r="H1137" i="2"/>
  <c r="G1137" i="2"/>
  <c r="F1137" i="2"/>
  <c r="E1137" i="2"/>
  <c r="D1137" i="2"/>
  <c r="V1126" i="2"/>
  <c r="U1126" i="2"/>
  <c r="T1126" i="2"/>
  <c r="S1126" i="2"/>
  <c r="R1126" i="2"/>
  <c r="Q1126" i="2"/>
  <c r="P1126" i="2"/>
  <c r="O1126" i="2"/>
  <c r="N1126" i="2"/>
  <c r="M1126" i="2"/>
  <c r="L1126" i="2"/>
  <c r="K1126" i="2"/>
  <c r="J1126" i="2"/>
  <c r="I1126" i="2"/>
  <c r="H1126" i="2"/>
  <c r="G1126" i="2"/>
  <c r="F1126" i="2"/>
  <c r="E1126" i="2"/>
  <c r="D1126" i="2"/>
  <c r="V1115" i="2"/>
  <c r="U1115" i="2"/>
  <c r="T1115" i="2"/>
  <c r="S1115" i="2"/>
  <c r="R1115" i="2"/>
  <c r="Q1115" i="2"/>
  <c r="P1115" i="2"/>
  <c r="O1115" i="2"/>
  <c r="N1115" i="2"/>
  <c r="M1115" i="2"/>
  <c r="L1115" i="2"/>
  <c r="K1115" i="2"/>
  <c r="J1115" i="2"/>
  <c r="I1115" i="2"/>
  <c r="H1115" i="2"/>
  <c r="G1115" i="2"/>
  <c r="F1115" i="2"/>
  <c r="E1115" i="2"/>
  <c r="D1115" i="2"/>
  <c r="V1104" i="2"/>
  <c r="U1104" i="2"/>
  <c r="T1104" i="2"/>
  <c r="S1104" i="2"/>
  <c r="R1104" i="2"/>
  <c r="Q1104" i="2"/>
  <c r="P1104" i="2"/>
  <c r="O1104" i="2"/>
  <c r="N1104" i="2"/>
  <c r="M1104" i="2"/>
  <c r="L1104" i="2"/>
  <c r="K1104" i="2"/>
  <c r="J1104" i="2"/>
  <c r="I1104" i="2"/>
  <c r="H1104" i="2"/>
  <c r="G1104" i="2"/>
  <c r="F1104" i="2"/>
  <c r="E1104" i="2"/>
  <c r="D1104" i="2"/>
  <c r="V1093" i="2"/>
  <c r="U1093" i="2"/>
  <c r="T1093" i="2"/>
  <c r="S1093" i="2"/>
  <c r="R1093" i="2"/>
  <c r="Q1093" i="2"/>
  <c r="P1093" i="2"/>
  <c r="O1093" i="2"/>
  <c r="N1093" i="2"/>
  <c r="M1093" i="2"/>
  <c r="L1093" i="2"/>
  <c r="K1093" i="2"/>
  <c r="J1093" i="2"/>
  <c r="I1093" i="2"/>
  <c r="H1093" i="2"/>
  <c r="G1093" i="2"/>
  <c r="F1093" i="2"/>
  <c r="E1093" i="2"/>
  <c r="D1093" i="2"/>
  <c r="V1082" i="2"/>
  <c r="U1082" i="2"/>
  <c r="T1082" i="2"/>
  <c r="S1082" i="2"/>
  <c r="R1082" i="2"/>
  <c r="Q1082" i="2"/>
  <c r="P1082" i="2"/>
  <c r="O1082" i="2"/>
  <c r="N1082" i="2"/>
  <c r="M1082" i="2"/>
  <c r="L1082" i="2"/>
  <c r="K1082" i="2"/>
  <c r="J1082" i="2"/>
  <c r="I1082" i="2"/>
  <c r="H1082" i="2"/>
  <c r="G1082" i="2"/>
  <c r="F1082" i="2"/>
  <c r="E1082" i="2"/>
  <c r="D1082" i="2"/>
  <c r="V1072" i="2"/>
  <c r="U1072" i="2"/>
  <c r="T1072" i="2"/>
  <c r="S1072" i="2"/>
  <c r="R1072" i="2"/>
  <c r="Q1072" i="2"/>
  <c r="P1072" i="2"/>
  <c r="O1072" i="2"/>
  <c r="N1072" i="2"/>
  <c r="M1072" i="2"/>
  <c r="L1072" i="2"/>
  <c r="K1072" i="2"/>
  <c r="J1072" i="2"/>
  <c r="I1072" i="2"/>
  <c r="H1072" i="2"/>
  <c r="G1072" i="2"/>
  <c r="F1072" i="2"/>
  <c r="E1072" i="2"/>
  <c r="D1072" i="2"/>
  <c r="V1070" i="2"/>
  <c r="U1070" i="2"/>
  <c r="T1070" i="2"/>
  <c r="S1070" i="2"/>
  <c r="R1070" i="2"/>
  <c r="Q1070" i="2"/>
  <c r="P1070" i="2"/>
  <c r="O1070" i="2"/>
  <c r="N1070" i="2"/>
  <c r="M1070" i="2"/>
  <c r="L1070" i="2"/>
  <c r="K1070" i="2"/>
  <c r="J1070" i="2"/>
  <c r="I1070" i="2"/>
  <c r="H1070" i="2"/>
  <c r="G1070" i="2"/>
  <c r="F1070" i="2"/>
  <c r="E1070" i="2"/>
  <c r="D1070" i="2"/>
  <c r="V1056" i="2"/>
  <c r="U1056" i="2"/>
  <c r="T1056" i="2"/>
  <c r="S1056" i="2"/>
  <c r="R1056" i="2"/>
  <c r="Q1056" i="2"/>
  <c r="P1056" i="2"/>
  <c r="O1056" i="2"/>
  <c r="N1056" i="2"/>
  <c r="M1056" i="2"/>
  <c r="L1056" i="2"/>
  <c r="K1056" i="2"/>
  <c r="J1056" i="2"/>
  <c r="I1056" i="2"/>
  <c r="H1056" i="2"/>
  <c r="G1056" i="2"/>
  <c r="F1056" i="2"/>
  <c r="E1056" i="2"/>
  <c r="D1056" i="2"/>
  <c r="V1042" i="2"/>
  <c r="U1042" i="2"/>
  <c r="T1042" i="2"/>
  <c r="S1042" i="2"/>
  <c r="R1042" i="2"/>
  <c r="Q1042" i="2"/>
  <c r="P1042" i="2"/>
  <c r="O1042" i="2"/>
  <c r="N1042" i="2"/>
  <c r="M1042" i="2"/>
  <c r="L1042" i="2"/>
  <c r="K1042" i="2"/>
  <c r="J1042" i="2"/>
  <c r="I1042" i="2"/>
  <c r="H1042" i="2"/>
  <c r="G1042" i="2"/>
  <c r="F1042" i="2"/>
  <c r="E1042" i="2"/>
  <c r="D1042" i="2"/>
  <c r="V1028" i="2"/>
  <c r="U1028" i="2"/>
  <c r="T1028" i="2"/>
  <c r="S1028" i="2"/>
  <c r="R1028" i="2"/>
  <c r="Q1028" i="2"/>
  <c r="P1028" i="2"/>
  <c r="O1028" i="2"/>
  <c r="N1028" i="2"/>
  <c r="M1028" i="2"/>
  <c r="L1028" i="2"/>
  <c r="K1028" i="2"/>
  <c r="J1028" i="2"/>
  <c r="I1028" i="2"/>
  <c r="H1028" i="2"/>
  <c r="G1028" i="2"/>
  <c r="F1028" i="2"/>
  <c r="E1028" i="2"/>
  <c r="D1028" i="2"/>
  <c r="V1014" i="2"/>
  <c r="U1014" i="2"/>
  <c r="T1014" i="2"/>
  <c r="S1014" i="2"/>
  <c r="R1014" i="2"/>
  <c r="Q1014" i="2"/>
  <c r="P1014" i="2"/>
  <c r="O1014" i="2"/>
  <c r="N1014" i="2"/>
  <c r="M1014" i="2"/>
  <c r="L1014" i="2"/>
  <c r="K1014" i="2"/>
  <c r="J1014" i="2"/>
  <c r="I1014" i="2"/>
  <c r="H1014" i="2"/>
  <c r="G1014" i="2"/>
  <c r="F1014" i="2"/>
  <c r="E1014" i="2"/>
  <c r="D1014" i="2"/>
  <c r="V1000" i="2"/>
  <c r="U1000" i="2"/>
  <c r="T1000" i="2"/>
  <c r="S1000" i="2"/>
  <c r="R1000" i="2"/>
  <c r="Q1000" i="2"/>
  <c r="P1000" i="2"/>
  <c r="O1000" i="2"/>
  <c r="N1000" i="2"/>
  <c r="M1000" i="2"/>
  <c r="L1000" i="2"/>
  <c r="K1000" i="2"/>
  <c r="J1000" i="2"/>
  <c r="I1000" i="2"/>
  <c r="H1000" i="2"/>
  <c r="G1000" i="2"/>
  <c r="F1000" i="2"/>
  <c r="E1000" i="2"/>
  <c r="D1000" i="2"/>
  <c r="V986" i="2"/>
  <c r="U986" i="2"/>
  <c r="T986" i="2"/>
  <c r="S986" i="2"/>
  <c r="R986" i="2"/>
  <c r="Q986" i="2"/>
  <c r="P986" i="2"/>
  <c r="O986" i="2"/>
  <c r="N986" i="2"/>
  <c r="M986" i="2"/>
  <c r="L986" i="2"/>
  <c r="K986" i="2"/>
  <c r="J986" i="2"/>
  <c r="I986" i="2"/>
  <c r="H986" i="2"/>
  <c r="G986" i="2"/>
  <c r="F986" i="2"/>
  <c r="E986" i="2"/>
  <c r="D986" i="2"/>
  <c r="V972" i="2"/>
  <c r="U972" i="2"/>
  <c r="T972" i="2"/>
  <c r="S972" i="2"/>
  <c r="R972" i="2"/>
  <c r="Q972" i="2"/>
  <c r="P972" i="2"/>
  <c r="O972" i="2"/>
  <c r="N972" i="2"/>
  <c r="M972" i="2"/>
  <c r="L972" i="2"/>
  <c r="K972" i="2"/>
  <c r="J972" i="2"/>
  <c r="I972" i="2"/>
  <c r="H972" i="2"/>
  <c r="G972" i="2"/>
  <c r="F972" i="2"/>
  <c r="E972" i="2"/>
  <c r="D972" i="2"/>
  <c r="V957" i="2"/>
  <c r="U957" i="2"/>
  <c r="T957" i="2"/>
  <c r="S957" i="2"/>
  <c r="R957" i="2"/>
  <c r="Q957" i="2"/>
  <c r="P957" i="2"/>
  <c r="O957" i="2"/>
  <c r="N957" i="2"/>
  <c r="M957" i="2"/>
  <c r="L957" i="2"/>
  <c r="K957" i="2"/>
  <c r="J957" i="2"/>
  <c r="I957" i="2"/>
  <c r="H957" i="2"/>
  <c r="G957" i="2"/>
  <c r="F957" i="2"/>
  <c r="E957" i="2"/>
  <c r="D957" i="2"/>
  <c r="V942" i="2"/>
  <c r="U942" i="2"/>
  <c r="T942" i="2"/>
  <c r="S942" i="2"/>
  <c r="R942" i="2"/>
  <c r="Q942" i="2"/>
  <c r="P942" i="2"/>
  <c r="O942" i="2"/>
  <c r="N942" i="2"/>
  <c r="M942" i="2"/>
  <c r="L942" i="2"/>
  <c r="K942" i="2"/>
  <c r="J942" i="2"/>
  <c r="I942" i="2"/>
  <c r="H942" i="2"/>
  <c r="G942" i="2"/>
  <c r="F942" i="2"/>
  <c r="E942" i="2"/>
  <c r="D942" i="2"/>
  <c r="V927" i="2"/>
  <c r="U927" i="2"/>
  <c r="T927" i="2"/>
  <c r="S927" i="2"/>
  <c r="R927" i="2"/>
  <c r="Q927" i="2"/>
  <c r="P927" i="2"/>
  <c r="O927" i="2"/>
  <c r="N927" i="2"/>
  <c r="M927" i="2"/>
  <c r="L927" i="2"/>
  <c r="K927" i="2"/>
  <c r="J927" i="2"/>
  <c r="I927" i="2"/>
  <c r="H927" i="2"/>
  <c r="G927" i="2"/>
  <c r="F927" i="2"/>
  <c r="E927" i="2"/>
  <c r="D927" i="2"/>
  <c r="V912" i="2"/>
  <c r="U912" i="2"/>
  <c r="T912" i="2"/>
  <c r="S912" i="2"/>
  <c r="R912" i="2"/>
  <c r="Q912" i="2"/>
  <c r="P912" i="2"/>
  <c r="O912" i="2"/>
  <c r="N912" i="2"/>
  <c r="M912" i="2"/>
  <c r="L912" i="2"/>
  <c r="K912" i="2"/>
  <c r="J912" i="2"/>
  <c r="I912" i="2"/>
  <c r="H912" i="2"/>
  <c r="G912" i="2"/>
  <c r="F912" i="2"/>
  <c r="E912" i="2"/>
  <c r="D912" i="2"/>
  <c r="V897" i="2"/>
  <c r="U897" i="2"/>
  <c r="T897" i="2"/>
  <c r="S897" i="2"/>
  <c r="R897" i="2"/>
  <c r="Q897" i="2"/>
  <c r="P897" i="2"/>
  <c r="O897" i="2"/>
  <c r="N897" i="2"/>
  <c r="M897" i="2"/>
  <c r="L897" i="2"/>
  <c r="K897" i="2"/>
  <c r="J897" i="2"/>
  <c r="I897" i="2"/>
  <c r="H897" i="2"/>
  <c r="G897" i="2"/>
  <c r="F897" i="2"/>
  <c r="E897" i="2"/>
  <c r="D897" i="2"/>
  <c r="V882" i="2"/>
  <c r="U882" i="2"/>
  <c r="T882" i="2"/>
  <c r="S882" i="2"/>
  <c r="R882" i="2"/>
  <c r="Q882" i="2"/>
  <c r="P882" i="2"/>
  <c r="O882" i="2"/>
  <c r="N882" i="2"/>
  <c r="M882" i="2"/>
  <c r="L882" i="2"/>
  <c r="K882" i="2"/>
  <c r="J882" i="2"/>
  <c r="I882" i="2"/>
  <c r="H882" i="2"/>
  <c r="G882" i="2"/>
  <c r="F882" i="2"/>
  <c r="E882" i="2"/>
  <c r="D882" i="2"/>
  <c r="V867" i="2"/>
  <c r="U867" i="2"/>
  <c r="T867" i="2"/>
  <c r="S867" i="2"/>
  <c r="R867" i="2"/>
  <c r="Q867" i="2"/>
  <c r="P867" i="2"/>
  <c r="O867" i="2"/>
  <c r="N867" i="2"/>
  <c r="M867" i="2"/>
  <c r="L867" i="2"/>
  <c r="K867" i="2"/>
  <c r="J867" i="2"/>
  <c r="I867" i="2"/>
  <c r="H867" i="2"/>
  <c r="G867" i="2"/>
  <c r="F867" i="2"/>
  <c r="E867" i="2"/>
  <c r="D867" i="2"/>
  <c r="V852" i="2"/>
  <c r="U852" i="2"/>
  <c r="T852" i="2"/>
  <c r="S852" i="2"/>
  <c r="R852" i="2"/>
  <c r="Q852" i="2"/>
  <c r="P852" i="2"/>
  <c r="O852" i="2"/>
  <c r="N852" i="2"/>
  <c r="M852" i="2"/>
  <c r="L852" i="2"/>
  <c r="K852" i="2"/>
  <c r="J852" i="2"/>
  <c r="I852" i="2"/>
  <c r="H852" i="2"/>
  <c r="G852" i="2"/>
  <c r="F852" i="2"/>
  <c r="E852" i="2"/>
  <c r="D852" i="2"/>
  <c r="V837" i="2"/>
  <c r="U837" i="2"/>
  <c r="T837" i="2"/>
  <c r="S837" i="2"/>
  <c r="R837" i="2"/>
  <c r="Q837" i="2"/>
  <c r="P837" i="2"/>
  <c r="O837" i="2"/>
  <c r="N837" i="2"/>
  <c r="M837" i="2"/>
  <c r="L837" i="2"/>
  <c r="K837" i="2"/>
  <c r="J837" i="2"/>
  <c r="I837" i="2"/>
  <c r="H837" i="2"/>
  <c r="G837" i="2"/>
  <c r="F837" i="2"/>
  <c r="E837" i="2"/>
  <c r="D837" i="2"/>
  <c r="V822" i="2"/>
  <c r="U822" i="2"/>
  <c r="T822" i="2"/>
  <c r="S822" i="2"/>
  <c r="R822" i="2"/>
  <c r="Q822" i="2"/>
  <c r="P822" i="2"/>
  <c r="O822" i="2"/>
  <c r="N822" i="2"/>
  <c r="M822" i="2"/>
  <c r="L822" i="2"/>
  <c r="K822" i="2"/>
  <c r="J822" i="2"/>
  <c r="I822" i="2"/>
  <c r="H822" i="2"/>
  <c r="G822" i="2"/>
  <c r="F822" i="2"/>
  <c r="E822" i="2"/>
  <c r="D822" i="2"/>
  <c r="V807" i="2"/>
  <c r="U807" i="2"/>
  <c r="T807" i="2"/>
  <c r="S807" i="2"/>
  <c r="R807" i="2"/>
  <c r="Q807" i="2"/>
  <c r="P807" i="2"/>
  <c r="O807" i="2"/>
  <c r="N807" i="2"/>
  <c r="M807" i="2"/>
  <c r="L807" i="2"/>
  <c r="K807" i="2"/>
  <c r="J807" i="2"/>
  <c r="I807" i="2"/>
  <c r="H807" i="2"/>
  <c r="G807" i="2"/>
  <c r="F807" i="2"/>
  <c r="E807" i="2"/>
  <c r="D807" i="2"/>
  <c r="V792" i="2"/>
  <c r="U792" i="2"/>
  <c r="T792" i="2"/>
  <c r="S792" i="2"/>
  <c r="R792" i="2"/>
  <c r="Q792" i="2"/>
  <c r="P792" i="2"/>
  <c r="O792" i="2"/>
  <c r="N792" i="2"/>
  <c r="M792" i="2"/>
  <c r="L792" i="2"/>
  <c r="K792" i="2"/>
  <c r="J792" i="2"/>
  <c r="I792" i="2"/>
  <c r="H792" i="2"/>
  <c r="G792" i="2"/>
  <c r="F792" i="2"/>
  <c r="E792" i="2"/>
  <c r="D792" i="2"/>
  <c r="V777" i="2"/>
  <c r="U777" i="2"/>
  <c r="T777" i="2"/>
  <c r="S777" i="2"/>
  <c r="R777" i="2"/>
  <c r="Q777" i="2"/>
  <c r="P777" i="2"/>
  <c r="O777" i="2"/>
  <c r="N777" i="2"/>
  <c r="M777" i="2"/>
  <c r="L777" i="2"/>
  <c r="K777" i="2"/>
  <c r="J777" i="2"/>
  <c r="I777" i="2"/>
  <c r="H777" i="2"/>
  <c r="G777" i="2"/>
  <c r="F777" i="2"/>
  <c r="E777" i="2"/>
  <c r="D777" i="2"/>
  <c r="V762" i="2"/>
  <c r="U762" i="2"/>
  <c r="T762" i="2"/>
  <c r="S762" i="2"/>
  <c r="R762" i="2"/>
  <c r="Q762" i="2"/>
  <c r="P762" i="2"/>
  <c r="O762" i="2"/>
  <c r="N762" i="2"/>
  <c r="M762" i="2"/>
  <c r="L762" i="2"/>
  <c r="K762" i="2"/>
  <c r="J762" i="2"/>
  <c r="I762" i="2"/>
  <c r="H762" i="2"/>
  <c r="G762" i="2"/>
  <c r="F762" i="2"/>
  <c r="E762" i="2"/>
  <c r="D762" i="2"/>
  <c r="V747" i="2"/>
  <c r="U747" i="2"/>
  <c r="T747" i="2"/>
  <c r="S747" i="2"/>
  <c r="R747" i="2"/>
  <c r="Q747" i="2"/>
  <c r="P747" i="2"/>
  <c r="O747" i="2"/>
  <c r="N747" i="2"/>
  <c r="M747" i="2"/>
  <c r="L747" i="2"/>
  <c r="K747" i="2"/>
  <c r="J747" i="2"/>
  <c r="I747" i="2"/>
  <c r="H747" i="2"/>
  <c r="G747" i="2"/>
  <c r="F747" i="2"/>
  <c r="E747" i="2"/>
  <c r="D747" i="2"/>
  <c r="V732" i="2"/>
  <c r="U732" i="2"/>
  <c r="T732" i="2"/>
  <c r="S732" i="2"/>
  <c r="R732" i="2"/>
  <c r="Q732" i="2"/>
  <c r="P732" i="2"/>
  <c r="O732" i="2"/>
  <c r="N732" i="2"/>
  <c r="M732" i="2"/>
  <c r="L732" i="2"/>
  <c r="K732" i="2"/>
  <c r="J732" i="2"/>
  <c r="I732" i="2"/>
  <c r="H732" i="2"/>
  <c r="G732" i="2"/>
  <c r="F732" i="2"/>
  <c r="E732" i="2"/>
  <c r="D732" i="2"/>
  <c r="V718" i="2"/>
  <c r="U718" i="2"/>
  <c r="T718" i="2"/>
  <c r="S718" i="2"/>
  <c r="R718" i="2"/>
  <c r="Q718" i="2"/>
  <c r="P718" i="2"/>
  <c r="O718" i="2"/>
  <c r="N718" i="2"/>
  <c r="M718" i="2"/>
  <c r="L718" i="2"/>
  <c r="K718" i="2"/>
  <c r="J718" i="2"/>
  <c r="I718" i="2"/>
  <c r="H718" i="2"/>
  <c r="G718" i="2"/>
  <c r="F718" i="2"/>
  <c r="E718" i="2"/>
  <c r="D718" i="2"/>
  <c r="V708" i="2"/>
  <c r="U708" i="2"/>
  <c r="T708" i="2"/>
  <c r="S708" i="2"/>
  <c r="R708" i="2"/>
  <c r="Q708" i="2"/>
  <c r="P708" i="2"/>
  <c r="O708" i="2"/>
  <c r="N708" i="2"/>
  <c r="M708" i="2"/>
  <c r="L708" i="2"/>
  <c r="K708" i="2"/>
  <c r="J708" i="2"/>
  <c r="I708" i="2"/>
  <c r="H708" i="2"/>
  <c r="G708" i="2"/>
  <c r="F708" i="2"/>
  <c r="E708" i="2"/>
  <c r="D708" i="2"/>
  <c r="V703" i="2"/>
  <c r="U703" i="2"/>
  <c r="T703" i="2"/>
  <c r="S703" i="2"/>
  <c r="R703" i="2"/>
  <c r="Q703" i="2"/>
  <c r="P703" i="2"/>
  <c r="O703" i="2"/>
  <c r="N703" i="2"/>
  <c r="M703" i="2"/>
  <c r="L703" i="2"/>
  <c r="K703" i="2"/>
  <c r="J703" i="2"/>
  <c r="I703" i="2"/>
  <c r="H703" i="2"/>
  <c r="G703" i="2"/>
  <c r="F703" i="2"/>
  <c r="E703" i="2"/>
  <c r="D703" i="2"/>
  <c r="V701" i="2"/>
  <c r="U701" i="2"/>
  <c r="T701" i="2"/>
  <c r="S701" i="2"/>
  <c r="R701" i="2"/>
  <c r="Q701" i="2"/>
  <c r="P701" i="2"/>
  <c r="O701" i="2"/>
  <c r="N701" i="2"/>
  <c r="M701" i="2"/>
  <c r="L701" i="2"/>
  <c r="K701" i="2"/>
  <c r="J701" i="2"/>
  <c r="I701" i="2"/>
  <c r="H701" i="2"/>
  <c r="G701" i="2"/>
  <c r="F701" i="2"/>
  <c r="E701" i="2"/>
  <c r="D701" i="2"/>
  <c r="V687" i="2"/>
  <c r="U687" i="2"/>
  <c r="T687" i="2"/>
  <c r="S687" i="2"/>
  <c r="R687" i="2"/>
  <c r="Q687" i="2"/>
  <c r="P687" i="2"/>
  <c r="O687" i="2"/>
  <c r="N687" i="2"/>
  <c r="M687" i="2"/>
  <c r="L687" i="2"/>
  <c r="K687" i="2"/>
  <c r="J687" i="2"/>
  <c r="I687" i="2"/>
  <c r="H687" i="2"/>
  <c r="G687" i="2"/>
  <c r="F687" i="2"/>
  <c r="E687" i="2"/>
  <c r="D687" i="2"/>
  <c r="V673" i="2"/>
  <c r="U673" i="2"/>
  <c r="T673" i="2"/>
  <c r="S673" i="2"/>
  <c r="R673" i="2"/>
  <c r="Q673" i="2"/>
  <c r="P673" i="2"/>
  <c r="O673" i="2"/>
  <c r="N673" i="2"/>
  <c r="M673" i="2"/>
  <c r="L673" i="2"/>
  <c r="K673" i="2"/>
  <c r="J673" i="2"/>
  <c r="I673" i="2"/>
  <c r="H673" i="2"/>
  <c r="G673" i="2"/>
  <c r="F673" i="2"/>
  <c r="E673" i="2"/>
  <c r="D673" i="2"/>
  <c r="V658" i="2"/>
  <c r="U658" i="2"/>
  <c r="T658" i="2"/>
  <c r="S658" i="2"/>
  <c r="R658" i="2"/>
  <c r="Q658" i="2"/>
  <c r="P658" i="2"/>
  <c r="O658" i="2"/>
  <c r="N658" i="2"/>
  <c r="M658" i="2"/>
  <c r="L658" i="2"/>
  <c r="K658" i="2"/>
  <c r="J658" i="2"/>
  <c r="I658" i="2"/>
  <c r="H658" i="2"/>
  <c r="G658" i="2"/>
  <c r="F658" i="2"/>
  <c r="E658" i="2"/>
  <c r="D658" i="2"/>
  <c r="V643" i="2"/>
  <c r="U643" i="2"/>
  <c r="T643" i="2"/>
  <c r="S643" i="2"/>
  <c r="R643" i="2"/>
  <c r="Q643" i="2"/>
  <c r="P643" i="2"/>
  <c r="O643" i="2"/>
  <c r="N643" i="2"/>
  <c r="M643" i="2"/>
  <c r="L643" i="2"/>
  <c r="K643" i="2"/>
  <c r="J643" i="2"/>
  <c r="I643" i="2"/>
  <c r="H643" i="2"/>
  <c r="G643" i="2"/>
  <c r="F643" i="2"/>
  <c r="E643" i="2"/>
  <c r="D643" i="2"/>
  <c r="V628" i="2"/>
  <c r="U628" i="2"/>
  <c r="T628" i="2"/>
  <c r="S628" i="2"/>
  <c r="R628" i="2"/>
  <c r="Q628" i="2"/>
  <c r="P628" i="2"/>
  <c r="O628" i="2"/>
  <c r="N628" i="2"/>
  <c r="M628" i="2"/>
  <c r="L628" i="2"/>
  <c r="K628" i="2"/>
  <c r="J628" i="2"/>
  <c r="I628" i="2"/>
  <c r="H628" i="2"/>
  <c r="G628" i="2"/>
  <c r="F628" i="2"/>
  <c r="E628" i="2"/>
  <c r="D628" i="2"/>
  <c r="V613" i="2"/>
  <c r="U613" i="2"/>
  <c r="T613" i="2"/>
  <c r="S613" i="2"/>
  <c r="R613" i="2"/>
  <c r="Q613" i="2"/>
  <c r="P613" i="2"/>
  <c r="O613" i="2"/>
  <c r="N613" i="2"/>
  <c r="M613" i="2"/>
  <c r="L613" i="2"/>
  <c r="K613" i="2"/>
  <c r="J613" i="2"/>
  <c r="I613" i="2"/>
  <c r="H613" i="2"/>
  <c r="G613" i="2"/>
  <c r="F613" i="2"/>
  <c r="E613" i="2"/>
  <c r="D613" i="2"/>
  <c r="V598" i="2"/>
  <c r="U598" i="2"/>
  <c r="T598" i="2"/>
  <c r="S598" i="2"/>
  <c r="R598" i="2"/>
  <c r="Q598" i="2"/>
  <c r="P598" i="2"/>
  <c r="O598" i="2"/>
  <c r="N598" i="2"/>
  <c r="M598" i="2"/>
  <c r="L598" i="2"/>
  <c r="K598" i="2"/>
  <c r="J598" i="2"/>
  <c r="I598" i="2"/>
  <c r="H598" i="2"/>
  <c r="G598" i="2"/>
  <c r="F598" i="2"/>
  <c r="E598" i="2"/>
  <c r="D598" i="2"/>
  <c r="V583" i="2"/>
  <c r="U583" i="2"/>
  <c r="T583" i="2"/>
  <c r="S583" i="2"/>
  <c r="R583" i="2"/>
  <c r="Q583" i="2"/>
  <c r="P583" i="2"/>
  <c r="O583" i="2"/>
  <c r="N583" i="2"/>
  <c r="M583" i="2"/>
  <c r="L583" i="2"/>
  <c r="K583" i="2"/>
  <c r="J583" i="2"/>
  <c r="I583" i="2"/>
  <c r="H583" i="2"/>
  <c r="G583" i="2"/>
  <c r="F583" i="2"/>
  <c r="E583" i="2"/>
  <c r="D583" i="2"/>
  <c r="V568" i="2"/>
  <c r="U568" i="2"/>
  <c r="T568" i="2"/>
  <c r="S568" i="2"/>
  <c r="R568" i="2"/>
  <c r="Q568" i="2"/>
  <c r="P568" i="2"/>
  <c r="O568" i="2"/>
  <c r="N568" i="2"/>
  <c r="M568" i="2"/>
  <c r="L568" i="2"/>
  <c r="K568" i="2"/>
  <c r="J568" i="2"/>
  <c r="I568" i="2"/>
  <c r="H568" i="2"/>
  <c r="G568" i="2"/>
  <c r="F568" i="2"/>
  <c r="E568" i="2"/>
  <c r="D568" i="2"/>
  <c r="V553" i="2"/>
  <c r="U553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H553" i="2"/>
  <c r="G553" i="2"/>
  <c r="F553" i="2"/>
  <c r="E553" i="2"/>
  <c r="D553" i="2"/>
  <c r="V538" i="2"/>
  <c r="U538" i="2"/>
  <c r="T538" i="2"/>
  <c r="S538" i="2"/>
  <c r="R538" i="2"/>
  <c r="Q538" i="2"/>
  <c r="P538" i="2"/>
  <c r="O538" i="2"/>
  <c r="N538" i="2"/>
  <c r="M538" i="2"/>
  <c r="L538" i="2"/>
  <c r="K538" i="2"/>
  <c r="J538" i="2"/>
  <c r="I538" i="2"/>
  <c r="H538" i="2"/>
  <c r="G538" i="2"/>
  <c r="F538" i="2"/>
  <c r="E538" i="2"/>
  <c r="D538" i="2"/>
  <c r="V523" i="2"/>
  <c r="U523" i="2"/>
  <c r="T523" i="2"/>
  <c r="S523" i="2"/>
  <c r="R523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V507" i="2"/>
  <c r="U507" i="2"/>
  <c r="T507" i="2"/>
  <c r="S507" i="2"/>
  <c r="R507" i="2"/>
  <c r="Q507" i="2"/>
  <c r="P507" i="2"/>
  <c r="O507" i="2"/>
  <c r="N507" i="2"/>
  <c r="M507" i="2"/>
  <c r="L507" i="2"/>
  <c r="K507" i="2"/>
  <c r="J507" i="2"/>
  <c r="I507" i="2"/>
  <c r="H507" i="2"/>
  <c r="G507" i="2"/>
  <c r="F507" i="2"/>
  <c r="E507" i="2"/>
  <c r="D507" i="2"/>
  <c r="V491" i="2"/>
  <c r="U491" i="2"/>
  <c r="T491" i="2"/>
  <c r="S491" i="2"/>
  <c r="R491" i="2"/>
  <c r="Q491" i="2"/>
  <c r="P491" i="2"/>
  <c r="O491" i="2"/>
  <c r="N491" i="2"/>
  <c r="M491" i="2"/>
  <c r="L491" i="2"/>
  <c r="K491" i="2"/>
  <c r="J491" i="2"/>
  <c r="I491" i="2"/>
  <c r="H491" i="2"/>
  <c r="G491" i="2"/>
  <c r="F491" i="2"/>
  <c r="E491" i="2"/>
  <c r="D491" i="2"/>
  <c r="V475" i="2"/>
  <c r="U475" i="2"/>
  <c r="T475" i="2"/>
  <c r="S475" i="2"/>
  <c r="R475" i="2"/>
  <c r="Q475" i="2"/>
  <c r="P475" i="2"/>
  <c r="O475" i="2"/>
  <c r="N475" i="2"/>
  <c r="M475" i="2"/>
  <c r="L475" i="2"/>
  <c r="K475" i="2"/>
  <c r="J475" i="2"/>
  <c r="I475" i="2"/>
  <c r="H475" i="2"/>
  <c r="G475" i="2"/>
  <c r="F475" i="2"/>
  <c r="E475" i="2"/>
  <c r="D475" i="2"/>
  <c r="V459" i="2"/>
  <c r="U459" i="2"/>
  <c r="T459" i="2"/>
  <c r="S459" i="2"/>
  <c r="R459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E459" i="2"/>
  <c r="D459" i="2"/>
  <c r="V443" i="2"/>
  <c r="U443" i="2"/>
  <c r="T443" i="2"/>
  <c r="S443" i="2"/>
  <c r="R443" i="2"/>
  <c r="Q443" i="2"/>
  <c r="P443" i="2"/>
  <c r="O443" i="2"/>
  <c r="N443" i="2"/>
  <c r="M443" i="2"/>
  <c r="L443" i="2"/>
  <c r="K443" i="2"/>
  <c r="J443" i="2"/>
  <c r="I443" i="2"/>
  <c r="H443" i="2"/>
  <c r="G443" i="2"/>
  <c r="F443" i="2"/>
  <c r="E443" i="2"/>
  <c r="D443" i="2"/>
  <c r="V427" i="2"/>
  <c r="U427" i="2"/>
  <c r="T427" i="2"/>
  <c r="S427" i="2"/>
  <c r="R427" i="2"/>
  <c r="Q427" i="2"/>
  <c r="P427" i="2"/>
  <c r="O427" i="2"/>
  <c r="N427" i="2"/>
  <c r="M427" i="2"/>
  <c r="L427" i="2"/>
  <c r="K427" i="2"/>
  <c r="J427" i="2"/>
  <c r="I427" i="2"/>
  <c r="H427" i="2"/>
  <c r="G427" i="2"/>
  <c r="F427" i="2"/>
  <c r="E427" i="2"/>
  <c r="D427" i="2"/>
  <c r="V411" i="2"/>
  <c r="U411" i="2"/>
  <c r="T411" i="2"/>
  <c r="S411" i="2"/>
  <c r="R411" i="2"/>
  <c r="Q411" i="2"/>
  <c r="P411" i="2"/>
  <c r="O411" i="2"/>
  <c r="N411" i="2"/>
  <c r="M411" i="2"/>
  <c r="L411" i="2"/>
  <c r="K411" i="2"/>
  <c r="J411" i="2"/>
  <c r="I411" i="2"/>
  <c r="H411" i="2"/>
  <c r="G411" i="2"/>
  <c r="F411" i="2"/>
  <c r="E411" i="2"/>
  <c r="D411" i="2"/>
  <c r="V395" i="2"/>
  <c r="U395" i="2"/>
  <c r="T395" i="2"/>
  <c r="S395" i="2"/>
  <c r="R395" i="2"/>
  <c r="Q395" i="2"/>
  <c r="P395" i="2"/>
  <c r="O395" i="2"/>
  <c r="N395" i="2"/>
  <c r="M395" i="2"/>
  <c r="L395" i="2"/>
  <c r="K395" i="2"/>
  <c r="J395" i="2"/>
  <c r="I395" i="2"/>
  <c r="H395" i="2"/>
  <c r="G395" i="2"/>
  <c r="F395" i="2"/>
  <c r="E395" i="2"/>
  <c r="D395" i="2"/>
  <c r="V379" i="2"/>
  <c r="U379" i="2"/>
  <c r="T379" i="2"/>
  <c r="S379" i="2"/>
  <c r="R379" i="2"/>
  <c r="Q379" i="2"/>
  <c r="P379" i="2"/>
  <c r="O379" i="2"/>
  <c r="N379" i="2"/>
  <c r="M379" i="2"/>
  <c r="L379" i="2"/>
  <c r="K379" i="2"/>
  <c r="J379" i="2"/>
  <c r="I379" i="2"/>
  <c r="H379" i="2"/>
  <c r="G379" i="2"/>
  <c r="F379" i="2"/>
  <c r="E379" i="2"/>
  <c r="D379" i="2"/>
  <c r="V363" i="2"/>
  <c r="U363" i="2"/>
  <c r="T363" i="2"/>
  <c r="S363" i="2"/>
  <c r="R363" i="2"/>
  <c r="Q363" i="2"/>
  <c r="P363" i="2"/>
  <c r="O363" i="2"/>
  <c r="N363" i="2"/>
  <c r="M363" i="2"/>
  <c r="L363" i="2"/>
  <c r="K363" i="2"/>
  <c r="J363" i="2"/>
  <c r="I363" i="2"/>
  <c r="H363" i="2"/>
  <c r="G363" i="2"/>
  <c r="F363" i="2"/>
  <c r="E363" i="2"/>
  <c r="D363" i="2"/>
  <c r="V347" i="2"/>
  <c r="U347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V331" i="2"/>
  <c r="U331" i="2"/>
  <c r="T331" i="2"/>
  <c r="S331" i="2"/>
  <c r="R331" i="2"/>
  <c r="Q331" i="2"/>
  <c r="P331" i="2"/>
  <c r="O331" i="2"/>
  <c r="N331" i="2"/>
  <c r="M331" i="2"/>
  <c r="L331" i="2"/>
  <c r="K331" i="2"/>
  <c r="J331" i="2"/>
  <c r="I331" i="2"/>
  <c r="H331" i="2"/>
  <c r="G331" i="2"/>
  <c r="F331" i="2"/>
  <c r="E331" i="2"/>
  <c r="D331" i="2"/>
  <c r="V316" i="2"/>
  <c r="U316" i="2"/>
  <c r="T316" i="2"/>
  <c r="S316" i="2"/>
  <c r="R316" i="2"/>
  <c r="Q316" i="2"/>
  <c r="P316" i="2"/>
  <c r="O316" i="2"/>
  <c r="N316" i="2"/>
  <c r="M316" i="2"/>
  <c r="L316" i="2"/>
  <c r="K316" i="2"/>
  <c r="J316" i="2"/>
  <c r="I316" i="2"/>
  <c r="H316" i="2"/>
  <c r="G316" i="2"/>
  <c r="F316" i="2"/>
  <c r="E316" i="2"/>
  <c r="D316" i="2"/>
  <c r="V307" i="2"/>
  <c r="U307" i="2"/>
  <c r="T307" i="2"/>
  <c r="S307" i="2"/>
  <c r="R307" i="2"/>
  <c r="Q307" i="2"/>
  <c r="P307" i="2"/>
  <c r="O307" i="2"/>
  <c r="N307" i="2"/>
  <c r="M307" i="2"/>
  <c r="L307" i="2"/>
  <c r="K307" i="2"/>
  <c r="J307" i="2"/>
  <c r="I307" i="2"/>
  <c r="H307" i="2"/>
  <c r="G307" i="2"/>
  <c r="F307" i="2"/>
  <c r="E307" i="2"/>
  <c r="D307" i="2"/>
  <c r="V302" i="2"/>
  <c r="U302" i="2"/>
  <c r="T302" i="2"/>
  <c r="S302" i="2"/>
  <c r="R302" i="2"/>
  <c r="Q302" i="2"/>
  <c r="P302" i="2"/>
  <c r="O302" i="2"/>
  <c r="N302" i="2"/>
  <c r="M302" i="2"/>
  <c r="L302" i="2"/>
  <c r="K302" i="2"/>
  <c r="J302" i="2"/>
  <c r="I302" i="2"/>
  <c r="H302" i="2"/>
  <c r="G302" i="2"/>
  <c r="F302" i="2"/>
  <c r="E302" i="2"/>
  <c r="D302" i="2"/>
  <c r="V299" i="2"/>
  <c r="U299" i="2"/>
  <c r="T299" i="2"/>
  <c r="S299" i="2"/>
  <c r="R299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E299" i="2"/>
  <c r="D299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H287" i="2"/>
  <c r="G287" i="2"/>
  <c r="F287" i="2"/>
  <c r="E287" i="2"/>
  <c r="D287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V263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V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V227" i="2"/>
  <c r="U227" i="2"/>
  <c r="T227" i="2"/>
  <c r="S227" i="2"/>
  <c r="R227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V203" i="2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V7" i="2"/>
  <c r="U7" i="2"/>
  <c r="T7" i="2"/>
  <c r="S7" i="2"/>
  <c r="R7" i="2"/>
  <c r="Q7" i="2"/>
  <c r="Q1643" i="2" s="1"/>
  <c r="P7" i="2"/>
  <c r="O7" i="2"/>
  <c r="N7" i="2"/>
  <c r="M7" i="2"/>
  <c r="L7" i="2"/>
  <c r="K7" i="2"/>
  <c r="K1643" i="2" s="1"/>
  <c r="J7" i="2"/>
  <c r="I7" i="2"/>
  <c r="H7" i="2"/>
  <c r="G7" i="2"/>
  <c r="F7" i="2"/>
  <c r="E7" i="2"/>
  <c r="D7" i="2"/>
  <c r="A298" i="2"/>
  <c r="A286" i="2"/>
  <c r="A274" i="2"/>
  <c r="A262" i="2"/>
  <c r="A250" i="2"/>
  <c r="A238" i="2"/>
  <c r="A226" i="2"/>
  <c r="A214" i="2"/>
  <c r="A202" i="2"/>
  <c r="A190" i="2"/>
  <c r="A178" i="2"/>
  <c r="A166" i="2"/>
  <c r="A154" i="2"/>
  <c r="A142" i="2"/>
  <c r="A130" i="2"/>
  <c r="A118" i="2"/>
  <c r="A106" i="2"/>
  <c r="A94" i="2"/>
  <c r="A82" i="2"/>
  <c r="A70" i="2"/>
  <c r="A58" i="2"/>
  <c r="A46" i="2"/>
  <c r="A34" i="2"/>
  <c r="A297" i="2"/>
  <c r="A285" i="2"/>
  <c r="A273" i="2"/>
  <c r="A261" i="2"/>
  <c r="A249" i="2"/>
  <c r="A237" i="2"/>
  <c r="A225" i="2"/>
  <c r="A213" i="2"/>
  <c r="A201" i="2"/>
  <c r="A189" i="2"/>
  <c r="A177" i="2"/>
  <c r="A165" i="2"/>
  <c r="A153" i="2"/>
  <c r="A141" i="2"/>
  <c r="A129" i="2"/>
  <c r="A117" i="2"/>
  <c r="A105" i="2"/>
  <c r="A93" i="2"/>
  <c r="A81" i="2"/>
  <c r="A69" i="2"/>
  <c r="A57" i="2"/>
  <c r="A45" i="2"/>
  <c r="A33" i="2"/>
  <c r="A23" i="2"/>
  <c r="A14" i="2"/>
  <c r="A296" i="2"/>
  <c r="A284" i="2"/>
  <c r="A272" i="2"/>
  <c r="A260" i="2"/>
  <c r="A248" i="2"/>
  <c r="A236" i="2"/>
  <c r="A224" i="2"/>
  <c r="A212" i="2"/>
  <c r="A200" i="2"/>
  <c r="A188" i="2"/>
  <c r="A176" i="2"/>
  <c r="A164" i="2"/>
  <c r="A152" i="2"/>
  <c r="A140" i="2"/>
  <c r="A128" i="2"/>
  <c r="A116" i="2"/>
  <c r="A104" i="2"/>
  <c r="A92" i="2"/>
  <c r="A80" i="2"/>
  <c r="A68" i="2"/>
  <c r="A56" i="2"/>
  <c r="A44" i="2"/>
  <c r="A295" i="2"/>
  <c r="A283" i="2"/>
  <c r="A271" i="2"/>
  <c r="A259" i="2"/>
  <c r="A247" i="2"/>
  <c r="A235" i="2"/>
  <c r="A223" i="2"/>
  <c r="A211" i="2"/>
  <c r="A199" i="2"/>
  <c r="A187" i="2"/>
  <c r="A175" i="2"/>
  <c r="A163" i="2"/>
  <c r="A151" i="2"/>
  <c r="A139" i="2"/>
  <c r="A127" i="2"/>
  <c r="A115" i="2"/>
  <c r="A103" i="2"/>
  <c r="A91" i="2"/>
  <c r="A79" i="2"/>
  <c r="A67" i="2"/>
  <c r="A55" i="2"/>
  <c r="A43" i="2"/>
  <c r="A32" i="2"/>
  <c r="A22" i="2"/>
  <c r="A13" i="2"/>
  <c r="A6" i="2"/>
  <c r="A294" i="2"/>
  <c r="A282" i="2"/>
  <c r="A270" i="2"/>
  <c r="A258" i="2"/>
  <c r="A246" i="2"/>
  <c r="A234" i="2"/>
  <c r="A222" i="2"/>
  <c r="A210" i="2"/>
  <c r="A198" i="2"/>
  <c r="A186" i="2"/>
  <c r="A174" i="2"/>
  <c r="A162" i="2"/>
  <c r="A150" i="2"/>
  <c r="A138" i="2"/>
  <c r="A126" i="2"/>
  <c r="A114" i="2"/>
  <c r="A102" i="2"/>
  <c r="A90" i="2"/>
  <c r="A78" i="2"/>
  <c r="A66" i="2"/>
  <c r="A54" i="2"/>
  <c r="A42" i="2"/>
  <c r="A31" i="2"/>
  <c r="A21" i="2"/>
  <c r="A12" i="2"/>
  <c r="A5" i="2"/>
  <c r="A293" i="2"/>
  <c r="A281" i="2"/>
  <c r="A269" i="2"/>
  <c r="A257" i="2"/>
  <c r="A245" i="2"/>
  <c r="A233" i="2"/>
  <c r="A221" i="2"/>
  <c r="A209" i="2"/>
  <c r="A197" i="2"/>
  <c r="A185" i="2"/>
  <c r="A173" i="2"/>
  <c r="A161" i="2"/>
  <c r="A149" i="2"/>
  <c r="A137" i="2"/>
  <c r="A125" i="2"/>
  <c r="A113" i="2"/>
  <c r="A101" i="2"/>
  <c r="A89" i="2"/>
  <c r="A77" i="2"/>
  <c r="A65" i="2"/>
  <c r="A53" i="2"/>
  <c r="A41" i="2"/>
  <c r="A30" i="2"/>
  <c r="A20" i="2"/>
  <c r="A11" i="2"/>
  <c r="A4" i="2"/>
  <c r="A292" i="2"/>
  <c r="A280" i="2"/>
  <c r="A268" i="2"/>
  <c r="A256" i="2"/>
  <c r="A244" i="2"/>
  <c r="A232" i="2"/>
  <c r="A220" i="2"/>
  <c r="A208" i="2"/>
  <c r="A196" i="2"/>
  <c r="A184" i="2"/>
  <c r="A172" i="2"/>
  <c r="A160" i="2"/>
  <c r="A148" i="2"/>
  <c r="A136" i="2"/>
  <c r="A124" i="2"/>
  <c r="A112" i="2"/>
  <c r="A100" i="2"/>
  <c r="A88" i="2"/>
  <c r="A76" i="2"/>
  <c r="A64" i="2"/>
  <c r="A52" i="2"/>
  <c r="A40" i="2"/>
  <c r="A29" i="2"/>
  <c r="A19" i="2"/>
  <c r="A291" i="2"/>
  <c r="A279" i="2"/>
  <c r="A267" i="2"/>
  <c r="A255" i="2"/>
  <c r="A243" i="2"/>
  <c r="A231" i="2"/>
  <c r="A219" i="2"/>
  <c r="A207" i="2"/>
  <c r="A195" i="2"/>
  <c r="A183" i="2"/>
  <c r="A171" i="2"/>
  <c r="A159" i="2"/>
  <c r="A147" i="2"/>
  <c r="A135" i="2"/>
  <c r="A123" i="2"/>
  <c r="A111" i="2"/>
  <c r="A99" i="2"/>
  <c r="A87" i="2"/>
  <c r="A75" i="2"/>
  <c r="A63" i="2"/>
  <c r="A51" i="2"/>
  <c r="A39" i="2"/>
  <c r="A28" i="2"/>
  <c r="A18" i="2"/>
  <c r="A10" i="2"/>
  <c r="A3" i="2"/>
  <c r="A290" i="2"/>
  <c r="A278" i="2"/>
  <c r="A266" i="2"/>
  <c r="A254" i="2"/>
  <c r="A242" i="2"/>
  <c r="A230" i="2"/>
  <c r="A218" i="2"/>
  <c r="A206" i="2"/>
  <c r="A194" i="2"/>
  <c r="A182" i="2"/>
  <c r="A170" i="2"/>
  <c r="A158" i="2"/>
  <c r="A146" i="2"/>
  <c r="A134" i="2"/>
  <c r="A122" i="2"/>
  <c r="A110" i="2"/>
  <c r="A98" i="2"/>
  <c r="A86" i="2"/>
  <c r="A74" i="2"/>
  <c r="A62" i="2"/>
  <c r="A50" i="2"/>
  <c r="A38" i="2"/>
  <c r="A27" i="2"/>
  <c r="A289" i="2"/>
  <c r="A277" i="2"/>
  <c r="A265" i="2"/>
  <c r="A253" i="2"/>
  <c r="A241" i="2"/>
  <c r="A229" i="2"/>
  <c r="A217" i="2"/>
  <c r="A205" i="2"/>
  <c r="A193" i="2"/>
  <c r="A181" i="2"/>
  <c r="A169" i="2"/>
  <c r="A157" i="2"/>
  <c r="A145" i="2"/>
  <c r="A133" i="2"/>
  <c r="A121" i="2"/>
  <c r="A109" i="2"/>
  <c r="A97" i="2"/>
  <c r="A85" i="2"/>
  <c r="A73" i="2"/>
  <c r="A61" i="2"/>
  <c r="A49" i="2"/>
  <c r="A37" i="2"/>
  <c r="A26" i="2"/>
  <c r="A17" i="2"/>
  <c r="A9" i="2"/>
  <c r="A288" i="2"/>
  <c r="A276" i="2"/>
  <c r="A264" i="2"/>
  <c r="A252" i="2"/>
  <c r="A240" i="2"/>
  <c r="A228" i="2"/>
  <c r="A216" i="2"/>
  <c r="A204" i="2"/>
  <c r="A192" i="2"/>
  <c r="A180" i="2"/>
  <c r="A168" i="2"/>
  <c r="A156" i="2"/>
  <c r="A144" i="2"/>
  <c r="A132" i="2"/>
  <c r="A120" i="2"/>
  <c r="A108" i="2"/>
  <c r="A96" i="2"/>
  <c r="A84" i="2"/>
  <c r="A72" i="2"/>
  <c r="A60" i="2"/>
  <c r="A48" i="2"/>
  <c r="A36" i="2"/>
  <c r="A25" i="2"/>
  <c r="A16" i="2"/>
  <c r="A8" i="2"/>
  <c r="A2" i="2"/>
  <c r="A1641" i="2"/>
  <c r="A1629" i="2"/>
  <c r="A1617" i="2"/>
  <c r="A1605" i="2"/>
  <c r="A1593" i="2"/>
  <c r="A1581" i="2"/>
  <c r="A1569" i="2"/>
  <c r="A1557" i="2"/>
  <c r="A1545" i="2"/>
  <c r="A1533" i="2"/>
  <c r="A1521" i="2"/>
  <c r="A1509" i="2"/>
  <c r="A1497" i="2"/>
  <c r="A1485" i="2"/>
  <c r="A1473" i="2"/>
  <c r="A1461" i="2"/>
  <c r="A1449" i="2"/>
  <c r="A1437" i="2"/>
  <c r="A1425" i="2"/>
  <c r="A1413" i="2"/>
  <c r="A1401" i="2"/>
  <c r="A1389" i="2"/>
  <c r="A1377" i="2"/>
  <c r="A1640" i="2"/>
  <c r="A1628" i="2"/>
  <c r="A1616" i="2"/>
  <c r="A1604" i="2"/>
  <c r="A1592" i="2"/>
  <c r="A1580" i="2"/>
  <c r="A1568" i="2"/>
  <c r="A1556" i="2"/>
  <c r="A1544" i="2"/>
  <c r="A1532" i="2"/>
  <c r="A1520" i="2"/>
  <c r="A1508" i="2"/>
  <c r="A1496" i="2"/>
  <c r="A1484" i="2"/>
  <c r="A1472" i="2"/>
  <c r="A1460" i="2"/>
  <c r="A1448" i="2"/>
  <c r="A1436" i="2"/>
  <c r="A1424" i="2"/>
  <c r="A1412" i="2"/>
  <c r="A1400" i="2"/>
  <c r="A1388" i="2"/>
  <c r="A1376" i="2"/>
  <c r="A1366" i="2"/>
  <c r="A1357" i="2"/>
  <c r="A1349" i="2"/>
  <c r="A1639" i="2"/>
  <c r="A1627" i="2"/>
  <c r="A1615" i="2"/>
  <c r="A1603" i="2"/>
  <c r="A1591" i="2"/>
  <c r="A1579" i="2"/>
  <c r="A1567" i="2"/>
  <c r="A1555" i="2"/>
  <c r="A1543" i="2"/>
  <c r="A1531" i="2"/>
  <c r="A1519" i="2"/>
  <c r="A1507" i="2"/>
  <c r="A1495" i="2"/>
  <c r="A1483" i="2"/>
  <c r="A1471" i="2"/>
  <c r="A1459" i="2"/>
  <c r="A1447" i="2"/>
  <c r="A1435" i="2"/>
  <c r="A1423" i="2"/>
  <c r="A1411" i="2"/>
  <c r="A1399" i="2"/>
  <c r="A1387" i="2"/>
  <c r="A1375" i="2"/>
  <c r="A1365" i="2"/>
  <c r="A1356" i="2"/>
  <c r="A1348" i="2"/>
  <c r="A1638" i="2"/>
  <c r="A1626" i="2"/>
  <c r="A1614" i="2"/>
  <c r="A1602" i="2"/>
  <c r="A1590" i="2"/>
  <c r="A1578" i="2"/>
  <c r="A1566" i="2"/>
  <c r="A1554" i="2"/>
  <c r="A1542" i="2"/>
  <c r="A1530" i="2"/>
  <c r="A1518" i="2"/>
  <c r="A1506" i="2"/>
  <c r="A1494" i="2"/>
  <c r="A1482" i="2"/>
  <c r="A1470" i="2"/>
  <c r="A1458" i="2"/>
  <c r="A1446" i="2"/>
  <c r="A1434" i="2"/>
  <c r="A1422" i="2"/>
  <c r="A1410" i="2"/>
  <c r="A1398" i="2"/>
  <c r="A1386" i="2"/>
  <c r="A1374" i="2"/>
  <c r="A1364" i="2"/>
  <c r="A1355" i="2"/>
  <c r="A1637" i="2"/>
  <c r="A1625" i="2"/>
  <c r="A1613" i="2"/>
  <c r="A1601" i="2"/>
  <c r="A1589" i="2"/>
  <c r="A1577" i="2"/>
  <c r="A1565" i="2"/>
  <c r="A1553" i="2"/>
  <c r="A1541" i="2"/>
  <c r="A1529" i="2"/>
  <c r="A1517" i="2"/>
  <c r="A1505" i="2"/>
  <c r="A1493" i="2"/>
  <c r="A1481" i="2"/>
  <c r="A1469" i="2"/>
  <c r="A1457" i="2"/>
  <c r="A1445" i="2"/>
  <c r="A1433" i="2"/>
  <c r="A1421" i="2"/>
  <c r="A1409" i="2"/>
  <c r="A1397" i="2"/>
  <c r="A1385" i="2"/>
  <c r="A1373" i="2"/>
  <c r="A1363" i="2"/>
  <c r="A1354" i="2"/>
  <c r="A1347" i="2"/>
  <c r="A1636" i="2"/>
  <c r="A1624" i="2"/>
  <c r="A1612" i="2"/>
  <c r="A1600" i="2"/>
  <c r="A1588" i="2"/>
  <c r="A1576" i="2"/>
  <c r="A1564" i="2"/>
  <c r="A1552" i="2"/>
  <c r="A1540" i="2"/>
  <c r="A1528" i="2"/>
  <c r="A1516" i="2"/>
  <c r="A1504" i="2"/>
  <c r="A1492" i="2"/>
  <c r="A1480" i="2"/>
  <c r="A1468" i="2"/>
  <c r="A1456" i="2"/>
  <c r="A1444" i="2"/>
  <c r="A1432" i="2"/>
  <c r="A1420" i="2"/>
  <c r="A1408" i="2"/>
  <c r="A1396" i="2"/>
  <c r="A1384" i="2"/>
  <c r="A1372" i="2"/>
  <c r="A1362" i="2"/>
  <c r="A1353" i="2"/>
  <c r="A1346" i="2"/>
  <c r="A1635" i="2"/>
  <c r="A1623" i="2"/>
  <c r="A1611" i="2"/>
  <c r="A1599" i="2"/>
  <c r="A1587" i="2"/>
  <c r="A1575" i="2"/>
  <c r="A1563" i="2"/>
  <c r="A1551" i="2"/>
  <c r="A1539" i="2"/>
  <c r="A1527" i="2"/>
  <c r="A1515" i="2"/>
  <c r="A1503" i="2"/>
  <c r="A1491" i="2"/>
  <c r="A1479" i="2"/>
  <c r="A1467" i="2"/>
  <c r="A1455" i="2"/>
  <c r="A1443" i="2"/>
  <c r="A1431" i="2"/>
  <c r="A1419" i="2"/>
  <c r="A1407" i="2"/>
  <c r="A1395" i="2"/>
  <c r="A1383" i="2"/>
  <c r="A1371" i="2"/>
  <c r="A1361" i="2"/>
  <c r="A1352" i="2"/>
  <c r="A1634" i="2"/>
  <c r="A1622" i="2"/>
  <c r="A1610" i="2"/>
  <c r="A1598" i="2"/>
  <c r="A1586" i="2"/>
  <c r="A1574" i="2"/>
  <c r="A1562" i="2"/>
  <c r="A1550" i="2"/>
  <c r="A1538" i="2"/>
  <c r="A1526" i="2"/>
  <c r="A1514" i="2"/>
  <c r="A1502" i="2"/>
  <c r="A1490" i="2"/>
  <c r="A1478" i="2"/>
  <c r="A1466" i="2"/>
  <c r="A1454" i="2"/>
  <c r="A1442" i="2"/>
  <c r="A1430" i="2"/>
  <c r="A1418" i="2"/>
  <c r="A1406" i="2"/>
  <c r="A1394" i="2"/>
  <c r="A1382" i="2"/>
  <c r="A1370" i="2"/>
  <c r="A1360" i="2"/>
  <c r="A1633" i="2"/>
  <c r="A1621" i="2"/>
  <c r="A1609" i="2"/>
  <c r="A1597" i="2"/>
  <c r="A1585" i="2"/>
  <c r="A1573" i="2"/>
  <c r="A1561" i="2"/>
  <c r="A1549" i="2"/>
  <c r="A1537" i="2"/>
  <c r="A1525" i="2"/>
  <c r="A1513" i="2"/>
  <c r="A1501" i="2"/>
  <c r="A1489" i="2"/>
  <c r="A1477" i="2"/>
  <c r="A1465" i="2"/>
  <c r="A1453" i="2"/>
  <c r="A1441" i="2"/>
  <c r="A1429" i="2"/>
  <c r="A1417" i="2"/>
  <c r="A1405" i="2"/>
  <c r="A1393" i="2"/>
  <c r="A1381" i="2"/>
  <c r="A1632" i="2"/>
  <c r="A1620" i="2"/>
  <c r="A1608" i="2"/>
  <c r="A1596" i="2"/>
  <c r="A1584" i="2"/>
  <c r="A1572" i="2"/>
  <c r="A1560" i="2"/>
  <c r="A1548" i="2"/>
  <c r="A1536" i="2"/>
  <c r="A1524" i="2"/>
  <c r="A1512" i="2"/>
  <c r="A1500" i="2"/>
  <c r="A1488" i="2"/>
  <c r="A1476" i="2"/>
  <c r="A1464" i="2"/>
  <c r="A1452" i="2"/>
  <c r="A1440" i="2"/>
  <c r="A1428" i="2"/>
  <c r="A1416" i="2"/>
  <c r="A1404" i="2"/>
  <c r="A1392" i="2"/>
  <c r="A1380" i="2"/>
  <c r="A1369" i="2"/>
  <c r="A1359" i="2"/>
  <c r="A1351" i="2"/>
  <c r="A1345" i="2"/>
  <c r="A1631" i="2"/>
  <c r="A1619" i="2"/>
  <c r="A1607" i="2"/>
  <c r="A1595" i="2"/>
  <c r="A1583" i="2"/>
  <c r="A1571" i="2"/>
  <c r="A1559" i="2"/>
  <c r="A1547" i="2"/>
  <c r="A1535" i="2"/>
  <c r="A1523" i="2"/>
  <c r="A1511" i="2"/>
  <c r="A1499" i="2"/>
  <c r="A1487" i="2"/>
  <c r="A1475" i="2"/>
  <c r="A1463" i="2"/>
  <c r="A1451" i="2"/>
  <c r="A1439" i="2"/>
  <c r="A1427" i="2"/>
  <c r="A1415" i="2"/>
  <c r="A1403" i="2"/>
  <c r="A1391" i="2"/>
  <c r="A1379" i="2"/>
  <c r="A1368" i="2"/>
  <c r="A1343" i="2"/>
  <c r="A1334" i="2"/>
  <c r="A1325" i="2"/>
  <c r="A1316" i="2"/>
  <c r="A1307" i="2"/>
  <c r="A1298" i="2"/>
  <c r="A1288" i="2"/>
  <c r="A1278" i="2"/>
  <c r="A1268" i="2"/>
  <c r="A1257" i="2"/>
  <c r="A1246" i="2"/>
  <c r="A1235" i="2"/>
  <c r="A1224" i="2"/>
  <c r="A1213" i="2"/>
  <c r="A1202" i="2"/>
  <c r="A1191" i="2"/>
  <c r="A1180" i="2"/>
  <c r="A1169" i="2"/>
  <c r="A1158" i="2"/>
  <c r="A1147" i="2"/>
  <c r="A1136" i="2"/>
  <c r="A1125" i="2"/>
  <c r="A1114" i="2"/>
  <c r="A1103" i="2"/>
  <c r="A1092" i="2"/>
  <c r="A1081" i="2"/>
  <c r="A1342" i="2"/>
  <c r="A1333" i="2"/>
  <c r="A1324" i="2"/>
  <c r="A1315" i="2"/>
  <c r="A1306" i="2"/>
  <c r="A1297" i="2"/>
  <c r="A1287" i="2"/>
  <c r="A1277" i="2"/>
  <c r="A1267" i="2"/>
  <c r="A1256" i="2"/>
  <c r="A1245" i="2"/>
  <c r="A1234" i="2"/>
  <c r="A1223" i="2"/>
  <c r="A1212" i="2"/>
  <c r="A1201" i="2"/>
  <c r="A1190" i="2"/>
  <c r="A1179" i="2"/>
  <c r="A1168" i="2"/>
  <c r="A1157" i="2"/>
  <c r="A1146" i="2"/>
  <c r="A1135" i="2"/>
  <c r="A1124" i="2"/>
  <c r="A1113" i="2"/>
  <c r="A1102" i="2"/>
  <c r="A1091" i="2"/>
  <c r="A1080" i="2"/>
  <c r="A1341" i="2"/>
  <c r="A1332" i="2"/>
  <c r="A1323" i="2"/>
  <c r="A1314" i="2"/>
  <c r="A1305" i="2"/>
  <c r="A1296" i="2"/>
  <c r="A1286" i="2"/>
  <c r="A1276" i="2"/>
  <c r="A1266" i="2"/>
  <c r="A1255" i="2"/>
  <c r="A1244" i="2"/>
  <c r="A1233" i="2"/>
  <c r="A1222" i="2"/>
  <c r="A1211" i="2"/>
  <c r="A1200" i="2"/>
  <c r="A1189" i="2"/>
  <c r="A1178" i="2"/>
  <c r="A1167" i="2"/>
  <c r="A1156" i="2"/>
  <c r="A1145" i="2"/>
  <c r="A1134" i="2"/>
  <c r="A1123" i="2"/>
  <c r="A1112" i="2"/>
  <c r="A1101" i="2"/>
  <c r="A1090" i="2"/>
  <c r="A1079" i="2"/>
  <c r="A1340" i="2"/>
  <c r="A1331" i="2"/>
  <c r="A1322" i="2"/>
  <c r="A1313" i="2"/>
  <c r="A1304" i="2"/>
  <c r="A1295" i="2"/>
  <c r="A1285" i="2"/>
  <c r="A1275" i="2"/>
  <c r="A1265" i="2"/>
  <c r="A1254" i="2"/>
  <c r="A1243" i="2"/>
  <c r="A1232" i="2"/>
  <c r="A1221" i="2"/>
  <c r="A1210" i="2"/>
  <c r="A1199" i="2"/>
  <c r="A1188" i="2"/>
  <c r="A1177" i="2"/>
  <c r="A1166" i="2"/>
  <c r="A1155" i="2"/>
  <c r="A1144" i="2"/>
  <c r="A1133" i="2"/>
  <c r="A1122" i="2"/>
  <c r="A1111" i="2"/>
  <c r="A1100" i="2"/>
  <c r="A1089" i="2"/>
  <c r="A1339" i="2"/>
  <c r="A1330" i="2"/>
  <c r="A1321" i="2"/>
  <c r="A1312" i="2"/>
  <c r="A1303" i="2"/>
  <c r="A1294" i="2"/>
  <c r="A1284" i="2"/>
  <c r="A1274" i="2"/>
  <c r="A1264" i="2"/>
  <c r="A1253" i="2"/>
  <c r="A1242" i="2"/>
  <c r="A1231" i="2"/>
  <c r="A1220" i="2"/>
  <c r="A1209" i="2"/>
  <c r="A1198" i="2"/>
  <c r="A1187" i="2"/>
  <c r="A1176" i="2"/>
  <c r="A1165" i="2"/>
  <c r="A1154" i="2"/>
  <c r="A1143" i="2"/>
  <c r="A1132" i="2"/>
  <c r="A1121" i="2"/>
  <c r="A1110" i="2"/>
  <c r="A1099" i="2"/>
  <c r="A1088" i="2"/>
  <c r="A1078" i="2"/>
  <c r="A1338" i="2"/>
  <c r="A1329" i="2"/>
  <c r="A1320" i="2"/>
  <c r="A1311" i="2"/>
  <c r="A1302" i="2"/>
  <c r="A1293" i="2"/>
  <c r="A1283" i="2"/>
  <c r="A1273" i="2"/>
  <c r="A1263" i="2"/>
  <c r="A1252" i="2"/>
  <c r="A1241" i="2"/>
  <c r="A1230" i="2"/>
  <c r="A1219" i="2"/>
  <c r="A1208" i="2"/>
  <c r="A1197" i="2"/>
  <c r="A1186" i="2"/>
  <c r="A1175" i="2"/>
  <c r="A1164" i="2"/>
  <c r="A1153" i="2"/>
  <c r="A1142" i="2"/>
  <c r="A1131" i="2"/>
  <c r="A1120" i="2"/>
  <c r="A1109" i="2"/>
  <c r="A1098" i="2"/>
  <c r="A1087" i="2"/>
  <c r="A1077" i="2"/>
  <c r="A1292" i="2"/>
  <c r="A1282" i="2"/>
  <c r="A1272" i="2"/>
  <c r="A1262" i="2"/>
  <c r="A1251" i="2"/>
  <c r="A1240" i="2"/>
  <c r="A1229" i="2"/>
  <c r="A1218" i="2"/>
  <c r="A1207" i="2"/>
  <c r="A1196" i="2"/>
  <c r="A1185" i="2"/>
  <c r="A1174" i="2"/>
  <c r="A1163" i="2"/>
  <c r="A1152" i="2"/>
  <c r="A1141" i="2"/>
  <c r="A1130" i="2"/>
  <c r="A1119" i="2"/>
  <c r="A1108" i="2"/>
  <c r="A1097" i="2"/>
  <c r="A1086" i="2"/>
  <c r="A1076" i="2"/>
  <c r="A1337" i="2"/>
  <c r="A1328" i="2"/>
  <c r="A1319" i="2"/>
  <c r="A1310" i="2"/>
  <c r="A1301" i="2"/>
  <c r="A1291" i="2"/>
  <c r="A1281" i="2"/>
  <c r="A1271" i="2"/>
  <c r="A1261" i="2"/>
  <c r="A1250" i="2"/>
  <c r="A1239" i="2"/>
  <c r="A1228" i="2"/>
  <c r="A1217" i="2"/>
  <c r="A1206" i="2"/>
  <c r="A1195" i="2"/>
  <c r="A1184" i="2"/>
  <c r="A1173" i="2"/>
  <c r="A1162" i="2"/>
  <c r="A1151" i="2"/>
  <c r="A1140" i="2"/>
  <c r="A1129" i="2"/>
  <c r="A1118" i="2"/>
  <c r="A1107" i="2"/>
  <c r="A1096" i="2"/>
  <c r="A1085" i="2"/>
  <c r="A1075" i="2"/>
  <c r="A1071" i="2"/>
  <c r="A1260" i="2"/>
  <c r="A1249" i="2"/>
  <c r="A1238" i="2"/>
  <c r="A1227" i="2"/>
  <c r="A1216" i="2"/>
  <c r="A1205" i="2"/>
  <c r="A1194" i="2"/>
  <c r="A1183" i="2"/>
  <c r="A1172" i="2"/>
  <c r="A1161" i="2"/>
  <c r="A1150" i="2"/>
  <c r="A1139" i="2"/>
  <c r="A1128" i="2"/>
  <c r="A1117" i="2"/>
  <c r="A1106" i="2"/>
  <c r="A1095" i="2"/>
  <c r="A1084" i="2"/>
  <c r="A1074" i="2"/>
  <c r="A1336" i="2"/>
  <c r="A1327" i="2"/>
  <c r="A1318" i="2"/>
  <c r="A1309" i="2"/>
  <c r="A1300" i="2"/>
  <c r="A1290" i="2"/>
  <c r="A1280" i="2"/>
  <c r="A1270" i="2"/>
  <c r="A1259" i="2"/>
  <c r="A1248" i="2"/>
  <c r="A1237" i="2"/>
  <c r="A1226" i="2"/>
  <c r="A1215" i="2"/>
  <c r="A1204" i="2"/>
  <c r="A1193" i="2"/>
  <c r="A1182" i="2"/>
  <c r="A1171" i="2"/>
  <c r="A1160" i="2"/>
  <c r="A1149" i="2"/>
  <c r="A1138" i="2"/>
  <c r="A1127" i="2"/>
  <c r="A1116" i="2"/>
  <c r="A1105" i="2"/>
  <c r="A1094" i="2"/>
  <c r="A1083" i="2"/>
  <c r="A1073" i="2"/>
  <c r="A1069" i="2"/>
  <c r="A1055" i="2"/>
  <c r="A1041" i="2"/>
  <c r="A1027" i="2"/>
  <c r="A1013" i="2"/>
  <c r="A999" i="2"/>
  <c r="A985" i="2"/>
  <c r="A971" i="2"/>
  <c r="A956" i="2"/>
  <c r="A941" i="2"/>
  <c r="A926" i="2"/>
  <c r="A911" i="2"/>
  <c r="A896" i="2"/>
  <c r="A881" i="2"/>
  <c r="A866" i="2"/>
  <c r="A851" i="2"/>
  <c r="A836" i="2"/>
  <c r="A821" i="2"/>
  <c r="A806" i="2"/>
  <c r="A791" i="2"/>
  <c r="A776" i="2"/>
  <c r="A761" i="2"/>
  <c r="A746" i="2"/>
  <c r="A731" i="2"/>
  <c r="A717" i="2"/>
  <c r="A1068" i="2"/>
  <c r="A1054" i="2"/>
  <c r="A1040" i="2"/>
  <c r="A1026" i="2"/>
  <c r="A1012" i="2"/>
  <c r="A998" i="2"/>
  <c r="A984" i="2"/>
  <c r="A970" i="2"/>
  <c r="A955" i="2"/>
  <c r="A940" i="2"/>
  <c r="A925" i="2"/>
  <c r="A910" i="2"/>
  <c r="A895" i="2"/>
  <c r="A880" i="2"/>
  <c r="A865" i="2"/>
  <c r="A850" i="2"/>
  <c r="A835" i="2"/>
  <c r="A820" i="2"/>
  <c r="A805" i="2"/>
  <c r="A790" i="2"/>
  <c r="A775" i="2"/>
  <c r="A760" i="2"/>
  <c r="A745" i="2"/>
  <c r="A730" i="2"/>
  <c r="A716" i="2"/>
  <c r="A1067" i="2"/>
  <c r="A1053" i="2"/>
  <c r="A1039" i="2"/>
  <c r="A1025" i="2"/>
  <c r="A1011" i="2"/>
  <c r="A997" i="2"/>
  <c r="A983" i="2"/>
  <c r="A969" i="2"/>
  <c r="A954" i="2"/>
  <c r="A939" i="2"/>
  <c r="A924" i="2"/>
  <c r="A909" i="2"/>
  <c r="A894" i="2"/>
  <c r="A879" i="2"/>
  <c r="A864" i="2"/>
  <c r="A849" i="2"/>
  <c r="A834" i="2"/>
  <c r="A819" i="2"/>
  <c r="A804" i="2"/>
  <c r="A789" i="2"/>
  <c r="A774" i="2"/>
  <c r="A759" i="2"/>
  <c r="A744" i="2"/>
  <c r="A729" i="2"/>
  <c r="A715" i="2"/>
  <c r="A707" i="2"/>
  <c r="A968" i="2"/>
  <c r="A953" i="2"/>
  <c r="A938" i="2"/>
  <c r="A923" i="2"/>
  <c r="A908" i="2"/>
  <c r="A893" i="2"/>
  <c r="A878" i="2"/>
  <c r="A863" i="2"/>
  <c r="A848" i="2"/>
  <c r="A833" i="2"/>
  <c r="A818" i="2"/>
  <c r="A803" i="2"/>
  <c r="A788" i="2"/>
  <c r="A773" i="2"/>
  <c r="A758" i="2"/>
  <c r="A743" i="2"/>
  <c r="A728" i="2"/>
  <c r="A714" i="2"/>
  <c r="A706" i="2"/>
  <c r="A702" i="2"/>
  <c r="A1066" i="2"/>
  <c r="A1052" i="2"/>
  <c r="A1038" i="2"/>
  <c r="A1024" i="2"/>
  <c r="A1010" i="2"/>
  <c r="A996" i="2"/>
  <c r="A982" i="2"/>
  <c r="A967" i="2"/>
  <c r="A952" i="2"/>
  <c r="A937" i="2"/>
  <c r="A922" i="2"/>
  <c r="A907" i="2"/>
  <c r="A892" i="2"/>
  <c r="A877" i="2"/>
  <c r="A862" i="2"/>
  <c r="A847" i="2"/>
  <c r="A832" i="2"/>
  <c r="A817" i="2"/>
  <c r="A802" i="2"/>
  <c r="A787" i="2"/>
  <c r="A772" i="2"/>
  <c r="A757" i="2"/>
  <c r="A742" i="2"/>
  <c r="A727" i="2"/>
  <c r="A713" i="2"/>
  <c r="A705" i="2"/>
  <c r="A1065" i="2"/>
  <c r="A1051" i="2"/>
  <c r="A1037" i="2"/>
  <c r="A1023" i="2"/>
  <c r="A1009" i="2"/>
  <c r="A995" i="2"/>
  <c r="A981" i="2"/>
  <c r="A966" i="2"/>
  <c r="A951" i="2"/>
  <c r="A936" i="2"/>
  <c r="A921" i="2"/>
  <c r="A906" i="2"/>
  <c r="A891" i="2"/>
  <c r="A876" i="2"/>
  <c r="A861" i="2"/>
  <c r="A846" i="2"/>
  <c r="A831" i="2"/>
  <c r="A816" i="2"/>
  <c r="A801" i="2"/>
  <c r="A786" i="2"/>
  <c r="A771" i="2"/>
  <c r="A756" i="2"/>
  <c r="A741" i="2"/>
  <c r="A1064" i="2"/>
  <c r="A1050" i="2"/>
  <c r="A1036" i="2"/>
  <c r="A1022" i="2"/>
  <c r="A1008" i="2"/>
  <c r="A994" i="2"/>
  <c r="A980" i="2"/>
  <c r="A965" i="2"/>
  <c r="A950" i="2"/>
  <c r="A935" i="2"/>
  <c r="A920" i="2"/>
  <c r="A905" i="2"/>
  <c r="A890" i="2"/>
  <c r="A875" i="2"/>
  <c r="A860" i="2"/>
  <c r="A845" i="2"/>
  <c r="A830" i="2"/>
  <c r="A815" i="2"/>
  <c r="A800" i="2"/>
  <c r="A785" i="2"/>
  <c r="A770" i="2"/>
  <c r="A755" i="2"/>
  <c r="A740" i="2"/>
  <c r="A726" i="2"/>
  <c r="A712" i="2"/>
  <c r="A704" i="2"/>
  <c r="A1063" i="2"/>
  <c r="A1049" i="2"/>
  <c r="A1035" i="2"/>
  <c r="A1021" i="2"/>
  <c r="A1007" i="2"/>
  <c r="A993" i="2"/>
  <c r="A979" i="2"/>
  <c r="A964" i="2"/>
  <c r="A949" i="2"/>
  <c r="A934" i="2"/>
  <c r="A919" i="2"/>
  <c r="A904" i="2"/>
  <c r="A889" i="2"/>
  <c r="A874" i="2"/>
  <c r="A859" i="2"/>
  <c r="A844" i="2"/>
  <c r="A829" i="2"/>
  <c r="A814" i="2"/>
  <c r="A799" i="2"/>
  <c r="A784" i="2"/>
  <c r="A769" i="2"/>
  <c r="A754" i="2"/>
  <c r="A739" i="2"/>
  <c r="A725" i="2"/>
  <c r="A1062" i="2"/>
  <c r="A1048" i="2"/>
  <c r="A1034" i="2"/>
  <c r="A1020" i="2"/>
  <c r="A1006" i="2"/>
  <c r="A992" i="2"/>
  <c r="A978" i="2"/>
  <c r="A963" i="2"/>
  <c r="A948" i="2"/>
  <c r="A933" i="2"/>
  <c r="A918" i="2"/>
  <c r="A903" i="2"/>
  <c r="A888" i="2"/>
  <c r="A873" i="2"/>
  <c r="A858" i="2"/>
  <c r="A843" i="2"/>
  <c r="A828" i="2"/>
  <c r="A813" i="2"/>
  <c r="A798" i="2"/>
  <c r="A783" i="2"/>
  <c r="A768" i="2"/>
  <c r="A753" i="2"/>
  <c r="A738" i="2"/>
  <c r="A724" i="2"/>
  <c r="A1061" i="2"/>
  <c r="A1047" i="2"/>
  <c r="A1033" i="2"/>
  <c r="A1019" i="2"/>
  <c r="A1005" i="2"/>
  <c r="A991" i="2"/>
  <c r="A977" i="2"/>
  <c r="A962" i="2"/>
  <c r="A947" i="2"/>
  <c r="A932" i="2"/>
  <c r="A917" i="2"/>
  <c r="A902" i="2"/>
  <c r="A887" i="2"/>
  <c r="A872" i="2"/>
  <c r="A857" i="2"/>
  <c r="A842" i="2"/>
  <c r="A827" i="2"/>
  <c r="A812" i="2"/>
  <c r="A797" i="2"/>
  <c r="A782" i="2"/>
  <c r="A767" i="2"/>
  <c r="A752" i="2"/>
  <c r="A737" i="2"/>
  <c r="A723" i="2"/>
  <c r="A1060" i="2"/>
  <c r="A1046" i="2"/>
  <c r="A1032" i="2"/>
  <c r="A1018" i="2"/>
  <c r="A1004" i="2"/>
  <c r="A990" i="2"/>
  <c r="A976" i="2"/>
  <c r="A961" i="2"/>
  <c r="A946" i="2"/>
  <c r="A931" i="2"/>
  <c r="A916" i="2"/>
  <c r="A901" i="2"/>
  <c r="A886" i="2"/>
  <c r="A871" i="2"/>
  <c r="A856" i="2"/>
  <c r="A841" i="2"/>
  <c r="A826" i="2"/>
  <c r="A811" i="2"/>
  <c r="A796" i="2"/>
  <c r="A781" i="2"/>
  <c r="A766" i="2"/>
  <c r="A751" i="2"/>
  <c r="A736" i="2"/>
  <c r="A722" i="2"/>
  <c r="A711" i="2"/>
  <c r="A1059" i="2"/>
  <c r="A1045" i="2"/>
  <c r="A1031" i="2"/>
  <c r="A1017" i="2"/>
  <c r="A1003" i="2"/>
  <c r="A989" i="2"/>
  <c r="A975" i="2"/>
  <c r="A960" i="2"/>
  <c r="A945" i="2"/>
  <c r="A930" i="2"/>
  <c r="A915" i="2"/>
  <c r="A900" i="2"/>
  <c r="A885" i="2"/>
  <c r="A870" i="2"/>
  <c r="A855" i="2"/>
  <c r="A840" i="2"/>
  <c r="A825" i="2"/>
  <c r="A810" i="2"/>
  <c r="A795" i="2"/>
  <c r="A780" i="2"/>
  <c r="A765" i="2"/>
  <c r="A750" i="2"/>
  <c r="A735" i="2"/>
  <c r="A721" i="2"/>
  <c r="A710" i="2"/>
  <c r="A1058" i="2"/>
  <c r="A1044" i="2"/>
  <c r="A1030" i="2"/>
  <c r="A1016" i="2"/>
  <c r="A1002" i="2"/>
  <c r="A988" i="2"/>
  <c r="A974" i="2"/>
  <c r="A959" i="2"/>
  <c r="A944" i="2"/>
  <c r="A929" i="2"/>
  <c r="A914" i="2"/>
  <c r="A899" i="2"/>
  <c r="A884" i="2"/>
  <c r="A869" i="2"/>
  <c r="A854" i="2"/>
  <c r="A839" i="2"/>
  <c r="A824" i="2"/>
  <c r="A809" i="2"/>
  <c r="A794" i="2"/>
  <c r="A779" i="2"/>
  <c r="A764" i="2"/>
  <c r="A749" i="2"/>
  <c r="A734" i="2"/>
  <c r="A720" i="2"/>
  <c r="A1057" i="2"/>
  <c r="A1043" i="2"/>
  <c r="A1029" i="2"/>
  <c r="A1015" i="2"/>
  <c r="A1001" i="2"/>
  <c r="A987" i="2"/>
  <c r="A973" i="2"/>
  <c r="A958" i="2"/>
  <c r="A943" i="2"/>
  <c r="A928" i="2"/>
  <c r="A913" i="2"/>
  <c r="A898" i="2"/>
  <c r="A883" i="2"/>
  <c r="A868" i="2"/>
  <c r="A853" i="2"/>
  <c r="A838" i="2"/>
  <c r="A823" i="2"/>
  <c r="A808" i="2"/>
  <c r="A793" i="2"/>
  <c r="A778" i="2"/>
  <c r="A763" i="2"/>
  <c r="A748" i="2"/>
  <c r="A733" i="2"/>
  <c r="A719" i="2"/>
  <c r="A709" i="2"/>
  <c r="A700" i="2"/>
  <c r="A686" i="2"/>
  <c r="A672" i="2"/>
  <c r="A657" i="2"/>
  <c r="A642" i="2"/>
  <c r="A627" i="2"/>
  <c r="A612" i="2"/>
  <c r="A597" i="2"/>
  <c r="A582" i="2"/>
  <c r="A567" i="2"/>
  <c r="A552" i="2"/>
  <c r="A537" i="2"/>
  <c r="A522" i="2"/>
  <c r="A506" i="2"/>
  <c r="A490" i="2"/>
  <c r="A474" i="2"/>
  <c r="A458" i="2"/>
  <c r="A442" i="2"/>
  <c r="A426" i="2"/>
  <c r="A410" i="2"/>
  <c r="A394" i="2"/>
  <c r="A378" i="2"/>
  <c r="A362" i="2"/>
  <c r="A346" i="2"/>
  <c r="A330" i="2"/>
  <c r="A699" i="2"/>
  <c r="A685" i="2"/>
  <c r="A671" i="2"/>
  <c r="A656" i="2"/>
  <c r="A641" i="2"/>
  <c r="A626" i="2"/>
  <c r="A611" i="2"/>
  <c r="A596" i="2"/>
  <c r="A581" i="2"/>
  <c r="A566" i="2"/>
  <c r="A551" i="2"/>
  <c r="A536" i="2"/>
  <c r="A521" i="2"/>
  <c r="A505" i="2"/>
  <c r="A489" i="2"/>
  <c r="A473" i="2"/>
  <c r="A457" i="2"/>
  <c r="A441" i="2"/>
  <c r="A425" i="2"/>
  <c r="A409" i="2"/>
  <c r="A393" i="2"/>
  <c r="A377" i="2"/>
  <c r="A361" i="2"/>
  <c r="A345" i="2"/>
  <c r="A329" i="2"/>
  <c r="A315" i="2"/>
  <c r="A698" i="2"/>
  <c r="A684" i="2"/>
  <c r="A670" i="2"/>
  <c r="A655" i="2"/>
  <c r="A640" i="2"/>
  <c r="A625" i="2"/>
  <c r="A610" i="2"/>
  <c r="A595" i="2"/>
  <c r="A580" i="2"/>
  <c r="A565" i="2"/>
  <c r="A550" i="2"/>
  <c r="A535" i="2"/>
  <c r="A520" i="2"/>
  <c r="A504" i="2"/>
  <c r="A488" i="2"/>
  <c r="A472" i="2"/>
  <c r="A456" i="2"/>
  <c r="A440" i="2"/>
  <c r="A424" i="2"/>
  <c r="A408" i="2"/>
  <c r="A392" i="2"/>
  <c r="A376" i="2"/>
  <c r="A360" i="2"/>
  <c r="A344" i="2"/>
  <c r="A328" i="2"/>
  <c r="A697" i="2"/>
  <c r="A683" i="2"/>
  <c r="A669" i="2"/>
  <c r="A654" i="2"/>
  <c r="A639" i="2"/>
  <c r="A624" i="2"/>
  <c r="A609" i="2"/>
  <c r="A594" i="2"/>
  <c r="A579" i="2"/>
  <c r="A564" i="2"/>
  <c r="A549" i="2"/>
  <c r="A534" i="2"/>
  <c r="A519" i="2"/>
  <c r="A503" i="2"/>
  <c r="A487" i="2"/>
  <c r="A471" i="2"/>
  <c r="A455" i="2"/>
  <c r="A439" i="2"/>
  <c r="A423" i="2"/>
  <c r="A407" i="2"/>
  <c r="A391" i="2"/>
  <c r="A375" i="2"/>
  <c r="A359" i="2"/>
  <c r="A343" i="2"/>
  <c r="A327" i="2"/>
  <c r="A696" i="2"/>
  <c r="A682" i="2"/>
  <c r="A668" i="2"/>
  <c r="A653" i="2"/>
  <c r="A638" i="2"/>
  <c r="A623" i="2"/>
  <c r="A608" i="2"/>
  <c r="A593" i="2"/>
  <c r="A578" i="2"/>
  <c r="A563" i="2"/>
  <c r="A548" i="2"/>
  <c r="A533" i="2"/>
  <c r="A518" i="2"/>
  <c r="A502" i="2"/>
  <c r="A486" i="2"/>
  <c r="A470" i="2"/>
  <c r="A454" i="2"/>
  <c r="A438" i="2"/>
  <c r="A422" i="2"/>
  <c r="A406" i="2"/>
  <c r="A390" i="2"/>
  <c r="A374" i="2"/>
  <c r="A358" i="2"/>
  <c r="A342" i="2"/>
  <c r="A326" i="2"/>
  <c r="A314" i="2"/>
  <c r="A517" i="2"/>
  <c r="A501" i="2"/>
  <c r="A485" i="2"/>
  <c r="A469" i="2"/>
  <c r="A453" i="2"/>
  <c r="A437" i="2"/>
  <c r="A421" i="2"/>
  <c r="A405" i="2"/>
  <c r="A389" i="2"/>
  <c r="A373" i="2"/>
  <c r="A357" i="2"/>
  <c r="A341" i="2"/>
  <c r="A667" i="2"/>
  <c r="A652" i="2"/>
  <c r="A637" i="2"/>
  <c r="A622" i="2"/>
  <c r="A607" i="2"/>
  <c r="A592" i="2"/>
  <c r="A577" i="2"/>
  <c r="A562" i="2"/>
  <c r="A547" i="2"/>
  <c r="A532" i="2"/>
  <c r="A516" i="2"/>
  <c r="A500" i="2"/>
  <c r="A484" i="2"/>
  <c r="A468" i="2"/>
  <c r="A452" i="2"/>
  <c r="A436" i="2"/>
  <c r="A420" i="2"/>
  <c r="A404" i="2"/>
  <c r="A388" i="2"/>
  <c r="A372" i="2"/>
  <c r="A356" i="2"/>
  <c r="A340" i="2"/>
  <c r="A325" i="2"/>
  <c r="A313" i="2"/>
  <c r="A306" i="2"/>
  <c r="A301" i="2"/>
  <c r="A695" i="2"/>
  <c r="A681" i="2"/>
  <c r="A666" i="2"/>
  <c r="A651" i="2"/>
  <c r="A636" i="2"/>
  <c r="A621" i="2"/>
  <c r="A606" i="2"/>
  <c r="A591" i="2"/>
  <c r="A576" i="2"/>
  <c r="A561" i="2"/>
  <c r="A546" i="2"/>
  <c r="A531" i="2"/>
  <c r="A515" i="2"/>
  <c r="A499" i="2"/>
  <c r="A483" i="2"/>
  <c r="A467" i="2"/>
  <c r="A451" i="2"/>
  <c r="A435" i="2"/>
  <c r="A419" i="2"/>
  <c r="A403" i="2"/>
  <c r="A387" i="2"/>
  <c r="A371" i="2"/>
  <c r="A355" i="2"/>
  <c r="A339" i="2"/>
  <c r="A324" i="2"/>
  <c r="A312" i="2"/>
  <c r="A305" i="2"/>
  <c r="A300" i="2"/>
  <c r="A694" i="2"/>
  <c r="A680" i="2"/>
  <c r="A665" i="2"/>
  <c r="A650" i="2"/>
  <c r="A635" i="2"/>
  <c r="A620" i="2"/>
  <c r="A605" i="2"/>
  <c r="A590" i="2"/>
  <c r="A575" i="2"/>
  <c r="A560" i="2"/>
  <c r="A545" i="2"/>
  <c r="A530" i="2"/>
  <c r="A514" i="2"/>
  <c r="A498" i="2"/>
  <c r="A482" i="2"/>
  <c r="A466" i="2"/>
  <c r="A450" i="2"/>
  <c r="A434" i="2"/>
  <c r="A418" i="2"/>
  <c r="A402" i="2"/>
  <c r="A386" i="2"/>
  <c r="A370" i="2"/>
  <c r="A354" i="2"/>
  <c r="A338" i="2"/>
  <c r="A323" i="2"/>
  <c r="A311" i="2"/>
  <c r="A693" i="2"/>
  <c r="A679" i="2"/>
  <c r="A664" i="2"/>
  <c r="A649" i="2"/>
  <c r="A634" i="2"/>
  <c r="A619" i="2"/>
  <c r="A604" i="2"/>
  <c r="A589" i="2"/>
  <c r="A574" i="2"/>
  <c r="A559" i="2"/>
  <c r="A544" i="2"/>
  <c r="A529" i="2"/>
  <c r="A513" i="2"/>
  <c r="A497" i="2"/>
  <c r="A481" i="2"/>
  <c r="A465" i="2"/>
  <c r="A449" i="2"/>
  <c r="A433" i="2"/>
  <c r="A417" i="2"/>
  <c r="A401" i="2"/>
  <c r="A385" i="2"/>
  <c r="A369" i="2"/>
  <c r="A353" i="2"/>
  <c r="A337" i="2"/>
  <c r="A322" i="2"/>
  <c r="A310" i="2"/>
  <c r="A304" i="2"/>
  <c r="A692" i="2"/>
  <c r="A678" i="2"/>
  <c r="A663" i="2"/>
  <c r="A648" i="2"/>
  <c r="A633" i="2"/>
  <c r="A618" i="2"/>
  <c r="A603" i="2"/>
  <c r="A588" i="2"/>
  <c r="A573" i="2"/>
  <c r="A558" i="2"/>
  <c r="A543" i="2"/>
  <c r="A528" i="2"/>
  <c r="A512" i="2"/>
  <c r="A496" i="2"/>
  <c r="A480" i="2"/>
  <c r="A464" i="2"/>
  <c r="A448" i="2"/>
  <c r="A432" i="2"/>
  <c r="A416" i="2"/>
  <c r="A400" i="2"/>
  <c r="A384" i="2"/>
  <c r="A368" i="2"/>
  <c r="A352" i="2"/>
  <c r="A336" i="2"/>
  <c r="A321" i="2"/>
  <c r="A691" i="2"/>
  <c r="A677" i="2"/>
  <c r="A662" i="2"/>
  <c r="A647" i="2"/>
  <c r="A632" i="2"/>
  <c r="A617" i="2"/>
  <c r="A602" i="2"/>
  <c r="A587" i="2"/>
  <c r="A572" i="2"/>
  <c r="A557" i="2"/>
  <c r="A542" i="2"/>
  <c r="A527" i="2"/>
  <c r="A511" i="2"/>
  <c r="A495" i="2"/>
  <c r="A479" i="2"/>
  <c r="A463" i="2"/>
  <c r="A447" i="2"/>
  <c r="A431" i="2"/>
  <c r="A415" i="2"/>
  <c r="A399" i="2"/>
  <c r="A383" i="2"/>
  <c r="A367" i="2"/>
  <c r="A351" i="2"/>
  <c r="A335" i="2"/>
  <c r="A320" i="2"/>
  <c r="A690" i="2"/>
  <c r="A676" i="2"/>
  <c r="A661" i="2"/>
  <c r="A646" i="2"/>
  <c r="A631" i="2"/>
  <c r="A616" i="2"/>
  <c r="A601" i="2"/>
  <c r="A586" i="2"/>
  <c r="A571" i="2"/>
  <c r="A556" i="2"/>
  <c r="A541" i="2"/>
  <c r="A526" i="2"/>
  <c r="A510" i="2"/>
  <c r="A494" i="2"/>
  <c r="A478" i="2"/>
  <c r="A462" i="2"/>
  <c r="A446" i="2"/>
  <c r="A430" i="2"/>
  <c r="A414" i="2"/>
  <c r="A398" i="2"/>
  <c r="A382" i="2"/>
  <c r="A366" i="2"/>
  <c r="A350" i="2"/>
  <c r="A334" i="2"/>
  <c r="A319" i="2"/>
  <c r="A309" i="2"/>
  <c r="A303" i="2"/>
  <c r="A689" i="2"/>
  <c r="A675" i="2"/>
  <c r="A660" i="2"/>
  <c r="A645" i="2"/>
  <c r="A630" i="2"/>
  <c r="A615" i="2"/>
  <c r="A600" i="2"/>
  <c r="A585" i="2"/>
  <c r="A570" i="2"/>
  <c r="A555" i="2"/>
  <c r="A540" i="2"/>
  <c r="A525" i="2"/>
  <c r="A509" i="2"/>
  <c r="A493" i="2"/>
  <c r="A477" i="2"/>
  <c r="A461" i="2"/>
  <c r="A445" i="2"/>
  <c r="A429" i="2"/>
  <c r="A413" i="2"/>
  <c r="A397" i="2"/>
  <c r="A381" i="2"/>
  <c r="A365" i="2"/>
  <c r="A349" i="2"/>
  <c r="A333" i="2"/>
  <c r="A318" i="2"/>
  <c r="A308" i="2"/>
  <c r="A688" i="2"/>
  <c r="A674" i="2"/>
  <c r="A659" i="2"/>
  <c r="A644" i="2"/>
  <c r="A629" i="2"/>
  <c r="A614" i="2"/>
  <c r="A599" i="2"/>
  <c r="A584" i="2"/>
  <c r="A569" i="2"/>
  <c r="A554" i="2"/>
  <c r="A539" i="2"/>
  <c r="A524" i="2"/>
  <c r="A508" i="2"/>
  <c r="A492" i="2"/>
  <c r="A476" i="2"/>
  <c r="A460" i="2"/>
  <c r="A444" i="2"/>
  <c r="A428" i="2"/>
  <c r="A412" i="2"/>
  <c r="A396" i="2"/>
  <c r="A380" i="2"/>
  <c r="A364" i="2"/>
  <c r="A348" i="2"/>
  <c r="A332" i="2"/>
  <c r="A317" i="2"/>
  <c r="I1643" i="2" l="1"/>
  <c r="J1643" i="2"/>
  <c r="D1643" i="2"/>
  <c r="T1643" i="2"/>
  <c r="L1643" i="2"/>
  <c r="G1643" i="2"/>
  <c r="M1643" i="2"/>
  <c r="N1643" i="2"/>
  <c r="H1643" i="2"/>
  <c r="R1643" i="2"/>
  <c r="E1643" i="2"/>
  <c r="U1643" i="2"/>
  <c r="O1643" i="2"/>
  <c r="F1643" i="2"/>
  <c r="V1643" i="2"/>
  <c r="S1643" i="2"/>
  <c r="P1643" i="2"/>
  <c r="AE4" i="4"/>
  <c r="AF4" i="4"/>
  <c r="AG4" i="4"/>
  <c r="AH4" i="4"/>
  <c r="AI4" i="4"/>
  <c r="AE5" i="4"/>
  <c r="AF5" i="4"/>
  <c r="AG5" i="4"/>
  <c r="AH5" i="4"/>
  <c r="AI5" i="4"/>
  <c r="AE6" i="4"/>
  <c r="AF6" i="4"/>
  <c r="AG6" i="4"/>
  <c r="AH6" i="4"/>
  <c r="AI6" i="4"/>
  <c r="AE7" i="4"/>
  <c r="AF7" i="4"/>
  <c r="AG7" i="4"/>
  <c r="AH7" i="4"/>
  <c r="AI7" i="4"/>
  <c r="AE8" i="4"/>
  <c r="AF8" i="4"/>
  <c r="AG8" i="4"/>
  <c r="AH8" i="4"/>
  <c r="AI8" i="4"/>
  <c r="AE9" i="4"/>
  <c r="AF9" i="4"/>
  <c r="AG9" i="4"/>
  <c r="AH9" i="4"/>
  <c r="AI9" i="4"/>
  <c r="AE10" i="4"/>
  <c r="AF10" i="4"/>
  <c r="AG10" i="4"/>
  <c r="AH10" i="4"/>
  <c r="AI10" i="4"/>
  <c r="AE11" i="4"/>
  <c r="AF11" i="4"/>
  <c r="AG11" i="4"/>
  <c r="AH11" i="4"/>
  <c r="AI11" i="4"/>
  <c r="AE12" i="4"/>
  <c r="AF12" i="4"/>
  <c r="AG12" i="4"/>
  <c r="AH12" i="4"/>
  <c r="AI12" i="4"/>
  <c r="AE13" i="4"/>
  <c r="AF13" i="4"/>
  <c r="AG13" i="4"/>
  <c r="AH13" i="4"/>
  <c r="AI13" i="4"/>
  <c r="AE14" i="4"/>
  <c r="AF14" i="4"/>
  <c r="AG14" i="4"/>
  <c r="AH14" i="4"/>
  <c r="AI14" i="4"/>
  <c r="AE15" i="4"/>
  <c r="AF15" i="4"/>
  <c r="AG15" i="4"/>
  <c r="AH15" i="4"/>
  <c r="AI15" i="4"/>
  <c r="AE16" i="4"/>
  <c r="AF16" i="4"/>
  <c r="AG16" i="4"/>
  <c r="AH16" i="4"/>
  <c r="AI16" i="4"/>
  <c r="AE17" i="4"/>
  <c r="AF17" i="4"/>
  <c r="AG17" i="4"/>
  <c r="AH17" i="4"/>
  <c r="AI17" i="4"/>
  <c r="AE18" i="4"/>
  <c r="AF18" i="4"/>
  <c r="AG18" i="4"/>
  <c r="AH18" i="4"/>
  <c r="AI18" i="4"/>
  <c r="AE19" i="4"/>
  <c r="AF19" i="4"/>
  <c r="AG19" i="4"/>
  <c r="AH19" i="4"/>
  <c r="AI19" i="4"/>
  <c r="AE20" i="4"/>
  <c r="AF20" i="4"/>
  <c r="AG20" i="4"/>
  <c r="AH20" i="4"/>
  <c r="AI20" i="4"/>
  <c r="AE21" i="4"/>
  <c r="AF21" i="4"/>
  <c r="AG21" i="4"/>
  <c r="AH21" i="4"/>
  <c r="AI21" i="4"/>
  <c r="AE22" i="4"/>
  <c r="AF22" i="4"/>
  <c r="AG22" i="4"/>
  <c r="AH22" i="4"/>
  <c r="AI22" i="4"/>
  <c r="AE23" i="4"/>
  <c r="AF23" i="4"/>
  <c r="AG23" i="4"/>
  <c r="AH23" i="4"/>
  <c r="AI23" i="4"/>
  <c r="AE24" i="4"/>
  <c r="AF24" i="4"/>
  <c r="AG24" i="4"/>
  <c r="AH24" i="4"/>
  <c r="AI24" i="4"/>
  <c r="AE25" i="4"/>
  <c r="AF25" i="4"/>
  <c r="AG25" i="4"/>
  <c r="AH25" i="4"/>
  <c r="AI25" i="4"/>
  <c r="AE26" i="4"/>
  <c r="AF26" i="4"/>
  <c r="AG26" i="4"/>
  <c r="AH26" i="4"/>
  <c r="AI26" i="4"/>
  <c r="AE27" i="4"/>
  <c r="AF27" i="4"/>
  <c r="AG27" i="4"/>
  <c r="AH27" i="4"/>
  <c r="AI27" i="4"/>
  <c r="AE28" i="4"/>
  <c r="AF28" i="4"/>
  <c r="AG28" i="4"/>
  <c r="AH28" i="4"/>
  <c r="AI28" i="4"/>
  <c r="AE29" i="4"/>
  <c r="AF29" i="4"/>
  <c r="AG29" i="4"/>
  <c r="AH29" i="4"/>
  <c r="AI29" i="4"/>
  <c r="AE30" i="4"/>
  <c r="AF30" i="4"/>
  <c r="AG30" i="4"/>
  <c r="AH30" i="4"/>
  <c r="AI30" i="4"/>
  <c r="AF3" i="4"/>
  <c r="AG3" i="4"/>
  <c r="AH3" i="4"/>
  <c r="AI3" i="4"/>
  <c r="AE3" i="4"/>
  <c r="A1" i="2"/>
</calcChain>
</file>

<file path=xl/sharedStrings.xml><?xml version="1.0" encoding="utf-8"?>
<sst xmlns="http://schemas.openxmlformats.org/spreadsheetml/2006/main" count="3772" uniqueCount="232">
  <si>
    <t>Plot</t>
  </si>
  <si>
    <t>Tree</t>
  </si>
  <si>
    <t>Ring</t>
  </si>
  <si>
    <t>Year</t>
  </si>
  <si>
    <t>Width</t>
  </si>
  <si>
    <t>%</t>
  </si>
  <si>
    <t>Areas</t>
  </si>
  <si>
    <t>E/Wd</t>
  </si>
  <si>
    <t>L/Wd</t>
  </si>
  <si>
    <t>Unif</t>
  </si>
  <si>
    <t>Min</t>
  </si>
  <si>
    <t>Max</t>
  </si>
  <si>
    <t>Rng</t>
  </si>
  <si>
    <t>Core</t>
  </si>
  <si>
    <t>Cross-sect</t>
  </si>
  <si>
    <t>EW/LW</t>
  </si>
  <si>
    <t>Attn.</t>
  </si>
  <si>
    <t>ID</t>
  </si>
  <si>
    <t>No.</t>
  </si>
  <si>
    <t>#</t>
  </si>
  <si>
    <t>Outer rad</t>
  </si>
  <si>
    <t>E wood</t>
  </si>
  <si>
    <t>L wood</t>
  </si>
  <si>
    <t>LW</t>
  </si>
  <si>
    <t>Incr</t>
  </si>
  <si>
    <t>Total</t>
  </si>
  <si>
    <t>mean</t>
  </si>
  <si>
    <t>length</t>
  </si>
  <si>
    <t>density</t>
  </si>
  <si>
    <t>threshold</t>
  </si>
  <si>
    <t>Constant</t>
  </si>
  <si>
    <t>(mm)</t>
  </si>
  <si>
    <r>
      <t>(kg/m</t>
    </r>
    <r>
      <rPr>
        <vertAlign val="superscript"/>
        <sz val="10"/>
        <rFont val="Arial"/>
        <family val="2"/>
      </rPr>
      <t>3</t>
    </r>
    <r>
      <rPr>
        <sz val="11"/>
        <color theme="1"/>
        <rFont val="Calibri"/>
        <family val="2"/>
        <scheme val="minor"/>
      </rPr>
      <t>)</t>
    </r>
  </si>
  <si>
    <t>AK6</t>
  </si>
  <si>
    <t>17a</t>
  </si>
  <si>
    <t>17b</t>
  </si>
  <si>
    <t>AK7</t>
  </si>
  <si>
    <t>AK8</t>
  </si>
  <si>
    <t>AK9</t>
  </si>
  <si>
    <t>AK10</t>
  </si>
  <si>
    <t>Ring No</t>
  </si>
  <si>
    <t>O rad width</t>
  </si>
  <si>
    <t>Ring Width</t>
  </si>
  <si>
    <t>EW Width</t>
  </si>
  <si>
    <t>LW Width</t>
  </si>
  <si>
    <t>LW %</t>
  </si>
  <si>
    <t>Incr Area</t>
  </si>
  <si>
    <t>Total Area</t>
  </si>
  <si>
    <t>Ring Den</t>
  </si>
  <si>
    <t>E/W Den</t>
  </si>
  <si>
    <t>L/W Den</t>
  </si>
  <si>
    <t>Unif Den</t>
  </si>
  <si>
    <t>Min Den</t>
  </si>
  <si>
    <t>Max Den</t>
  </si>
  <si>
    <t>Range Den</t>
  </si>
  <si>
    <t>Core len</t>
  </si>
  <si>
    <t>Core Den</t>
  </si>
  <si>
    <t>X-sect Den</t>
  </si>
  <si>
    <t>EW/LW Thesh</t>
  </si>
  <si>
    <t>Att Const</t>
  </si>
  <si>
    <t>Tree No.</t>
  </si>
  <si>
    <t>AK6 - 1985 Average</t>
  </si>
  <si>
    <t>AK6 - 1986 Average</t>
  </si>
  <si>
    <t>AK6 - 1987 Average</t>
  </si>
  <si>
    <t>AK6 - 1988 Average</t>
  </si>
  <si>
    <t>AK6 - 1989 Average</t>
  </si>
  <si>
    <t>AK6 - 1990 Average</t>
  </si>
  <si>
    <t>AK6 - 1991 Average</t>
  </si>
  <si>
    <t>AK6 - 1992 Average</t>
  </si>
  <si>
    <t>AK6 - 1993 Average</t>
  </si>
  <si>
    <t>AK6 - 1994 Average</t>
  </si>
  <si>
    <t>AK6 - 1995 Average</t>
  </si>
  <si>
    <t>AK6 - 1996 Average</t>
  </si>
  <si>
    <t>AK6 - 1997 Average</t>
  </si>
  <si>
    <t>AK6 - 1998 Average</t>
  </si>
  <si>
    <t>AK6 - 1999 Average</t>
  </si>
  <si>
    <t>AK6 - 2000 Average</t>
  </si>
  <si>
    <t>AK6 - 2001 Average</t>
  </si>
  <si>
    <t>AK6 - 2002 Average</t>
  </si>
  <si>
    <t>AK6 - 2003 Average</t>
  </si>
  <si>
    <t>AK6 - 2004 Average</t>
  </si>
  <si>
    <t>AK6 - 2005 Average</t>
  </si>
  <si>
    <t>AK6 - 2006 Average</t>
  </si>
  <si>
    <t>AK6 - 2007 Average</t>
  </si>
  <si>
    <t>AK6 - 2008 Average</t>
  </si>
  <si>
    <t>AK6 - 2009 Average</t>
  </si>
  <si>
    <t>AK6 - 2010 Average</t>
  </si>
  <si>
    <t>AK6 - 2011 Average</t>
  </si>
  <si>
    <t>AK6 - 2012 Average</t>
  </si>
  <si>
    <t>AK7 - 1986 Average</t>
  </si>
  <si>
    <t>AK7 - 1987 Average</t>
  </si>
  <si>
    <t>AK7 - 1988 Average</t>
  </si>
  <si>
    <t>AK7 - 1989 Average</t>
  </si>
  <si>
    <t>AK7 - 1990 Average</t>
  </si>
  <si>
    <t>AK7 - 1991 Average</t>
  </si>
  <si>
    <t>AK7 - 1992 Average</t>
  </si>
  <si>
    <t>AK7 - 1993 Average</t>
  </si>
  <si>
    <t>AK7 - 1994 Average</t>
  </si>
  <si>
    <t>AK7 - 1995 Average</t>
  </si>
  <si>
    <t>AK7 - 1996 Average</t>
  </si>
  <si>
    <t>AK7 - 1997 Average</t>
  </si>
  <si>
    <t>AK7 - 1998 Average</t>
  </si>
  <si>
    <t>AK7 - 1999 Average</t>
  </si>
  <si>
    <t>AK7 - 2000 Average</t>
  </si>
  <si>
    <t>AK7 - 2001 Average</t>
  </si>
  <si>
    <t>AK7 - 2002 Average</t>
  </si>
  <si>
    <t>AK7 - 2003 Average</t>
  </si>
  <si>
    <t>AK7 - 2004 Average</t>
  </si>
  <si>
    <t>AK7 - 2005 Average</t>
  </si>
  <si>
    <t>AK7 - 2006 Average</t>
  </si>
  <si>
    <t>AK7 - 2007 Average</t>
  </si>
  <si>
    <t>AK7 - 2008 Average</t>
  </si>
  <si>
    <t>AK7 - 2009 Average</t>
  </si>
  <si>
    <t>AK7 - 2010 Average</t>
  </si>
  <si>
    <t>AK7 - 2011 Average</t>
  </si>
  <si>
    <t>AK7 - 2012 Average</t>
  </si>
  <si>
    <t>AK8 - 1986 Average</t>
  </si>
  <si>
    <t>AK8 - 1987 Average</t>
  </si>
  <si>
    <t>AK8 - 1988 Average</t>
  </si>
  <si>
    <t>AK8 - 1989 Average</t>
  </si>
  <si>
    <t>AK8 - 1990 Average</t>
  </si>
  <si>
    <t>AK8 - 1991 Average</t>
  </si>
  <si>
    <t>AK8 - 1992 Average</t>
  </si>
  <si>
    <t>AK8 - 1993 Average</t>
  </si>
  <si>
    <t>AK8 - 1994 Average</t>
  </si>
  <si>
    <t>AK8 - 1995 Average</t>
  </si>
  <si>
    <t>AK8 - 1996 Average</t>
  </si>
  <si>
    <t>AK8 - 1997 Average</t>
  </si>
  <si>
    <t>AK8 - 1998 Average</t>
  </si>
  <si>
    <t>AK8 - 1999 Average</t>
  </si>
  <si>
    <t>AK8 - 2000 Average</t>
  </si>
  <si>
    <t>AK8 - 2001 Average</t>
  </si>
  <si>
    <t>AK8 - 2002 Average</t>
  </si>
  <si>
    <t>AK8 - 2003 Average</t>
  </si>
  <si>
    <t>AK8 - 2004 Average</t>
  </si>
  <si>
    <t>AK8 - 2005 Average</t>
  </si>
  <si>
    <t>AK8 - 2006 Average</t>
  </si>
  <si>
    <t>AK8 - 2007 Average</t>
  </si>
  <si>
    <t>AK8 - 2008 Average</t>
  </si>
  <si>
    <t>AK8 - 2009 Average</t>
  </si>
  <si>
    <t>AK8 - 2010 Average</t>
  </si>
  <si>
    <t>AK8 - 2011 Average</t>
  </si>
  <si>
    <t>AK8 - 2012 Average</t>
  </si>
  <si>
    <t>AK9 - 1987 Average</t>
  </si>
  <si>
    <t>AK9 - 1988 Average</t>
  </si>
  <si>
    <t>AK9 - 1989 Average</t>
  </si>
  <si>
    <t>AK9 - 1990 Average</t>
  </si>
  <si>
    <t>AK9 - 1991 Average</t>
  </si>
  <si>
    <t>AK9 - 1992 Average</t>
  </si>
  <si>
    <t>AK9 - 1993 Average</t>
  </si>
  <si>
    <t>AK9 - 1994 Average</t>
  </si>
  <si>
    <t>AK9 - 1995 Average</t>
  </si>
  <si>
    <t>AK9 - 1996 Average</t>
  </si>
  <si>
    <t>AK9 - 1997 Average</t>
  </si>
  <si>
    <t>AK9 - 1998 Average</t>
  </si>
  <si>
    <t>AK9 - 1999 Average</t>
  </si>
  <si>
    <t>AK9 - 2000 Average</t>
  </si>
  <si>
    <t>AK9 - 2001 Average</t>
  </si>
  <si>
    <t>AK9 - 2002 Average</t>
  </si>
  <si>
    <t>AK9 - 2003 Average</t>
  </si>
  <si>
    <t>AK9 - 2004 Average</t>
  </si>
  <si>
    <t>AK9 - 2005 Average</t>
  </si>
  <si>
    <t>AK9 - 2006 Average</t>
  </si>
  <si>
    <t>AK9 - 2007 Average</t>
  </si>
  <si>
    <t>AK9 - 2008 Average</t>
  </si>
  <si>
    <t>AK9 - 2009 Average</t>
  </si>
  <si>
    <t>AK9 - 2010 Average</t>
  </si>
  <si>
    <t>AK9 - 2011 Average</t>
  </si>
  <si>
    <t>AK9 - 2012 Average</t>
  </si>
  <si>
    <t>AK10 - 1987 Average</t>
  </si>
  <si>
    <t>AK10 - 1988 Average</t>
  </si>
  <si>
    <t>AK10 - 1989 Average</t>
  </si>
  <si>
    <t>AK10 - 1990 Average</t>
  </si>
  <si>
    <t>AK10 - 1991 Average</t>
  </si>
  <si>
    <t>AK10 - 1992 Average</t>
  </si>
  <si>
    <t>AK10 - 1993 Average</t>
  </si>
  <si>
    <t>AK10 - 1994 Average</t>
  </si>
  <si>
    <t>AK10 - 1995 Average</t>
  </si>
  <si>
    <t>AK10 - 1996 Average</t>
  </si>
  <si>
    <t>AK10 - 1997 Average</t>
  </si>
  <si>
    <t>AK10 - 1998 Average</t>
  </si>
  <si>
    <t>AK10 - 1999 Average</t>
  </si>
  <si>
    <t>AK10 - 2000 Average</t>
  </si>
  <si>
    <t>AK10 - 2001 Average</t>
  </si>
  <si>
    <t>AK10 - 2002 Average</t>
  </si>
  <si>
    <t>AK10 - 2003 Average</t>
  </si>
  <si>
    <t>AK10 - 2004 Average</t>
  </si>
  <si>
    <t>AK10 - 2005 Average</t>
  </si>
  <si>
    <t>AK10 - 2006 Average</t>
  </si>
  <si>
    <t>AK10 - 2007 Average</t>
  </si>
  <si>
    <t>AK10 - 2008 Average</t>
  </si>
  <si>
    <t>AK10 - 2009 Average</t>
  </si>
  <si>
    <t>AK10 - 2010 Average</t>
  </si>
  <si>
    <t>AK10 - 2011 Average</t>
  </si>
  <si>
    <t>AK10 - 2012 Average</t>
  </si>
  <si>
    <t>Grand Average</t>
  </si>
  <si>
    <t>Plot - Year</t>
  </si>
  <si>
    <t>1985 Average</t>
  </si>
  <si>
    <t>1986 Average</t>
  </si>
  <si>
    <t>1987 Average</t>
  </si>
  <si>
    <t>1988 Average</t>
  </si>
  <si>
    <t>1989 Average</t>
  </si>
  <si>
    <t>1990 Average</t>
  </si>
  <si>
    <t>1991 Average</t>
  </si>
  <si>
    <t>1992 Average</t>
  </si>
  <si>
    <t>1993 Average</t>
  </si>
  <si>
    <t>1994 Average</t>
  </si>
  <si>
    <t>1995 Average</t>
  </si>
  <si>
    <t>1996 Average</t>
  </si>
  <si>
    <t>1997 Average</t>
  </si>
  <si>
    <t>1998 Average</t>
  </si>
  <si>
    <t>1999 Average</t>
  </si>
  <si>
    <t>2000 Average</t>
  </si>
  <si>
    <t>2001 Average</t>
  </si>
  <si>
    <t>2002 Average</t>
  </si>
  <si>
    <t>2003 Average</t>
  </si>
  <si>
    <t>2004 Average</t>
  </si>
  <si>
    <t>2005 Average</t>
  </si>
  <si>
    <t>2006 Average</t>
  </si>
  <si>
    <t>2007 Average</t>
  </si>
  <si>
    <t>2008 Average</t>
  </si>
  <si>
    <t>2009 Average</t>
  </si>
  <si>
    <t>2010 Average</t>
  </si>
  <si>
    <t>2011 Average</t>
  </si>
  <si>
    <t>2012 Average</t>
  </si>
  <si>
    <t xml:space="preserve">AK7 </t>
  </si>
  <si>
    <t xml:space="preserve">AK8 </t>
  </si>
  <si>
    <t xml:space="preserve">AK9 </t>
  </si>
  <si>
    <t xml:space="preserve">AK10 </t>
  </si>
  <si>
    <t>All</t>
  </si>
  <si>
    <t>All Max</t>
  </si>
  <si>
    <r>
      <t>(cm</t>
    </r>
    <r>
      <rPr>
        <vertAlign val="superscript"/>
        <sz val="10"/>
        <rFont val="Arial"/>
        <family val="2"/>
      </rPr>
      <t>2</t>
    </r>
    <r>
      <rPr>
        <sz val="11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</si>
</sst>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vertAlign val="superscript"/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MS Sans Serif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5" fillId="0" borderId="0" xfId="1" applyFont="1" applyAlignment="1">
      <alignment horizontal="center"/>
    </xf>
    <xf numFmtId="1" fontId="5" fillId="0" borderId="0" xfId="1" applyNumberFormat="1" applyFont="1" applyAlignment="1">
      <alignment horizontal="center"/>
    </xf>
    <xf numFmtId="164" fontId="5" fillId="0" borderId="0" xfId="1" applyNumberFormat="1" applyFont="1" applyAlignment="1">
      <alignment horizontal="center"/>
    </xf>
    <xf numFmtId="164" fontId="0" fillId="0" borderId="0" xfId="0" applyNumberFormat="1"/>
    <xf numFmtId="1" fontId="0" fillId="0" borderId="0" xfId="0" applyNumberFormat="1"/>
    <xf numFmtId="0" fontId="2" fillId="0" borderId="0" xfId="0" applyFont="1"/>
    <xf numFmtId="0" fontId="3" fillId="0" borderId="0" xfId="0" applyFont="1"/>
  </cellXfs>
  <cellStyles count="2">
    <cellStyle name="Normal" xfId="0" builtinId="0"/>
    <cellStyle name="Normal_Sheet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Akarana Road Plots - Ring width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'Graph data'!$Q$2</c:f>
              <c:strCache>
                <c:ptCount val="1"/>
                <c:pt idx="0">
                  <c:v>AK6</c:v>
                </c:pt>
              </c:strCache>
            </c:strRef>
          </c:tx>
          <c:cat>
            <c:numRef>
              <c:f>'Graph data'!$P$3:$P$30</c:f>
              <c:numCache>
                <c:formatCode>General</c:formatCode>
                <c:ptCount val="28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</c:numCache>
            </c:numRef>
          </c:cat>
          <c:val>
            <c:numRef>
              <c:f>'Graph data'!$Q$3:$Q$30</c:f>
              <c:numCache>
                <c:formatCode>0</c:formatCode>
                <c:ptCount val="28"/>
                <c:pt idx="0">
                  <c:v>3.3</c:v>
                </c:pt>
                <c:pt idx="1">
                  <c:v>13.425000000000001</c:v>
                </c:pt>
                <c:pt idx="2">
                  <c:v>22.55</c:v>
                </c:pt>
                <c:pt idx="3">
                  <c:v>27.64285714</c:v>
                </c:pt>
                <c:pt idx="4">
                  <c:v>15.77333333</c:v>
                </c:pt>
                <c:pt idx="5">
                  <c:v>13.1</c:v>
                </c:pt>
                <c:pt idx="6">
                  <c:v>12.1</c:v>
                </c:pt>
                <c:pt idx="7">
                  <c:v>14.7</c:v>
                </c:pt>
                <c:pt idx="8">
                  <c:v>12.94</c:v>
                </c:pt>
                <c:pt idx="9">
                  <c:v>11.9</c:v>
                </c:pt>
                <c:pt idx="10">
                  <c:v>10.199999999999999</c:v>
                </c:pt>
                <c:pt idx="11">
                  <c:v>9.74</c:v>
                </c:pt>
                <c:pt idx="12">
                  <c:v>10.84</c:v>
                </c:pt>
                <c:pt idx="13">
                  <c:v>7.18</c:v>
                </c:pt>
                <c:pt idx="14">
                  <c:v>8.0399999999999991</c:v>
                </c:pt>
                <c:pt idx="15">
                  <c:v>6.88</c:v>
                </c:pt>
                <c:pt idx="16">
                  <c:v>6.45</c:v>
                </c:pt>
                <c:pt idx="17">
                  <c:v>4.8857142859999998</c:v>
                </c:pt>
                <c:pt idx="18">
                  <c:v>5.7</c:v>
                </c:pt>
                <c:pt idx="19">
                  <c:v>4.95</c:v>
                </c:pt>
                <c:pt idx="20">
                  <c:v>4.4357142859999996</c:v>
                </c:pt>
                <c:pt idx="21">
                  <c:v>3.621428571</c:v>
                </c:pt>
                <c:pt idx="22">
                  <c:v>3.3857142859999998</c:v>
                </c:pt>
                <c:pt idx="23">
                  <c:v>4.0928571429999998</c:v>
                </c:pt>
                <c:pt idx="24">
                  <c:v>4.414285714</c:v>
                </c:pt>
                <c:pt idx="25">
                  <c:v>4.0285714290000003</c:v>
                </c:pt>
                <c:pt idx="26">
                  <c:v>3.7153846150000001</c:v>
                </c:pt>
                <c:pt idx="27">
                  <c:v>2.8384615379999998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7F-4338-9C1E-1C0B7F43C56C}"/>
            </c:ext>
          </c:extLst>
        </c:ser>
        <c:ser>
          <c:idx val="1"/>
          <c:order val="1"/>
          <c:tx>
            <c:strRef>
              <c:f>'Graph data'!$R$2</c:f>
              <c:strCache>
                <c:ptCount val="1"/>
                <c:pt idx="0">
                  <c:v>AK7 </c:v>
                </c:pt>
              </c:strCache>
            </c:strRef>
          </c:tx>
          <c:cat>
            <c:numRef>
              <c:f>'Graph data'!$P$3:$P$30</c:f>
              <c:numCache>
                <c:formatCode>General</c:formatCode>
                <c:ptCount val="28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</c:numCache>
            </c:numRef>
          </c:cat>
          <c:val>
            <c:numRef>
              <c:f>'Graph data'!$R$3:$R$30</c:f>
              <c:numCache>
                <c:formatCode>0</c:formatCode>
                <c:ptCount val="28"/>
                <c:pt idx="1">
                  <c:v>11.4</c:v>
                </c:pt>
                <c:pt idx="2">
                  <c:v>16.125</c:v>
                </c:pt>
                <c:pt idx="3">
                  <c:v>29.47777778</c:v>
                </c:pt>
                <c:pt idx="4">
                  <c:v>25.415384620000001</c:v>
                </c:pt>
                <c:pt idx="5">
                  <c:v>14.85714286</c:v>
                </c:pt>
                <c:pt idx="6">
                  <c:v>13.457142859999999</c:v>
                </c:pt>
                <c:pt idx="7">
                  <c:v>14.72142857</c:v>
                </c:pt>
                <c:pt idx="8">
                  <c:v>11.35714286</c:v>
                </c:pt>
                <c:pt idx="9">
                  <c:v>10.371428570000001</c:v>
                </c:pt>
                <c:pt idx="10">
                  <c:v>8.335714286</c:v>
                </c:pt>
                <c:pt idx="11">
                  <c:v>10.050000000000001</c:v>
                </c:pt>
                <c:pt idx="12">
                  <c:v>10.84285714</c:v>
                </c:pt>
                <c:pt idx="13">
                  <c:v>7.8214285710000002</c:v>
                </c:pt>
                <c:pt idx="14">
                  <c:v>8.7642857139999997</c:v>
                </c:pt>
                <c:pt idx="15">
                  <c:v>8.6142857139999993</c:v>
                </c:pt>
                <c:pt idx="16">
                  <c:v>7.1571428570000002</c:v>
                </c:pt>
                <c:pt idx="17">
                  <c:v>6.9428571430000003</c:v>
                </c:pt>
                <c:pt idx="18">
                  <c:v>5.8071428569999997</c:v>
                </c:pt>
                <c:pt idx="19">
                  <c:v>5.0357142860000002</c:v>
                </c:pt>
                <c:pt idx="20">
                  <c:v>4.1142857140000002</c:v>
                </c:pt>
                <c:pt idx="21">
                  <c:v>2.7461538459999999</c:v>
                </c:pt>
                <c:pt idx="22">
                  <c:v>2.5153846149999999</c:v>
                </c:pt>
                <c:pt idx="23">
                  <c:v>3.5538461539999999</c:v>
                </c:pt>
                <c:pt idx="24">
                  <c:v>3.4153846149999998</c:v>
                </c:pt>
                <c:pt idx="25">
                  <c:v>3.461538462</c:v>
                </c:pt>
                <c:pt idx="26">
                  <c:v>2.8384615379999998</c:v>
                </c:pt>
                <c:pt idx="27">
                  <c:v>1.961538462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7F-4338-9C1E-1C0B7F43C56C}"/>
            </c:ext>
          </c:extLst>
        </c:ser>
        <c:ser>
          <c:idx val="2"/>
          <c:order val="2"/>
          <c:tx>
            <c:strRef>
              <c:f>'Graph data'!$S$2</c:f>
              <c:strCache>
                <c:ptCount val="1"/>
                <c:pt idx="0">
                  <c:v>AK8 </c:v>
                </c:pt>
              </c:strCache>
            </c:strRef>
          </c:tx>
          <c:cat>
            <c:numRef>
              <c:f>'Graph data'!$P$3:$P$30</c:f>
              <c:numCache>
                <c:formatCode>General</c:formatCode>
                <c:ptCount val="28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</c:numCache>
            </c:numRef>
          </c:cat>
          <c:val>
            <c:numRef>
              <c:f>'Graph data'!$S$3:$S$30</c:f>
              <c:numCache>
                <c:formatCode>0</c:formatCode>
                <c:ptCount val="28"/>
                <c:pt idx="1">
                  <c:v>11.7</c:v>
                </c:pt>
                <c:pt idx="2">
                  <c:v>25.288888889999999</c:v>
                </c:pt>
                <c:pt idx="3">
                  <c:v>18.61</c:v>
                </c:pt>
                <c:pt idx="4">
                  <c:v>16.260000000000002</c:v>
                </c:pt>
                <c:pt idx="5">
                  <c:v>13.11</c:v>
                </c:pt>
                <c:pt idx="6">
                  <c:v>11.58</c:v>
                </c:pt>
                <c:pt idx="7">
                  <c:v>13.05</c:v>
                </c:pt>
                <c:pt idx="8">
                  <c:v>10.44</c:v>
                </c:pt>
                <c:pt idx="9">
                  <c:v>9.06</c:v>
                </c:pt>
                <c:pt idx="10">
                  <c:v>7.71</c:v>
                </c:pt>
                <c:pt idx="11">
                  <c:v>9.84</c:v>
                </c:pt>
                <c:pt idx="12">
                  <c:v>11.79</c:v>
                </c:pt>
                <c:pt idx="13">
                  <c:v>8.4600000000000009</c:v>
                </c:pt>
                <c:pt idx="14">
                  <c:v>9.75</c:v>
                </c:pt>
                <c:pt idx="15">
                  <c:v>7.89</c:v>
                </c:pt>
                <c:pt idx="16">
                  <c:v>7.74</c:v>
                </c:pt>
                <c:pt idx="17">
                  <c:v>7.86</c:v>
                </c:pt>
                <c:pt idx="18">
                  <c:v>8.64</c:v>
                </c:pt>
                <c:pt idx="19">
                  <c:v>7.5</c:v>
                </c:pt>
                <c:pt idx="20">
                  <c:v>6.6333333330000004</c:v>
                </c:pt>
                <c:pt idx="21">
                  <c:v>4.733333333</c:v>
                </c:pt>
                <c:pt idx="22">
                  <c:v>4.3666666669999996</c:v>
                </c:pt>
                <c:pt idx="23">
                  <c:v>5.4749999999999996</c:v>
                </c:pt>
                <c:pt idx="24">
                  <c:v>4.5750000000000002</c:v>
                </c:pt>
                <c:pt idx="25">
                  <c:v>4.7249999999999996</c:v>
                </c:pt>
                <c:pt idx="26">
                  <c:v>3.9</c:v>
                </c:pt>
                <c:pt idx="27">
                  <c:v>3.15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7F-4338-9C1E-1C0B7F43C56C}"/>
            </c:ext>
          </c:extLst>
        </c:ser>
        <c:ser>
          <c:idx val="3"/>
          <c:order val="3"/>
          <c:tx>
            <c:strRef>
              <c:f>'Graph data'!$T$2</c:f>
              <c:strCache>
                <c:ptCount val="1"/>
                <c:pt idx="0">
                  <c:v>AK9 </c:v>
                </c:pt>
              </c:strCache>
            </c:strRef>
          </c:tx>
          <c:cat>
            <c:numRef>
              <c:f>'Graph data'!$P$3:$P$30</c:f>
              <c:numCache>
                <c:formatCode>General</c:formatCode>
                <c:ptCount val="28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</c:numCache>
            </c:numRef>
          </c:cat>
          <c:val>
            <c:numRef>
              <c:f>'Graph data'!$T$3:$T$30</c:f>
              <c:numCache>
                <c:formatCode>0</c:formatCode>
                <c:ptCount val="28"/>
                <c:pt idx="2">
                  <c:v>28.6</c:v>
                </c:pt>
                <c:pt idx="3">
                  <c:v>26.64285714</c:v>
                </c:pt>
                <c:pt idx="4">
                  <c:v>20.425000000000001</c:v>
                </c:pt>
                <c:pt idx="5">
                  <c:v>17.95</c:v>
                </c:pt>
                <c:pt idx="6">
                  <c:v>19.081818179999999</c:v>
                </c:pt>
                <c:pt idx="7">
                  <c:v>21.572727270000001</c:v>
                </c:pt>
                <c:pt idx="8">
                  <c:v>19.418181820000001</c:v>
                </c:pt>
                <c:pt idx="9">
                  <c:v>18.272727270000001</c:v>
                </c:pt>
                <c:pt idx="10">
                  <c:v>17.481818180000001</c:v>
                </c:pt>
                <c:pt idx="11">
                  <c:v>15.24545455</c:v>
                </c:pt>
                <c:pt idx="12">
                  <c:v>14.12727273</c:v>
                </c:pt>
                <c:pt idx="13">
                  <c:v>8.0181818180000004</c:v>
                </c:pt>
                <c:pt idx="14">
                  <c:v>9.6545454549999992</c:v>
                </c:pt>
                <c:pt idx="15">
                  <c:v>6.7636363639999999</c:v>
                </c:pt>
                <c:pt idx="16">
                  <c:v>5.6727272729999996</c:v>
                </c:pt>
                <c:pt idx="17">
                  <c:v>5.2636363639999999</c:v>
                </c:pt>
                <c:pt idx="18">
                  <c:v>6</c:v>
                </c:pt>
                <c:pt idx="19">
                  <c:v>5.3454545449999999</c:v>
                </c:pt>
                <c:pt idx="20">
                  <c:v>4.7727272730000001</c:v>
                </c:pt>
                <c:pt idx="21">
                  <c:v>3.7090909089999999</c:v>
                </c:pt>
                <c:pt idx="22">
                  <c:v>3.6818181820000002</c:v>
                </c:pt>
                <c:pt idx="23">
                  <c:v>4.2272727269999999</c:v>
                </c:pt>
                <c:pt idx="24">
                  <c:v>4.1727272729999996</c:v>
                </c:pt>
                <c:pt idx="25">
                  <c:v>3.7909090910000001</c:v>
                </c:pt>
                <c:pt idx="26">
                  <c:v>3.6545454550000001</c:v>
                </c:pt>
                <c:pt idx="27">
                  <c:v>2.809090909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7F-4338-9C1E-1C0B7F43C56C}"/>
            </c:ext>
          </c:extLst>
        </c:ser>
        <c:ser>
          <c:idx val="4"/>
          <c:order val="4"/>
          <c:tx>
            <c:strRef>
              <c:f>'Graph data'!$U$2</c:f>
              <c:strCache>
                <c:ptCount val="1"/>
                <c:pt idx="0">
                  <c:v>AK10 </c:v>
                </c:pt>
              </c:strCache>
            </c:strRef>
          </c:tx>
          <c:cat>
            <c:numRef>
              <c:f>'Graph data'!$P$3:$P$30</c:f>
              <c:numCache>
                <c:formatCode>General</c:formatCode>
                <c:ptCount val="28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</c:numCache>
            </c:numRef>
          </c:cat>
          <c:val>
            <c:numRef>
              <c:f>'Graph data'!$U$3:$U$30</c:f>
              <c:numCache>
                <c:formatCode>0</c:formatCode>
                <c:ptCount val="28"/>
                <c:pt idx="2">
                  <c:v>23.16</c:v>
                </c:pt>
                <c:pt idx="3">
                  <c:v>21.514285709999999</c:v>
                </c:pt>
                <c:pt idx="4">
                  <c:v>20.375</c:v>
                </c:pt>
                <c:pt idx="5">
                  <c:v>17.809999999999999</c:v>
                </c:pt>
                <c:pt idx="6">
                  <c:v>17.718181820000002</c:v>
                </c:pt>
                <c:pt idx="7">
                  <c:v>15.654545450000001</c:v>
                </c:pt>
                <c:pt idx="8">
                  <c:v>13.8</c:v>
                </c:pt>
                <c:pt idx="9">
                  <c:v>13.30909091</c:v>
                </c:pt>
                <c:pt idx="10">
                  <c:v>13.09090909</c:v>
                </c:pt>
                <c:pt idx="11">
                  <c:v>13.2</c:v>
                </c:pt>
                <c:pt idx="12">
                  <c:v>14.12727273</c:v>
                </c:pt>
                <c:pt idx="13">
                  <c:v>10.172727269999999</c:v>
                </c:pt>
                <c:pt idx="14">
                  <c:v>12.081818180000001</c:v>
                </c:pt>
                <c:pt idx="15">
                  <c:v>10.06363636</c:v>
                </c:pt>
                <c:pt idx="16">
                  <c:v>9.7909090909999996</c:v>
                </c:pt>
                <c:pt idx="17">
                  <c:v>8.5363636360000008</c:v>
                </c:pt>
                <c:pt idx="18">
                  <c:v>8.2090909090000004</c:v>
                </c:pt>
                <c:pt idx="19">
                  <c:v>6.6272727270000003</c:v>
                </c:pt>
                <c:pt idx="20">
                  <c:v>5.6454545449999998</c:v>
                </c:pt>
                <c:pt idx="21">
                  <c:v>3.7363636360000001</c:v>
                </c:pt>
                <c:pt idx="22">
                  <c:v>3.381818182</c:v>
                </c:pt>
                <c:pt idx="23">
                  <c:v>3.7363636360000001</c:v>
                </c:pt>
                <c:pt idx="24">
                  <c:v>3.2454545449999999</c:v>
                </c:pt>
                <c:pt idx="25">
                  <c:v>3.3</c:v>
                </c:pt>
                <c:pt idx="26">
                  <c:v>3.054545455</c:v>
                </c:pt>
                <c:pt idx="27">
                  <c:v>2.2636363639999999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57F-4338-9C1E-1C0B7F43C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42688"/>
        <c:axId val="44644224"/>
      </c:lineChart>
      <c:catAx>
        <c:axId val="44642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5400000" vert="horz"/>
          <a:lstStyle/>
          <a:p>
            <a:pPr>
              <a:defRPr/>
            </a:pPr>
            <a:endParaRPr lang="en-US"/>
          </a:p>
        </c:txPr>
        <c:crossAx val="44644224"/>
        <c:crosses val="autoZero"/>
        <c:auto val="1"/>
        <c:lblAlgn val="ctr"/>
        <c:lblOffset val="100"/>
        <c:noMultiLvlLbl val="0"/>
      </c:catAx>
      <c:valAx>
        <c:axId val="44644224"/>
        <c:scaling>
          <c:orientation val="minMax"/>
        </c:scaling>
        <c:delete val="0"/>
        <c:axPos val="l"/>
        <c:majorGridlines>
          <c:spPr>
            <a:ln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Ring width (mm)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44642688"/>
        <c:crosses val="autoZero"/>
        <c:crossBetween val="between"/>
      </c:valAx>
    </c:plotArea>
    <c:legend>
      <c:legendPos val="r"/>
      <c:overlay val="0"/>
      <c:spPr>
        <a:ln>
          <a:solidFill>
            <a:schemeClr val="tx1">
              <a:tint val="75000"/>
              <a:shade val="95000"/>
              <a:satMod val="105000"/>
            </a:schemeClr>
          </a:solidFill>
        </a:ln>
      </c:spPr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Akarana Road Plots - Basal area increment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'Graph data'!$X$2</c:f>
              <c:strCache>
                <c:ptCount val="1"/>
                <c:pt idx="0">
                  <c:v>AK6</c:v>
                </c:pt>
              </c:strCache>
            </c:strRef>
          </c:tx>
          <c:cat>
            <c:numRef>
              <c:f>'Graph data'!$W$3:$W$30</c:f>
              <c:numCache>
                <c:formatCode>General</c:formatCode>
                <c:ptCount val="28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</c:numCache>
            </c:numRef>
          </c:cat>
          <c:val>
            <c:numRef>
              <c:f>'Graph data'!$X$3:$X$30</c:f>
              <c:numCache>
                <c:formatCode>0</c:formatCode>
                <c:ptCount val="28"/>
                <c:pt idx="0">
                  <c:v>0.4</c:v>
                </c:pt>
                <c:pt idx="1">
                  <c:v>8.375</c:v>
                </c:pt>
                <c:pt idx="2">
                  <c:v>26.412500000000001</c:v>
                </c:pt>
                <c:pt idx="3">
                  <c:v>50.264285710000003</c:v>
                </c:pt>
                <c:pt idx="4">
                  <c:v>48.933333330000004</c:v>
                </c:pt>
                <c:pt idx="5">
                  <c:v>53.95333333</c:v>
                </c:pt>
                <c:pt idx="6">
                  <c:v>58.513333330000002</c:v>
                </c:pt>
                <c:pt idx="7">
                  <c:v>84.54</c:v>
                </c:pt>
                <c:pt idx="8">
                  <c:v>85.82</c:v>
                </c:pt>
                <c:pt idx="9">
                  <c:v>89.066666670000004</c:v>
                </c:pt>
                <c:pt idx="10">
                  <c:v>82.28</c:v>
                </c:pt>
                <c:pt idx="11">
                  <c:v>86.066666670000004</c:v>
                </c:pt>
                <c:pt idx="12">
                  <c:v>103.7333333</c:v>
                </c:pt>
                <c:pt idx="13">
                  <c:v>72.293333329999996</c:v>
                </c:pt>
                <c:pt idx="14">
                  <c:v>85.653333329999995</c:v>
                </c:pt>
                <c:pt idx="15">
                  <c:v>76.806666669999998</c:v>
                </c:pt>
                <c:pt idx="16">
                  <c:v>76.849999999999994</c:v>
                </c:pt>
                <c:pt idx="17">
                  <c:v>59.828571429999997</c:v>
                </c:pt>
                <c:pt idx="18">
                  <c:v>72.307142859999999</c:v>
                </c:pt>
                <c:pt idx="19">
                  <c:v>64.378571429999994</c:v>
                </c:pt>
                <c:pt idx="20">
                  <c:v>58.978571430000002</c:v>
                </c:pt>
                <c:pt idx="21">
                  <c:v>49.021428569999998</c:v>
                </c:pt>
                <c:pt idx="22">
                  <c:v>45.8</c:v>
                </c:pt>
                <c:pt idx="23">
                  <c:v>56.93571429</c:v>
                </c:pt>
                <c:pt idx="24">
                  <c:v>62.864285709999997</c:v>
                </c:pt>
                <c:pt idx="25">
                  <c:v>57.47142857</c:v>
                </c:pt>
                <c:pt idx="26">
                  <c:v>54.492307689999997</c:v>
                </c:pt>
                <c:pt idx="27">
                  <c:v>41.830769230000001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D8-43B6-9D04-A721B81ECA3D}"/>
            </c:ext>
          </c:extLst>
        </c:ser>
        <c:ser>
          <c:idx val="1"/>
          <c:order val="1"/>
          <c:tx>
            <c:strRef>
              <c:f>'Graph data'!$Y$2</c:f>
              <c:strCache>
                <c:ptCount val="1"/>
                <c:pt idx="0">
                  <c:v>AK7 </c:v>
                </c:pt>
              </c:strCache>
            </c:strRef>
          </c:tx>
          <c:cat>
            <c:numRef>
              <c:f>'Graph data'!$W$3:$W$30</c:f>
              <c:numCache>
                <c:formatCode>General</c:formatCode>
                <c:ptCount val="28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</c:numCache>
            </c:numRef>
          </c:cat>
          <c:val>
            <c:numRef>
              <c:f>'Graph data'!$Y$3:$Y$30</c:f>
              <c:numCache>
                <c:formatCode>0</c:formatCode>
                <c:ptCount val="28"/>
                <c:pt idx="1">
                  <c:v>4.0999999999999996</c:v>
                </c:pt>
                <c:pt idx="2">
                  <c:v>13.9</c:v>
                </c:pt>
                <c:pt idx="3">
                  <c:v>42.977777779999997</c:v>
                </c:pt>
                <c:pt idx="4">
                  <c:v>59.238461540000003</c:v>
                </c:pt>
                <c:pt idx="5">
                  <c:v>53.06428571</c:v>
                </c:pt>
                <c:pt idx="6">
                  <c:v>57.59285714</c:v>
                </c:pt>
                <c:pt idx="7">
                  <c:v>76.235714290000004</c:v>
                </c:pt>
                <c:pt idx="8">
                  <c:v>67.864285710000004</c:v>
                </c:pt>
                <c:pt idx="9">
                  <c:v>69.392857140000004</c:v>
                </c:pt>
                <c:pt idx="10">
                  <c:v>60.56428571</c:v>
                </c:pt>
                <c:pt idx="11">
                  <c:v>80.135714289999996</c:v>
                </c:pt>
                <c:pt idx="12">
                  <c:v>94.25</c:v>
                </c:pt>
                <c:pt idx="13">
                  <c:v>71.849999999999994</c:v>
                </c:pt>
                <c:pt idx="14">
                  <c:v>85.842857140000007</c:v>
                </c:pt>
                <c:pt idx="15">
                  <c:v>89.385714289999996</c:v>
                </c:pt>
                <c:pt idx="16">
                  <c:v>79.507142860000002</c:v>
                </c:pt>
                <c:pt idx="17">
                  <c:v>80.357142859999996</c:v>
                </c:pt>
                <c:pt idx="18">
                  <c:v>69.635714289999996</c:v>
                </c:pt>
                <c:pt idx="19">
                  <c:v>62.985714289999997</c:v>
                </c:pt>
                <c:pt idx="20">
                  <c:v>53.2</c:v>
                </c:pt>
                <c:pt idx="21">
                  <c:v>36.053846149999998</c:v>
                </c:pt>
                <c:pt idx="22">
                  <c:v>34.453846149999997</c:v>
                </c:pt>
                <c:pt idx="23">
                  <c:v>48.930769230000003</c:v>
                </c:pt>
                <c:pt idx="24">
                  <c:v>47.9</c:v>
                </c:pt>
                <c:pt idx="25">
                  <c:v>49.823076919999998</c:v>
                </c:pt>
                <c:pt idx="26">
                  <c:v>41.592307689999998</c:v>
                </c:pt>
                <c:pt idx="27">
                  <c:v>29.069230770000001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D8-43B6-9D04-A721B81ECA3D}"/>
            </c:ext>
          </c:extLst>
        </c:ser>
        <c:ser>
          <c:idx val="2"/>
          <c:order val="2"/>
          <c:tx>
            <c:strRef>
              <c:f>'Graph data'!$Z$2</c:f>
              <c:strCache>
                <c:ptCount val="1"/>
                <c:pt idx="0">
                  <c:v>AK8 </c:v>
                </c:pt>
              </c:strCache>
            </c:strRef>
          </c:tx>
          <c:cat>
            <c:numRef>
              <c:f>'Graph data'!$W$3:$W$30</c:f>
              <c:numCache>
                <c:formatCode>General</c:formatCode>
                <c:ptCount val="28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</c:numCache>
            </c:numRef>
          </c:cat>
          <c:val>
            <c:numRef>
              <c:f>'Graph data'!$Z$3:$Z$30</c:f>
              <c:numCache>
                <c:formatCode>0</c:formatCode>
                <c:ptCount val="28"/>
                <c:pt idx="1">
                  <c:v>4.3</c:v>
                </c:pt>
                <c:pt idx="2">
                  <c:v>25.666666670000001</c:v>
                </c:pt>
                <c:pt idx="3">
                  <c:v>39.36</c:v>
                </c:pt>
                <c:pt idx="4">
                  <c:v>53.84</c:v>
                </c:pt>
                <c:pt idx="5">
                  <c:v>56.46</c:v>
                </c:pt>
                <c:pt idx="6">
                  <c:v>58.13</c:v>
                </c:pt>
                <c:pt idx="7">
                  <c:v>76.41</c:v>
                </c:pt>
                <c:pt idx="8">
                  <c:v>71.03</c:v>
                </c:pt>
                <c:pt idx="9">
                  <c:v>67.61</c:v>
                </c:pt>
                <c:pt idx="10">
                  <c:v>60.22</c:v>
                </c:pt>
                <c:pt idx="11">
                  <c:v>78.53</c:v>
                </c:pt>
                <c:pt idx="12">
                  <c:v>103.14</c:v>
                </c:pt>
                <c:pt idx="13">
                  <c:v>78.33</c:v>
                </c:pt>
                <c:pt idx="14">
                  <c:v>96.97</c:v>
                </c:pt>
                <c:pt idx="15">
                  <c:v>83.24</c:v>
                </c:pt>
                <c:pt idx="16">
                  <c:v>85.79</c:v>
                </c:pt>
                <c:pt idx="17">
                  <c:v>90.78</c:v>
                </c:pt>
                <c:pt idx="18">
                  <c:v>104.76</c:v>
                </c:pt>
                <c:pt idx="19">
                  <c:v>95.97</c:v>
                </c:pt>
                <c:pt idx="20">
                  <c:v>90.266666670000006</c:v>
                </c:pt>
                <c:pt idx="21">
                  <c:v>65.644444440000001</c:v>
                </c:pt>
                <c:pt idx="22">
                  <c:v>62.377777780000002</c:v>
                </c:pt>
                <c:pt idx="23">
                  <c:v>79.762500000000003</c:v>
                </c:pt>
                <c:pt idx="24">
                  <c:v>68.037499999999994</c:v>
                </c:pt>
                <c:pt idx="25">
                  <c:v>72.012500000000003</c:v>
                </c:pt>
                <c:pt idx="26">
                  <c:v>60.774999999999999</c:v>
                </c:pt>
                <c:pt idx="27">
                  <c:v>50.137500000000003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D8-43B6-9D04-A721B81ECA3D}"/>
            </c:ext>
          </c:extLst>
        </c:ser>
        <c:ser>
          <c:idx val="3"/>
          <c:order val="3"/>
          <c:tx>
            <c:strRef>
              <c:f>'Graph data'!$AA$2</c:f>
              <c:strCache>
                <c:ptCount val="1"/>
                <c:pt idx="0">
                  <c:v>AK9 </c:v>
                </c:pt>
              </c:strCache>
            </c:strRef>
          </c:tx>
          <c:cat>
            <c:numRef>
              <c:f>'Graph data'!$W$3:$W$30</c:f>
              <c:numCache>
                <c:formatCode>General</c:formatCode>
                <c:ptCount val="28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</c:numCache>
            </c:numRef>
          </c:cat>
          <c:val>
            <c:numRef>
              <c:f>'Graph data'!$AA$3:$AA$30</c:f>
              <c:numCache>
                <c:formatCode>0</c:formatCode>
                <c:ptCount val="28"/>
                <c:pt idx="2">
                  <c:v>28.54</c:v>
                </c:pt>
                <c:pt idx="3">
                  <c:v>52.985714289999997</c:v>
                </c:pt>
                <c:pt idx="4">
                  <c:v>65.037499999999994</c:v>
                </c:pt>
                <c:pt idx="5">
                  <c:v>54</c:v>
                </c:pt>
                <c:pt idx="6">
                  <c:v>80.736363639999993</c:v>
                </c:pt>
                <c:pt idx="7">
                  <c:v>124.9636364</c:v>
                </c:pt>
                <c:pt idx="8">
                  <c:v>138.48181819999999</c:v>
                </c:pt>
                <c:pt idx="9">
                  <c:v>153.8818182</c:v>
                </c:pt>
                <c:pt idx="10">
                  <c:v>167.31818179999999</c:v>
                </c:pt>
                <c:pt idx="11">
                  <c:v>162.32727270000001</c:v>
                </c:pt>
                <c:pt idx="12">
                  <c:v>163.55454549999999</c:v>
                </c:pt>
                <c:pt idx="13">
                  <c:v>98.354545450000003</c:v>
                </c:pt>
                <c:pt idx="14">
                  <c:v>123.9272727</c:v>
                </c:pt>
                <c:pt idx="15">
                  <c:v>90.218181819999998</c:v>
                </c:pt>
                <c:pt idx="16">
                  <c:v>78.436363639999996</c:v>
                </c:pt>
                <c:pt idx="17">
                  <c:v>74.154545450000001</c:v>
                </c:pt>
                <c:pt idx="18">
                  <c:v>85.472727269999993</c:v>
                </c:pt>
                <c:pt idx="19">
                  <c:v>79.309090909999995</c:v>
                </c:pt>
                <c:pt idx="20">
                  <c:v>72.918181820000001</c:v>
                </c:pt>
                <c:pt idx="21">
                  <c:v>55.718181819999998</c:v>
                </c:pt>
                <c:pt idx="22">
                  <c:v>56.909090910000003</c:v>
                </c:pt>
                <c:pt idx="23">
                  <c:v>66.236363639999993</c:v>
                </c:pt>
                <c:pt idx="24">
                  <c:v>66.363636360000001</c:v>
                </c:pt>
                <c:pt idx="25">
                  <c:v>62.363636360000001</c:v>
                </c:pt>
                <c:pt idx="26">
                  <c:v>60.47272727</c:v>
                </c:pt>
                <c:pt idx="27">
                  <c:v>47.563636359999997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D8-43B6-9D04-A721B81ECA3D}"/>
            </c:ext>
          </c:extLst>
        </c:ser>
        <c:ser>
          <c:idx val="4"/>
          <c:order val="4"/>
          <c:tx>
            <c:strRef>
              <c:f>'Graph data'!$AB$2</c:f>
              <c:strCache>
                <c:ptCount val="1"/>
                <c:pt idx="0">
                  <c:v>AK10 </c:v>
                </c:pt>
              </c:strCache>
            </c:strRef>
          </c:tx>
          <c:cat>
            <c:numRef>
              <c:f>'Graph data'!$W$3:$W$30</c:f>
              <c:numCache>
                <c:formatCode>General</c:formatCode>
                <c:ptCount val="28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</c:numCache>
            </c:numRef>
          </c:cat>
          <c:val>
            <c:numRef>
              <c:f>'Graph data'!$AB$3:$AB$30</c:f>
              <c:numCache>
                <c:formatCode>0</c:formatCode>
                <c:ptCount val="28"/>
                <c:pt idx="2">
                  <c:v>23.64</c:v>
                </c:pt>
                <c:pt idx="3">
                  <c:v>36.385714290000003</c:v>
                </c:pt>
                <c:pt idx="4">
                  <c:v>55.2</c:v>
                </c:pt>
                <c:pt idx="5">
                  <c:v>55.83</c:v>
                </c:pt>
                <c:pt idx="6">
                  <c:v>69.381818179999996</c:v>
                </c:pt>
                <c:pt idx="7">
                  <c:v>77.863636360000001</c:v>
                </c:pt>
                <c:pt idx="8">
                  <c:v>83.381818179999996</c:v>
                </c:pt>
                <c:pt idx="9">
                  <c:v>91.7</c:v>
                </c:pt>
                <c:pt idx="10">
                  <c:v>104.2636364</c:v>
                </c:pt>
                <c:pt idx="11">
                  <c:v>111.74545449999999</c:v>
                </c:pt>
                <c:pt idx="12">
                  <c:v>131.60909090000001</c:v>
                </c:pt>
                <c:pt idx="13">
                  <c:v>103.24545449999999</c:v>
                </c:pt>
                <c:pt idx="14">
                  <c:v>129.99090910000001</c:v>
                </c:pt>
                <c:pt idx="15">
                  <c:v>114.37272729999999</c:v>
                </c:pt>
                <c:pt idx="16">
                  <c:v>117.8545455</c:v>
                </c:pt>
                <c:pt idx="17">
                  <c:v>108.82727269999999</c:v>
                </c:pt>
                <c:pt idx="18">
                  <c:v>109.5363636</c:v>
                </c:pt>
                <c:pt idx="19">
                  <c:v>92.572727270000001</c:v>
                </c:pt>
                <c:pt idx="20">
                  <c:v>80.518181819999995</c:v>
                </c:pt>
                <c:pt idx="21">
                  <c:v>53.409090910000003</c:v>
                </c:pt>
                <c:pt idx="22">
                  <c:v>49.718181819999998</c:v>
                </c:pt>
                <c:pt idx="23">
                  <c:v>56</c:v>
                </c:pt>
                <c:pt idx="24">
                  <c:v>49.936363640000003</c:v>
                </c:pt>
                <c:pt idx="25">
                  <c:v>51.336363640000002</c:v>
                </c:pt>
                <c:pt idx="26">
                  <c:v>48.909090910000003</c:v>
                </c:pt>
                <c:pt idx="27">
                  <c:v>36.68181818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D8-43B6-9D04-A721B81EC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783488"/>
        <c:axId val="44785024"/>
      </c:lineChart>
      <c:catAx>
        <c:axId val="44783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5400000" vert="horz"/>
          <a:lstStyle/>
          <a:p>
            <a:pPr>
              <a:defRPr/>
            </a:pPr>
            <a:endParaRPr lang="en-US"/>
          </a:p>
        </c:txPr>
        <c:crossAx val="44785024"/>
        <c:crosses val="autoZero"/>
        <c:auto val="1"/>
        <c:lblAlgn val="ctr"/>
        <c:lblOffset val="100"/>
        <c:noMultiLvlLbl val="0"/>
      </c:catAx>
      <c:valAx>
        <c:axId val="44785024"/>
        <c:scaling>
          <c:orientation val="minMax"/>
        </c:scaling>
        <c:delete val="0"/>
        <c:axPos val="l"/>
        <c:majorGridlines>
          <c:spPr>
            <a:ln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  Area (cm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44783488"/>
        <c:crosses val="autoZero"/>
        <c:crossBetween val="between"/>
      </c:valAx>
    </c:plotArea>
    <c:legend>
      <c:legendPos val="r"/>
      <c:overlay val="0"/>
      <c:spPr>
        <a:ln>
          <a:solidFill>
            <a:schemeClr val="tx1">
              <a:tint val="75000"/>
              <a:shade val="95000"/>
              <a:satMod val="105000"/>
            </a:schemeClr>
          </a:solidFill>
        </a:ln>
      </c:spPr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Akarana Road Plots - Cumulative</a:t>
            </a:r>
            <a:r>
              <a:rPr lang="en-US" baseline="0"/>
              <a:t> b</a:t>
            </a:r>
            <a:r>
              <a:rPr lang="en-US"/>
              <a:t>asal area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'Graph data'!$AL$2</c:f>
              <c:strCache>
                <c:ptCount val="1"/>
                <c:pt idx="0">
                  <c:v>AK6</c:v>
                </c:pt>
              </c:strCache>
            </c:strRef>
          </c:tx>
          <c:cat>
            <c:numRef>
              <c:f>'Graph data'!$AK$3:$AK$30</c:f>
              <c:numCache>
                <c:formatCode>General</c:formatCode>
                <c:ptCount val="28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</c:numCache>
            </c:numRef>
          </c:cat>
          <c:val>
            <c:numRef>
              <c:f>'Graph data'!$AL$3:$AL$30</c:f>
              <c:numCache>
                <c:formatCode>0</c:formatCode>
                <c:ptCount val="28"/>
                <c:pt idx="0">
                  <c:v>0.4</c:v>
                </c:pt>
                <c:pt idx="1">
                  <c:v>8.5749999999999993</c:v>
                </c:pt>
                <c:pt idx="2">
                  <c:v>30.712499999999999</c:v>
                </c:pt>
                <c:pt idx="3">
                  <c:v>67.807142859999999</c:v>
                </c:pt>
                <c:pt idx="4">
                  <c:v>112.2</c:v>
                </c:pt>
                <c:pt idx="5">
                  <c:v>166.16</c:v>
                </c:pt>
                <c:pt idx="6">
                  <c:v>224.6733333</c:v>
                </c:pt>
                <c:pt idx="7">
                  <c:v>309.18666669999999</c:v>
                </c:pt>
                <c:pt idx="8">
                  <c:v>395.0133333</c:v>
                </c:pt>
                <c:pt idx="9">
                  <c:v>484.09333329999998</c:v>
                </c:pt>
                <c:pt idx="10">
                  <c:v>566.3666667</c:v>
                </c:pt>
                <c:pt idx="11">
                  <c:v>652.44000000000005</c:v>
                </c:pt>
                <c:pt idx="12">
                  <c:v>756.16666669999995</c:v>
                </c:pt>
                <c:pt idx="13">
                  <c:v>828.44666670000004</c:v>
                </c:pt>
                <c:pt idx="14">
                  <c:v>914.10666670000001</c:v>
                </c:pt>
                <c:pt idx="15">
                  <c:v>990.92</c:v>
                </c:pt>
                <c:pt idx="16">
                  <c:v>1109.9000000000001</c:v>
                </c:pt>
                <c:pt idx="17">
                  <c:v>1169.7285710000001</c:v>
                </c:pt>
                <c:pt idx="18">
                  <c:v>1242.0357140000001</c:v>
                </c:pt>
                <c:pt idx="19">
                  <c:v>1306.45</c:v>
                </c:pt>
                <c:pt idx="20">
                  <c:v>1365.4285709999999</c:v>
                </c:pt>
                <c:pt idx="21">
                  <c:v>1414.442857</c:v>
                </c:pt>
                <c:pt idx="22">
                  <c:v>1460.257143</c:v>
                </c:pt>
                <c:pt idx="23">
                  <c:v>1517.2071430000001</c:v>
                </c:pt>
                <c:pt idx="24">
                  <c:v>1580.064286</c:v>
                </c:pt>
                <c:pt idx="25">
                  <c:v>1637.5214289999999</c:v>
                </c:pt>
                <c:pt idx="26">
                  <c:v>1732.4846150000001</c:v>
                </c:pt>
                <c:pt idx="27">
                  <c:v>1774.3153850000001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85-4001-9EDA-D5F4D1B95A8A}"/>
            </c:ext>
          </c:extLst>
        </c:ser>
        <c:ser>
          <c:idx val="1"/>
          <c:order val="1"/>
          <c:tx>
            <c:strRef>
              <c:f>'Graph data'!$AM$2</c:f>
              <c:strCache>
                <c:ptCount val="1"/>
                <c:pt idx="0">
                  <c:v>AK7 </c:v>
                </c:pt>
              </c:strCache>
            </c:strRef>
          </c:tx>
          <c:cat>
            <c:numRef>
              <c:f>'Graph data'!$AK$3:$AK$30</c:f>
              <c:numCache>
                <c:formatCode>General</c:formatCode>
                <c:ptCount val="28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</c:numCache>
            </c:numRef>
          </c:cat>
          <c:val>
            <c:numRef>
              <c:f>'Graph data'!$AM$3:$AM$30</c:f>
              <c:numCache>
                <c:formatCode>0</c:formatCode>
                <c:ptCount val="28"/>
                <c:pt idx="1">
                  <c:v>4.0999999999999996</c:v>
                </c:pt>
                <c:pt idx="2">
                  <c:v>14.925000000000001</c:v>
                </c:pt>
                <c:pt idx="3">
                  <c:v>49.611111110000003</c:v>
                </c:pt>
                <c:pt idx="4">
                  <c:v>93.57692308</c:v>
                </c:pt>
                <c:pt idx="5">
                  <c:v>139.9714286</c:v>
                </c:pt>
                <c:pt idx="6">
                  <c:v>197.5571429</c:v>
                </c:pt>
                <c:pt idx="7">
                  <c:v>273.8</c:v>
                </c:pt>
                <c:pt idx="8">
                  <c:v>341.65</c:v>
                </c:pt>
                <c:pt idx="9">
                  <c:v>411.04285709999999</c:v>
                </c:pt>
                <c:pt idx="10">
                  <c:v>471.60714289999999</c:v>
                </c:pt>
                <c:pt idx="11">
                  <c:v>551.75</c:v>
                </c:pt>
                <c:pt idx="12">
                  <c:v>646</c:v>
                </c:pt>
                <c:pt idx="13">
                  <c:v>717.85</c:v>
                </c:pt>
                <c:pt idx="14">
                  <c:v>803.68571429999997</c:v>
                </c:pt>
                <c:pt idx="15">
                  <c:v>893.08571429999995</c:v>
                </c:pt>
                <c:pt idx="16">
                  <c:v>972.58571429999995</c:v>
                </c:pt>
                <c:pt idx="17">
                  <c:v>1052.9571430000001</c:v>
                </c:pt>
                <c:pt idx="18">
                  <c:v>1122.5999999999999</c:v>
                </c:pt>
                <c:pt idx="19">
                  <c:v>1185.578571</c:v>
                </c:pt>
                <c:pt idx="20">
                  <c:v>1238.7928569999999</c:v>
                </c:pt>
                <c:pt idx="21">
                  <c:v>1317.2769229999999</c:v>
                </c:pt>
                <c:pt idx="22">
                  <c:v>1351.707692</c:v>
                </c:pt>
                <c:pt idx="23">
                  <c:v>1400.6384619999999</c:v>
                </c:pt>
                <c:pt idx="24">
                  <c:v>1448.5615379999999</c:v>
                </c:pt>
                <c:pt idx="25">
                  <c:v>1498.3692309999999</c:v>
                </c:pt>
                <c:pt idx="26">
                  <c:v>1539.969231</c:v>
                </c:pt>
                <c:pt idx="27">
                  <c:v>1569.0230770000001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85-4001-9EDA-D5F4D1B95A8A}"/>
            </c:ext>
          </c:extLst>
        </c:ser>
        <c:ser>
          <c:idx val="2"/>
          <c:order val="2"/>
          <c:tx>
            <c:strRef>
              <c:f>'Graph data'!$AN$2</c:f>
              <c:strCache>
                <c:ptCount val="1"/>
                <c:pt idx="0">
                  <c:v>AK8 </c:v>
                </c:pt>
              </c:strCache>
            </c:strRef>
          </c:tx>
          <c:cat>
            <c:numRef>
              <c:f>'Graph data'!$AK$3:$AK$30</c:f>
              <c:numCache>
                <c:formatCode>General</c:formatCode>
                <c:ptCount val="28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</c:numCache>
            </c:numRef>
          </c:cat>
          <c:val>
            <c:numRef>
              <c:f>'Graph data'!$AN$3:$AN$30</c:f>
              <c:numCache>
                <c:formatCode>0</c:formatCode>
                <c:ptCount val="28"/>
                <c:pt idx="1">
                  <c:v>4.3</c:v>
                </c:pt>
                <c:pt idx="2">
                  <c:v>26.144444440000001</c:v>
                </c:pt>
                <c:pt idx="3">
                  <c:v>62.88</c:v>
                </c:pt>
                <c:pt idx="4">
                  <c:v>116.74</c:v>
                </c:pt>
                <c:pt idx="5">
                  <c:v>173.22</c:v>
                </c:pt>
                <c:pt idx="6">
                  <c:v>231.33</c:v>
                </c:pt>
                <c:pt idx="7">
                  <c:v>307.74</c:v>
                </c:pt>
                <c:pt idx="8">
                  <c:v>378.75</c:v>
                </c:pt>
                <c:pt idx="9">
                  <c:v>446.36</c:v>
                </c:pt>
                <c:pt idx="10">
                  <c:v>506.6</c:v>
                </c:pt>
                <c:pt idx="11">
                  <c:v>585.12</c:v>
                </c:pt>
                <c:pt idx="12">
                  <c:v>688.26</c:v>
                </c:pt>
                <c:pt idx="13">
                  <c:v>766.6</c:v>
                </c:pt>
                <c:pt idx="14">
                  <c:v>863.57</c:v>
                </c:pt>
                <c:pt idx="15">
                  <c:v>946.81</c:v>
                </c:pt>
                <c:pt idx="16">
                  <c:v>1032.6199999999999</c:v>
                </c:pt>
                <c:pt idx="17">
                  <c:v>1123.4000000000001</c:v>
                </c:pt>
                <c:pt idx="18">
                  <c:v>1228.1500000000001</c:v>
                </c:pt>
                <c:pt idx="19">
                  <c:v>1324.1</c:v>
                </c:pt>
                <c:pt idx="20">
                  <c:v>1490.3444440000001</c:v>
                </c:pt>
                <c:pt idx="21">
                  <c:v>1555.988889</c:v>
                </c:pt>
                <c:pt idx="22">
                  <c:v>1618.3444440000001</c:v>
                </c:pt>
                <c:pt idx="23">
                  <c:v>1707.5625</c:v>
                </c:pt>
                <c:pt idx="24">
                  <c:v>1775.6125</c:v>
                </c:pt>
                <c:pt idx="25">
                  <c:v>1847.65</c:v>
                </c:pt>
                <c:pt idx="26">
                  <c:v>1908.4124999999999</c:v>
                </c:pt>
                <c:pt idx="27">
                  <c:v>1958.5374999999999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85-4001-9EDA-D5F4D1B95A8A}"/>
            </c:ext>
          </c:extLst>
        </c:ser>
        <c:ser>
          <c:idx val="3"/>
          <c:order val="3"/>
          <c:tx>
            <c:strRef>
              <c:f>'Graph data'!$AO$2</c:f>
              <c:strCache>
                <c:ptCount val="1"/>
                <c:pt idx="0">
                  <c:v>AK9 </c:v>
                </c:pt>
              </c:strCache>
            </c:strRef>
          </c:tx>
          <c:cat>
            <c:numRef>
              <c:f>'Graph data'!$AK$3:$AK$30</c:f>
              <c:numCache>
                <c:formatCode>General</c:formatCode>
                <c:ptCount val="28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</c:numCache>
            </c:numRef>
          </c:cat>
          <c:val>
            <c:numRef>
              <c:f>'Graph data'!$AO$3:$AO$30</c:f>
              <c:numCache>
                <c:formatCode>0</c:formatCode>
                <c:ptCount val="28"/>
                <c:pt idx="2">
                  <c:v>28.54</c:v>
                </c:pt>
                <c:pt idx="3">
                  <c:v>73.357142859999996</c:v>
                </c:pt>
                <c:pt idx="4">
                  <c:v>129.21250000000001</c:v>
                </c:pt>
                <c:pt idx="5">
                  <c:v>157.37</c:v>
                </c:pt>
                <c:pt idx="6">
                  <c:v>223.8090909</c:v>
                </c:pt>
                <c:pt idx="7">
                  <c:v>348.7636364</c:v>
                </c:pt>
                <c:pt idx="8">
                  <c:v>487.2363636</c:v>
                </c:pt>
                <c:pt idx="9">
                  <c:v>641.1181818</c:v>
                </c:pt>
                <c:pt idx="10">
                  <c:v>808.4272727</c:v>
                </c:pt>
                <c:pt idx="11">
                  <c:v>970.78181819999998</c:v>
                </c:pt>
                <c:pt idx="12">
                  <c:v>1134.3454549999999</c:v>
                </c:pt>
                <c:pt idx="13">
                  <c:v>1232.6909089999999</c:v>
                </c:pt>
                <c:pt idx="14">
                  <c:v>1356.6272730000001</c:v>
                </c:pt>
                <c:pt idx="15">
                  <c:v>1446.8272730000001</c:v>
                </c:pt>
                <c:pt idx="16">
                  <c:v>1525.272727</c:v>
                </c:pt>
                <c:pt idx="17">
                  <c:v>1599.445455</c:v>
                </c:pt>
                <c:pt idx="18">
                  <c:v>1684.927273</c:v>
                </c:pt>
                <c:pt idx="19">
                  <c:v>1764.254545</c:v>
                </c:pt>
                <c:pt idx="20">
                  <c:v>1837.163636</c:v>
                </c:pt>
                <c:pt idx="21">
                  <c:v>1892.890909</c:v>
                </c:pt>
                <c:pt idx="22">
                  <c:v>1949.8090910000001</c:v>
                </c:pt>
                <c:pt idx="23">
                  <c:v>2016.0818180000001</c:v>
                </c:pt>
                <c:pt idx="24">
                  <c:v>2082.4272729999998</c:v>
                </c:pt>
                <c:pt idx="25">
                  <c:v>2144.7818179999999</c:v>
                </c:pt>
                <c:pt idx="26">
                  <c:v>2205.272727</c:v>
                </c:pt>
                <c:pt idx="27">
                  <c:v>2252.8545450000001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85-4001-9EDA-D5F4D1B95A8A}"/>
            </c:ext>
          </c:extLst>
        </c:ser>
        <c:ser>
          <c:idx val="4"/>
          <c:order val="4"/>
          <c:tx>
            <c:strRef>
              <c:f>'Graph data'!$AP$2</c:f>
              <c:strCache>
                <c:ptCount val="1"/>
                <c:pt idx="0">
                  <c:v>AK10 </c:v>
                </c:pt>
              </c:strCache>
            </c:strRef>
          </c:tx>
          <c:cat>
            <c:numRef>
              <c:f>'Graph data'!$AK$3:$AK$30</c:f>
              <c:numCache>
                <c:formatCode>General</c:formatCode>
                <c:ptCount val="28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</c:numCache>
            </c:numRef>
          </c:cat>
          <c:val>
            <c:numRef>
              <c:f>'Graph data'!$AP$3:$AP$30</c:f>
              <c:numCache>
                <c:formatCode>0</c:formatCode>
                <c:ptCount val="28"/>
                <c:pt idx="2">
                  <c:v>23.64</c:v>
                </c:pt>
                <c:pt idx="3">
                  <c:v>53.271428569999998</c:v>
                </c:pt>
                <c:pt idx="4">
                  <c:v>101.8125</c:v>
                </c:pt>
                <c:pt idx="5">
                  <c:v>137.29</c:v>
                </c:pt>
                <c:pt idx="6">
                  <c:v>194.1909091</c:v>
                </c:pt>
                <c:pt idx="7">
                  <c:v>272.04545450000001</c:v>
                </c:pt>
                <c:pt idx="8">
                  <c:v>355.46363639999998</c:v>
                </c:pt>
                <c:pt idx="9">
                  <c:v>447.13636359999998</c:v>
                </c:pt>
                <c:pt idx="10">
                  <c:v>551.3818182</c:v>
                </c:pt>
                <c:pt idx="11">
                  <c:v>663.10909089999996</c:v>
                </c:pt>
                <c:pt idx="12">
                  <c:v>794.7636364</c:v>
                </c:pt>
                <c:pt idx="13">
                  <c:v>898.01818179999998</c:v>
                </c:pt>
                <c:pt idx="14">
                  <c:v>1028.018182</c:v>
                </c:pt>
                <c:pt idx="15">
                  <c:v>1142.3818180000001</c:v>
                </c:pt>
                <c:pt idx="16">
                  <c:v>1260.2181820000001</c:v>
                </c:pt>
                <c:pt idx="17">
                  <c:v>1369.054545</c:v>
                </c:pt>
                <c:pt idx="18">
                  <c:v>1478.6</c:v>
                </c:pt>
                <c:pt idx="19">
                  <c:v>1571.163636</c:v>
                </c:pt>
                <c:pt idx="20">
                  <c:v>1651.7</c:v>
                </c:pt>
                <c:pt idx="21">
                  <c:v>1705.090909</c:v>
                </c:pt>
                <c:pt idx="22">
                  <c:v>1754.8090910000001</c:v>
                </c:pt>
                <c:pt idx="23">
                  <c:v>1810.818182</c:v>
                </c:pt>
                <c:pt idx="24">
                  <c:v>1860.745455</c:v>
                </c:pt>
                <c:pt idx="25">
                  <c:v>1912.090909</c:v>
                </c:pt>
                <c:pt idx="26">
                  <c:v>1960.981818</c:v>
                </c:pt>
                <c:pt idx="27">
                  <c:v>1997.6545450000001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85-4001-9EDA-D5F4D1B95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838912"/>
        <c:axId val="44840448"/>
      </c:lineChart>
      <c:catAx>
        <c:axId val="44838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5400000" vert="horz"/>
          <a:lstStyle/>
          <a:p>
            <a:pPr>
              <a:defRPr/>
            </a:pPr>
            <a:endParaRPr lang="en-US"/>
          </a:p>
        </c:txPr>
        <c:crossAx val="44840448"/>
        <c:crosses val="autoZero"/>
        <c:auto val="1"/>
        <c:lblAlgn val="ctr"/>
        <c:lblOffset val="100"/>
        <c:noMultiLvlLbl val="0"/>
      </c:catAx>
      <c:valAx>
        <c:axId val="44840448"/>
        <c:scaling>
          <c:orientation val="minMax"/>
        </c:scaling>
        <c:delete val="0"/>
        <c:axPos val="l"/>
        <c:majorGridlines>
          <c:spPr>
            <a:ln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  Area (cm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44838912"/>
        <c:crosses val="autoZero"/>
        <c:crossBetween val="between"/>
      </c:valAx>
    </c:plotArea>
    <c:legend>
      <c:legendPos val="r"/>
      <c:overlay val="0"/>
      <c:spPr>
        <a:ln>
          <a:solidFill>
            <a:schemeClr val="tx1">
              <a:tint val="75000"/>
              <a:shade val="95000"/>
              <a:satMod val="105000"/>
            </a:schemeClr>
          </a:solidFill>
        </a:ln>
      </c:spPr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Akarana Road Plots - Ring mean density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'Graph data'!$CH$2</c:f>
              <c:strCache>
                <c:ptCount val="1"/>
                <c:pt idx="0">
                  <c:v>AK6</c:v>
                </c:pt>
              </c:strCache>
            </c:strRef>
          </c:tx>
          <c:cat>
            <c:numRef>
              <c:f>'Graph data'!$CG$3:$CG$30</c:f>
              <c:numCache>
                <c:formatCode>General</c:formatCode>
                <c:ptCount val="28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</c:numCache>
            </c:numRef>
          </c:cat>
          <c:val>
            <c:numRef>
              <c:f>'Graph data'!$CH$3:$CH$30</c:f>
              <c:numCache>
                <c:formatCode>0</c:formatCode>
                <c:ptCount val="28"/>
                <c:pt idx="0">
                  <c:v>377.5</c:v>
                </c:pt>
                <c:pt idx="1">
                  <c:v>350</c:v>
                </c:pt>
                <c:pt idx="2">
                  <c:v>346</c:v>
                </c:pt>
                <c:pt idx="3">
                  <c:v>348.7857143</c:v>
                </c:pt>
                <c:pt idx="4">
                  <c:v>354.6</c:v>
                </c:pt>
                <c:pt idx="5">
                  <c:v>357.46666670000002</c:v>
                </c:pt>
                <c:pt idx="6">
                  <c:v>374.26666669999997</c:v>
                </c:pt>
                <c:pt idx="7">
                  <c:v>373.73333330000003</c:v>
                </c:pt>
                <c:pt idx="8">
                  <c:v>375.2</c:v>
                </c:pt>
                <c:pt idx="9">
                  <c:v>385</c:v>
                </c:pt>
                <c:pt idx="10">
                  <c:v>389</c:v>
                </c:pt>
                <c:pt idx="11">
                  <c:v>381.73333330000003</c:v>
                </c:pt>
                <c:pt idx="12">
                  <c:v>392.1333333</c:v>
                </c:pt>
                <c:pt idx="13">
                  <c:v>408.4</c:v>
                </c:pt>
                <c:pt idx="14">
                  <c:v>403.26666669999997</c:v>
                </c:pt>
                <c:pt idx="15">
                  <c:v>400.46666670000002</c:v>
                </c:pt>
                <c:pt idx="16">
                  <c:v>411.64285710000001</c:v>
                </c:pt>
                <c:pt idx="17">
                  <c:v>429</c:v>
                </c:pt>
                <c:pt idx="18">
                  <c:v>421.64285710000001</c:v>
                </c:pt>
                <c:pt idx="19">
                  <c:v>432.14285710000001</c:v>
                </c:pt>
                <c:pt idx="20">
                  <c:v>433.7857143</c:v>
                </c:pt>
                <c:pt idx="21">
                  <c:v>439.85714289999999</c:v>
                </c:pt>
                <c:pt idx="22">
                  <c:v>470.85714289999999</c:v>
                </c:pt>
                <c:pt idx="23">
                  <c:v>441.92857140000001</c:v>
                </c:pt>
                <c:pt idx="24">
                  <c:v>459.42857140000001</c:v>
                </c:pt>
                <c:pt idx="25">
                  <c:v>440.2857143</c:v>
                </c:pt>
                <c:pt idx="26">
                  <c:v>441.30769229999999</c:v>
                </c:pt>
                <c:pt idx="27">
                  <c:v>427.46153850000002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89-4406-8272-8B4D0DEF97F3}"/>
            </c:ext>
          </c:extLst>
        </c:ser>
        <c:ser>
          <c:idx val="1"/>
          <c:order val="1"/>
          <c:tx>
            <c:strRef>
              <c:f>'Graph data'!$CI$2</c:f>
              <c:strCache>
                <c:ptCount val="1"/>
                <c:pt idx="0">
                  <c:v>AK7 </c:v>
                </c:pt>
              </c:strCache>
            </c:strRef>
          </c:tx>
          <c:cat>
            <c:numRef>
              <c:f>'Graph data'!$CG$3:$CG$30</c:f>
              <c:numCache>
                <c:formatCode>General</c:formatCode>
                <c:ptCount val="28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</c:numCache>
            </c:numRef>
          </c:cat>
          <c:val>
            <c:numRef>
              <c:f>'Graph data'!$CI$3:$CI$30</c:f>
              <c:numCache>
                <c:formatCode>0</c:formatCode>
                <c:ptCount val="28"/>
                <c:pt idx="1">
                  <c:v>371</c:v>
                </c:pt>
                <c:pt idx="2">
                  <c:v>355.5</c:v>
                </c:pt>
                <c:pt idx="3">
                  <c:v>354.44444440000001</c:v>
                </c:pt>
                <c:pt idx="4">
                  <c:v>353.69230770000001</c:v>
                </c:pt>
                <c:pt idx="5">
                  <c:v>369.14285710000001</c:v>
                </c:pt>
                <c:pt idx="6">
                  <c:v>373.2142857</c:v>
                </c:pt>
                <c:pt idx="7">
                  <c:v>377.42857140000001</c:v>
                </c:pt>
                <c:pt idx="8">
                  <c:v>390.85714289999999</c:v>
                </c:pt>
                <c:pt idx="9">
                  <c:v>386.64285710000001</c:v>
                </c:pt>
                <c:pt idx="10">
                  <c:v>395.7857143</c:v>
                </c:pt>
                <c:pt idx="11">
                  <c:v>389.7857143</c:v>
                </c:pt>
                <c:pt idx="12">
                  <c:v>403.2857143</c:v>
                </c:pt>
                <c:pt idx="13">
                  <c:v>414.92857140000001</c:v>
                </c:pt>
                <c:pt idx="14">
                  <c:v>405.35714289999999</c:v>
                </c:pt>
                <c:pt idx="15">
                  <c:v>403.85714289999999</c:v>
                </c:pt>
                <c:pt idx="16">
                  <c:v>424.85714289999999</c:v>
                </c:pt>
                <c:pt idx="17">
                  <c:v>426.07142859999999</c:v>
                </c:pt>
                <c:pt idx="18">
                  <c:v>414.5</c:v>
                </c:pt>
                <c:pt idx="19">
                  <c:v>419.64285710000001</c:v>
                </c:pt>
                <c:pt idx="20">
                  <c:v>423.64285710000001</c:v>
                </c:pt>
                <c:pt idx="21">
                  <c:v>430.84615380000002</c:v>
                </c:pt>
                <c:pt idx="22">
                  <c:v>451.07692309999999</c:v>
                </c:pt>
                <c:pt idx="23">
                  <c:v>433.92307690000001</c:v>
                </c:pt>
                <c:pt idx="24">
                  <c:v>449.15384619999998</c:v>
                </c:pt>
                <c:pt idx="25">
                  <c:v>437.07692309999999</c:v>
                </c:pt>
                <c:pt idx="26">
                  <c:v>427.84615380000002</c:v>
                </c:pt>
                <c:pt idx="27">
                  <c:v>416.15384619999998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89-4406-8272-8B4D0DEF97F3}"/>
            </c:ext>
          </c:extLst>
        </c:ser>
        <c:ser>
          <c:idx val="2"/>
          <c:order val="2"/>
          <c:tx>
            <c:strRef>
              <c:f>'Graph data'!$CJ$2</c:f>
              <c:strCache>
                <c:ptCount val="1"/>
                <c:pt idx="0">
                  <c:v>AK8 </c:v>
                </c:pt>
              </c:strCache>
            </c:strRef>
          </c:tx>
          <c:cat>
            <c:numRef>
              <c:f>'Graph data'!$CG$3:$CG$30</c:f>
              <c:numCache>
                <c:formatCode>General</c:formatCode>
                <c:ptCount val="28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</c:numCache>
            </c:numRef>
          </c:cat>
          <c:val>
            <c:numRef>
              <c:f>'Graph data'!$CJ$3:$CJ$30</c:f>
              <c:numCache>
                <c:formatCode>0</c:formatCode>
                <c:ptCount val="28"/>
                <c:pt idx="1">
                  <c:v>376</c:v>
                </c:pt>
                <c:pt idx="2">
                  <c:v>350</c:v>
                </c:pt>
                <c:pt idx="3">
                  <c:v>359.7</c:v>
                </c:pt>
                <c:pt idx="4">
                  <c:v>375.8</c:v>
                </c:pt>
                <c:pt idx="5">
                  <c:v>394.6</c:v>
                </c:pt>
                <c:pt idx="6">
                  <c:v>400.2</c:v>
                </c:pt>
                <c:pt idx="7">
                  <c:v>407</c:v>
                </c:pt>
                <c:pt idx="8">
                  <c:v>403.6</c:v>
                </c:pt>
                <c:pt idx="9">
                  <c:v>409.3</c:v>
                </c:pt>
                <c:pt idx="10">
                  <c:v>413</c:v>
                </c:pt>
                <c:pt idx="11">
                  <c:v>407.1</c:v>
                </c:pt>
                <c:pt idx="12">
                  <c:v>422.7</c:v>
                </c:pt>
                <c:pt idx="13">
                  <c:v>421.7</c:v>
                </c:pt>
                <c:pt idx="14">
                  <c:v>403.1</c:v>
                </c:pt>
                <c:pt idx="15">
                  <c:v>407.2</c:v>
                </c:pt>
                <c:pt idx="16">
                  <c:v>428.8</c:v>
                </c:pt>
                <c:pt idx="17">
                  <c:v>440.5</c:v>
                </c:pt>
                <c:pt idx="18">
                  <c:v>425.8</c:v>
                </c:pt>
                <c:pt idx="19">
                  <c:v>429</c:v>
                </c:pt>
                <c:pt idx="20">
                  <c:v>424.44444440000001</c:v>
                </c:pt>
                <c:pt idx="21">
                  <c:v>435.88888889999998</c:v>
                </c:pt>
                <c:pt idx="22">
                  <c:v>454.88888889999998</c:v>
                </c:pt>
                <c:pt idx="23">
                  <c:v>439.625</c:v>
                </c:pt>
                <c:pt idx="24">
                  <c:v>446</c:v>
                </c:pt>
                <c:pt idx="25">
                  <c:v>436.625</c:v>
                </c:pt>
                <c:pt idx="26">
                  <c:v>437.5</c:v>
                </c:pt>
                <c:pt idx="27">
                  <c:v>432.375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89-4406-8272-8B4D0DEF97F3}"/>
            </c:ext>
          </c:extLst>
        </c:ser>
        <c:ser>
          <c:idx val="3"/>
          <c:order val="3"/>
          <c:tx>
            <c:strRef>
              <c:f>'Graph data'!$CK$2</c:f>
              <c:strCache>
                <c:ptCount val="1"/>
                <c:pt idx="0">
                  <c:v>AK9 </c:v>
                </c:pt>
              </c:strCache>
            </c:strRef>
          </c:tx>
          <c:cat>
            <c:numRef>
              <c:f>'Graph data'!$CG$3:$CG$30</c:f>
              <c:numCache>
                <c:formatCode>General</c:formatCode>
                <c:ptCount val="28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</c:numCache>
            </c:numRef>
          </c:cat>
          <c:val>
            <c:numRef>
              <c:f>'Graph data'!$CK$3:$CK$30</c:f>
              <c:numCache>
                <c:formatCode>General</c:formatCode>
                <c:ptCount val="28"/>
                <c:pt idx="2" formatCode="0">
                  <c:v>349.2</c:v>
                </c:pt>
                <c:pt idx="3" formatCode="0">
                  <c:v>348.42857140000001</c:v>
                </c:pt>
                <c:pt idx="4" formatCode="0">
                  <c:v>372.125</c:v>
                </c:pt>
                <c:pt idx="5" formatCode="0">
                  <c:v>379.1</c:v>
                </c:pt>
                <c:pt idx="6" formatCode="0">
                  <c:v>384.90909090000002</c:v>
                </c:pt>
                <c:pt idx="7" formatCode="0">
                  <c:v>383.63636359999998</c:v>
                </c:pt>
                <c:pt idx="8" formatCode="0">
                  <c:v>373.18181820000001</c:v>
                </c:pt>
                <c:pt idx="9" formatCode="0">
                  <c:v>375.72727270000001</c:v>
                </c:pt>
                <c:pt idx="10" formatCode="0">
                  <c:v>378.36363640000002</c:v>
                </c:pt>
                <c:pt idx="11" formatCode="0">
                  <c:v>366.81818179999999</c:v>
                </c:pt>
                <c:pt idx="12" formatCode="0">
                  <c:v>377.54545450000001</c:v>
                </c:pt>
                <c:pt idx="13" formatCode="0">
                  <c:v>391.72727270000001</c:v>
                </c:pt>
                <c:pt idx="14" formatCode="0">
                  <c:v>398.18181820000001</c:v>
                </c:pt>
                <c:pt idx="15" formatCode="0">
                  <c:v>398.72727270000001</c:v>
                </c:pt>
                <c:pt idx="16" formatCode="0">
                  <c:v>410.54545450000001</c:v>
                </c:pt>
                <c:pt idx="17" formatCode="0">
                  <c:v>423.54545450000001</c:v>
                </c:pt>
                <c:pt idx="18" formatCode="0">
                  <c:v>408.27272729999999</c:v>
                </c:pt>
                <c:pt idx="19" formatCode="0">
                  <c:v>423.45454549999999</c:v>
                </c:pt>
                <c:pt idx="20" formatCode="0">
                  <c:v>418.63636359999998</c:v>
                </c:pt>
                <c:pt idx="21" formatCode="0">
                  <c:v>427.72727270000001</c:v>
                </c:pt>
                <c:pt idx="22" formatCode="0">
                  <c:v>447.54545450000001</c:v>
                </c:pt>
                <c:pt idx="23" formatCode="0">
                  <c:v>425.54545450000001</c:v>
                </c:pt>
                <c:pt idx="24" formatCode="0">
                  <c:v>435.09090909999998</c:v>
                </c:pt>
                <c:pt idx="25" formatCode="0">
                  <c:v>430.09090909999998</c:v>
                </c:pt>
                <c:pt idx="26" formatCode="0">
                  <c:v>440.27272729999999</c:v>
                </c:pt>
                <c:pt idx="27" formatCode="0">
                  <c:v>427.09090909999998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89-4406-8272-8B4D0DEF97F3}"/>
            </c:ext>
          </c:extLst>
        </c:ser>
        <c:ser>
          <c:idx val="4"/>
          <c:order val="4"/>
          <c:tx>
            <c:strRef>
              <c:f>'Graph data'!$CL$2</c:f>
              <c:strCache>
                <c:ptCount val="1"/>
                <c:pt idx="0">
                  <c:v>AK10 </c:v>
                </c:pt>
              </c:strCache>
            </c:strRef>
          </c:tx>
          <c:cat>
            <c:numRef>
              <c:f>'Graph data'!$CG$3:$CG$30</c:f>
              <c:numCache>
                <c:formatCode>General</c:formatCode>
                <c:ptCount val="28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</c:numCache>
            </c:numRef>
          </c:cat>
          <c:val>
            <c:numRef>
              <c:f>'Graph data'!$CL$3:$CL$30</c:f>
              <c:numCache>
                <c:formatCode>General</c:formatCode>
                <c:ptCount val="28"/>
                <c:pt idx="2" formatCode="0">
                  <c:v>349.6</c:v>
                </c:pt>
                <c:pt idx="3" formatCode="0">
                  <c:v>364.2857143</c:v>
                </c:pt>
                <c:pt idx="4" formatCode="0">
                  <c:v>362.25</c:v>
                </c:pt>
                <c:pt idx="5" formatCode="0">
                  <c:v>368.2</c:v>
                </c:pt>
                <c:pt idx="6" formatCode="0">
                  <c:v>395.54545450000001</c:v>
                </c:pt>
                <c:pt idx="7" formatCode="0">
                  <c:v>389.18181820000001</c:v>
                </c:pt>
                <c:pt idx="8" formatCode="0">
                  <c:v>388.36363640000002</c:v>
                </c:pt>
                <c:pt idx="9" formatCode="0">
                  <c:v>392</c:v>
                </c:pt>
                <c:pt idx="10" formatCode="0">
                  <c:v>384.36363640000002</c:v>
                </c:pt>
                <c:pt idx="11" formatCode="0">
                  <c:v>380.18181820000001</c:v>
                </c:pt>
                <c:pt idx="12" formatCode="0">
                  <c:v>383.27272729999999</c:v>
                </c:pt>
                <c:pt idx="13" formatCode="0">
                  <c:v>401.27272729999999</c:v>
                </c:pt>
                <c:pt idx="14" formatCode="0">
                  <c:v>387.18181820000001</c:v>
                </c:pt>
                <c:pt idx="15" formatCode="0">
                  <c:v>388.36363640000002</c:v>
                </c:pt>
                <c:pt idx="16" formatCode="0">
                  <c:v>410.90909090000002</c:v>
                </c:pt>
                <c:pt idx="17" formatCode="0">
                  <c:v>410.63636359999998</c:v>
                </c:pt>
                <c:pt idx="18" formatCode="0">
                  <c:v>395.90909090000002</c:v>
                </c:pt>
                <c:pt idx="19" formatCode="0">
                  <c:v>403.45454549999999</c:v>
                </c:pt>
                <c:pt idx="20" formatCode="0">
                  <c:v>402.27272729999999</c:v>
                </c:pt>
                <c:pt idx="21" formatCode="0">
                  <c:v>405.45454549999999</c:v>
                </c:pt>
                <c:pt idx="22" formatCode="0">
                  <c:v>420.27272729999999</c:v>
                </c:pt>
                <c:pt idx="23" formatCode="0">
                  <c:v>407.72727270000001</c:v>
                </c:pt>
                <c:pt idx="24" formatCode="0">
                  <c:v>413.54545450000001</c:v>
                </c:pt>
                <c:pt idx="25" formatCode="0">
                  <c:v>423.36363640000002</c:v>
                </c:pt>
                <c:pt idx="26" formatCode="0">
                  <c:v>419.09090909999998</c:v>
                </c:pt>
                <c:pt idx="27" formatCode="0">
                  <c:v>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89-4406-8272-8B4D0DEF9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11104"/>
        <c:axId val="45312640"/>
      </c:lineChart>
      <c:catAx>
        <c:axId val="4531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5400000" vert="horz"/>
          <a:lstStyle/>
          <a:p>
            <a:pPr>
              <a:defRPr/>
            </a:pPr>
            <a:endParaRPr lang="en-US"/>
          </a:p>
        </c:txPr>
        <c:crossAx val="45312640"/>
        <c:crosses val="autoZero"/>
        <c:auto val="1"/>
        <c:lblAlgn val="ctr"/>
        <c:lblOffset val="100"/>
        <c:noMultiLvlLbl val="0"/>
      </c:catAx>
      <c:valAx>
        <c:axId val="45312640"/>
        <c:scaling>
          <c:orientation val="minMax"/>
          <c:max val="500"/>
          <c:min val="300"/>
        </c:scaling>
        <c:delete val="0"/>
        <c:axPos val="l"/>
        <c:majorGridlines>
          <c:spPr>
            <a:ln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  Density (kg/m</a:t>
                </a:r>
                <a:r>
                  <a:rPr lang="en-US" baseline="30000"/>
                  <a:t>3</a:t>
                </a:r>
                <a:r>
                  <a:rPr lang="en-US"/>
                  <a:t>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45311104"/>
        <c:crosses val="autoZero"/>
        <c:crossBetween val="between"/>
        <c:majorUnit val="50"/>
      </c:valAx>
    </c:plotArea>
    <c:legend>
      <c:legendPos val="r"/>
      <c:overlay val="0"/>
      <c:spPr>
        <a:ln>
          <a:solidFill>
            <a:schemeClr val="tx1">
              <a:tint val="75000"/>
              <a:shade val="95000"/>
              <a:satMod val="105000"/>
            </a:schemeClr>
          </a:solidFill>
        </a:ln>
      </c:spPr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11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117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zoomScale="117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tabSelected="1" zoomScale="11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7051" cy="607320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7051" cy="607320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7051" cy="607320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7051" cy="607320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37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5</v>
      </c>
      <c r="J1" s="1" t="s">
        <v>6</v>
      </c>
      <c r="K1" s="1" t="s">
        <v>6</v>
      </c>
      <c r="L1" s="1" t="s">
        <v>2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13</v>
      </c>
      <c r="U1" s="1" t="s">
        <v>14</v>
      </c>
      <c r="V1" s="1" t="s">
        <v>15</v>
      </c>
      <c r="W1" s="1" t="s">
        <v>16</v>
      </c>
    </row>
    <row r="2" spans="1:23" s="1" customFormat="1" x14ac:dyDescent="0.25">
      <c r="A2" s="1" t="s">
        <v>17</v>
      </c>
      <c r="B2" s="1" t="s">
        <v>18</v>
      </c>
      <c r="C2" s="1" t="s">
        <v>19</v>
      </c>
      <c r="E2" s="1" t="s">
        <v>20</v>
      </c>
      <c r="F2" s="1" t="s">
        <v>2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26</v>
      </c>
      <c r="N2" s="1" t="s">
        <v>26</v>
      </c>
      <c r="S2" s="1" t="s">
        <v>27</v>
      </c>
      <c r="T2" s="1" t="s">
        <v>28</v>
      </c>
      <c r="U2" s="1" t="s">
        <v>28</v>
      </c>
      <c r="V2" s="1" t="s">
        <v>29</v>
      </c>
      <c r="W2" s="1" t="s">
        <v>30</v>
      </c>
    </row>
    <row r="3" spans="1:23" s="1" customFormat="1" x14ac:dyDescent="0.25">
      <c r="E3" s="1" t="s">
        <v>31</v>
      </c>
      <c r="F3" s="1" t="s">
        <v>31</v>
      </c>
      <c r="G3" s="1" t="s">
        <v>31</v>
      </c>
      <c r="H3" s="1" t="s">
        <v>31</v>
      </c>
      <c r="J3" s="1" t="s">
        <v>231</v>
      </c>
      <c r="K3" s="1" t="s">
        <v>231</v>
      </c>
      <c r="L3" s="1" t="s">
        <v>32</v>
      </c>
      <c r="M3" s="1" t="s">
        <v>32</v>
      </c>
      <c r="N3" s="1" t="s">
        <v>32</v>
      </c>
      <c r="O3" s="1" t="s">
        <v>32</v>
      </c>
      <c r="P3" s="1" t="s">
        <v>32</v>
      </c>
      <c r="Q3" s="1" t="s">
        <v>32</v>
      </c>
      <c r="R3" s="1" t="s">
        <v>32</v>
      </c>
      <c r="S3" s="1" t="s">
        <v>31</v>
      </c>
      <c r="T3" s="1" t="s">
        <v>32</v>
      </c>
      <c r="U3" s="1" t="s">
        <v>32</v>
      </c>
      <c r="V3" s="1" t="s">
        <v>32</v>
      </c>
    </row>
    <row r="4" spans="1:23" x14ac:dyDescent="0.25">
      <c r="A4" t="s">
        <v>33</v>
      </c>
      <c r="B4">
        <v>1</v>
      </c>
      <c r="C4">
        <v>3</v>
      </c>
      <c r="D4">
        <v>1988</v>
      </c>
      <c r="E4">
        <v>32.4</v>
      </c>
      <c r="F4">
        <v>32.4</v>
      </c>
      <c r="G4">
        <v>20.399999999999999</v>
      </c>
      <c r="H4">
        <v>0</v>
      </c>
      <c r="I4">
        <v>0</v>
      </c>
      <c r="J4">
        <v>33</v>
      </c>
      <c r="K4">
        <v>33</v>
      </c>
      <c r="L4">
        <v>376</v>
      </c>
      <c r="M4">
        <v>376</v>
      </c>
      <c r="P4">
        <v>323</v>
      </c>
      <c r="Q4">
        <v>427</v>
      </c>
      <c r="R4">
        <v>104</v>
      </c>
      <c r="S4">
        <v>211.8</v>
      </c>
      <c r="T4">
        <v>420</v>
      </c>
      <c r="U4">
        <v>413</v>
      </c>
      <c r="V4">
        <v>500</v>
      </c>
      <c r="W4">
        <v>2.79</v>
      </c>
    </row>
    <row r="5" spans="1:23" x14ac:dyDescent="0.25">
      <c r="A5" t="s">
        <v>33</v>
      </c>
      <c r="B5">
        <v>1</v>
      </c>
      <c r="C5">
        <v>4</v>
      </c>
      <c r="D5">
        <v>1989</v>
      </c>
      <c r="E5">
        <v>51.9</v>
      </c>
      <c r="F5">
        <v>19.5</v>
      </c>
      <c r="G5">
        <v>19.2</v>
      </c>
      <c r="H5">
        <v>0.3</v>
      </c>
      <c r="I5">
        <v>1</v>
      </c>
      <c r="J5">
        <v>51.6</v>
      </c>
      <c r="K5">
        <v>84.6</v>
      </c>
      <c r="L5">
        <v>343</v>
      </c>
      <c r="M5">
        <v>341</v>
      </c>
      <c r="N5">
        <v>501</v>
      </c>
      <c r="O5">
        <v>160</v>
      </c>
      <c r="P5">
        <v>291</v>
      </c>
      <c r="Q5">
        <v>501</v>
      </c>
      <c r="R5">
        <v>210</v>
      </c>
      <c r="S5">
        <v>211.8</v>
      </c>
      <c r="T5">
        <v>420</v>
      </c>
      <c r="U5">
        <v>413</v>
      </c>
      <c r="V5">
        <v>500</v>
      </c>
      <c r="W5">
        <v>2.79</v>
      </c>
    </row>
    <row r="6" spans="1:23" x14ac:dyDescent="0.25">
      <c r="A6" t="s">
        <v>33</v>
      </c>
      <c r="B6">
        <v>1</v>
      </c>
      <c r="C6">
        <v>5</v>
      </c>
      <c r="D6">
        <v>1990</v>
      </c>
      <c r="E6">
        <v>62.4</v>
      </c>
      <c r="F6">
        <v>10.5</v>
      </c>
      <c r="G6">
        <v>9</v>
      </c>
      <c r="H6">
        <v>1.5</v>
      </c>
      <c r="I6">
        <v>14</v>
      </c>
      <c r="J6">
        <v>37.700000000000003</v>
      </c>
      <c r="K6">
        <v>122.3</v>
      </c>
      <c r="L6">
        <v>398</v>
      </c>
      <c r="M6">
        <v>377</v>
      </c>
      <c r="N6">
        <v>520</v>
      </c>
      <c r="O6">
        <v>143</v>
      </c>
      <c r="P6">
        <v>280</v>
      </c>
      <c r="Q6">
        <v>539</v>
      </c>
      <c r="R6">
        <v>259</v>
      </c>
      <c r="S6">
        <v>211.8</v>
      </c>
      <c r="T6">
        <v>420</v>
      </c>
      <c r="U6">
        <v>413</v>
      </c>
      <c r="V6">
        <v>500</v>
      </c>
      <c r="W6">
        <v>2.79</v>
      </c>
    </row>
    <row r="7" spans="1:23" x14ac:dyDescent="0.25">
      <c r="A7" t="s">
        <v>33</v>
      </c>
      <c r="B7">
        <v>1</v>
      </c>
      <c r="C7">
        <v>6</v>
      </c>
      <c r="D7">
        <v>1991</v>
      </c>
      <c r="E7">
        <v>76.2</v>
      </c>
      <c r="F7">
        <v>13.8</v>
      </c>
      <c r="G7">
        <v>12</v>
      </c>
      <c r="H7">
        <v>1.8</v>
      </c>
      <c r="I7">
        <v>13</v>
      </c>
      <c r="J7">
        <v>60.1</v>
      </c>
      <c r="K7">
        <v>182.4</v>
      </c>
      <c r="L7">
        <v>381</v>
      </c>
      <c r="M7">
        <v>359</v>
      </c>
      <c r="N7">
        <v>530</v>
      </c>
      <c r="O7">
        <v>171</v>
      </c>
      <c r="P7">
        <v>327</v>
      </c>
      <c r="Q7">
        <v>547</v>
      </c>
      <c r="R7">
        <v>220</v>
      </c>
      <c r="S7">
        <v>211.8</v>
      </c>
      <c r="T7">
        <v>420</v>
      </c>
      <c r="U7">
        <v>413</v>
      </c>
      <c r="V7">
        <v>500</v>
      </c>
      <c r="W7">
        <v>2.79</v>
      </c>
    </row>
    <row r="8" spans="1:23" x14ac:dyDescent="0.25">
      <c r="A8" t="s">
        <v>33</v>
      </c>
      <c r="B8">
        <v>1</v>
      </c>
      <c r="C8">
        <v>7</v>
      </c>
      <c r="D8">
        <v>1992</v>
      </c>
      <c r="E8">
        <v>89.4</v>
      </c>
      <c r="F8">
        <v>13.2</v>
      </c>
      <c r="G8">
        <v>12</v>
      </c>
      <c r="H8">
        <v>1.2</v>
      </c>
      <c r="I8">
        <v>9</v>
      </c>
      <c r="J8">
        <v>68.7</v>
      </c>
      <c r="K8">
        <v>251.1</v>
      </c>
      <c r="L8">
        <v>361</v>
      </c>
      <c r="M8">
        <v>344</v>
      </c>
      <c r="N8">
        <v>530</v>
      </c>
      <c r="O8">
        <v>186</v>
      </c>
      <c r="P8">
        <v>308</v>
      </c>
      <c r="Q8">
        <v>556</v>
      </c>
      <c r="R8">
        <v>248</v>
      </c>
      <c r="S8">
        <v>211.8</v>
      </c>
      <c r="T8">
        <v>420</v>
      </c>
      <c r="U8">
        <v>413</v>
      </c>
      <c r="V8">
        <v>500</v>
      </c>
      <c r="W8">
        <v>2.79</v>
      </c>
    </row>
    <row r="9" spans="1:23" x14ac:dyDescent="0.25">
      <c r="A9" t="s">
        <v>33</v>
      </c>
      <c r="B9">
        <v>1</v>
      </c>
      <c r="C9">
        <v>8</v>
      </c>
      <c r="D9">
        <v>1993</v>
      </c>
      <c r="E9">
        <v>103.8</v>
      </c>
      <c r="F9">
        <v>14.4</v>
      </c>
      <c r="G9">
        <v>12.6</v>
      </c>
      <c r="H9">
        <v>1.8</v>
      </c>
      <c r="I9">
        <v>12</v>
      </c>
      <c r="J9">
        <v>87.4</v>
      </c>
      <c r="K9">
        <v>338.5</v>
      </c>
      <c r="L9">
        <v>361</v>
      </c>
      <c r="M9">
        <v>339</v>
      </c>
      <c r="N9">
        <v>518</v>
      </c>
      <c r="O9">
        <v>179</v>
      </c>
      <c r="P9">
        <v>289</v>
      </c>
      <c r="Q9">
        <v>539</v>
      </c>
      <c r="R9">
        <v>250</v>
      </c>
      <c r="S9">
        <v>211.8</v>
      </c>
      <c r="T9">
        <v>420</v>
      </c>
      <c r="U9">
        <v>413</v>
      </c>
      <c r="V9">
        <v>500</v>
      </c>
      <c r="W9">
        <v>2.79</v>
      </c>
    </row>
    <row r="10" spans="1:23" x14ac:dyDescent="0.25">
      <c r="A10" t="s">
        <v>33</v>
      </c>
      <c r="B10">
        <v>1</v>
      </c>
      <c r="C10">
        <v>9</v>
      </c>
      <c r="D10">
        <v>1994</v>
      </c>
      <c r="E10">
        <v>120.3</v>
      </c>
      <c r="F10">
        <v>16.5</v>
      </c>
      <c r="G10">
        <v>15.9</v>
      </c>
      <c r="H10">
        <v>0.6</v>
      </c>
      <c r="I10">
        <v>3</v>
      </c>
      <c r="J10">
        <v>116.2</v>
      </c>
      <c r="K10">
        <v>454.7</v>
      </c>
      <c r="L10">
        <v>363</v>
      </c>
      <c r="M10">
        <v>357</v>
      </c>
      <c r="N10">
        <v>531</v>
      </c>
      <c r="O10">
        <v>174</v>
      </c>
      <c r="P10">
        <v>300</v>
      </c>
      <c r="Q10">
        <v>541</v>
      </c>
      <c r="R10">
        <v>241</v>
      </c>
      <c r="S10">
        <v>211.8</v>
      </c>
      <c r="T10">
        <v>420</v>
      </c>
      <c r="U10">
        <v>413</v>
      </c>
      <c r="V10">
        <v>500</v>
      </c>
      <c r="W10">
        <v>2.79</v>
      </c>
    </row>
    <row r="11" spans="1:23" x14ac:dyDescent="0.25">
      <c r="A11" t="s">
        <v>33</v>
      </c>
      <c r="B11">
        <v>1</v>
      </c>
      <c r="C11">
        <v>10</v>
      </c>
      <c r="D11">
        <v>1995</v>
      </c>
      <c r="E11">
        <v>133.19999999999999</v>
      </c>
      <c r="F11">
        <v>12.9</v>
      </c>
      <c r="G11">
        <v>12.3</v>
      </c>
      <c r="H11">
        <v>0.6</v>
      </c>
      <c r="I11">
        <v>4</v>
      </c>
      <c r="J11">
        <v>102.7</v>
      </c>
      <c r="K11">
        <v>557.4</v>
      </c>
      <c r="L11">
        <v>366</v>
      </c>
      <c r="M11">
        <v>356</v>
      </c>
      <c r="N11">
        <v>557</v>
      </c>
      <c r="O11">
        <v>201</v>
      </c>
      <c r="P11">
        <v>289</v>
      </c>
      <c r="Q11">
        <v>574</v>
      </c>
      <c r="R11">
        <v>285</v>
      </c>
      <c r="S11">
        <v>211.8</v>
      </c>
      <c r="T11">
        <v>420</v>
      </c>
      <c r="U11">
        <v>413</v>
      </c>
      <c r="V11">
        <v>500</v>
      </c>
      <c r="W11">
        <v>2.79</v>
      </c>
    </row>
    <row r="12" spans="1:23" x14ac:dyDescent="0.25">
      <c r="A12" t="s">
        <v>33</v>
      </c>
      <c r="B12">
        <v>1</v>
      </c>
      <c r="C12">
        <v>11</v>
      </c>
      <c r="D12">
        <v>1996</v>
      </c>
      <c r="E12">
        <v>143.1</v>
      </c>
      <c r="F12">
        <v>9.9</v>
      </c>
      <c r="G12">
        <v>9.6</v>
      </c>
      <c r="H12">
        <v>0.3</v>
      </c>
      <c r="I12">
        <v>3</v>
      </c>
      <c r="J12">
        <v>85.9</v>
      </c>
      <c r="K12">
        <v>643.29999999999995</v>
      </c>
      <c r="L12">
        <v>352</v>
      </c>
      <c r="M12">
        <v>347</v>
      </c>
      <c r="N12">
        <v>515</v>
      </c>
      <c r="O12">
        <v>168</v>
      </c>
      <c r="P12">
        <v>298</v>
      </c>
      <c r="Q12">
        <v>515</v>
      </c>
      <c r="R12">
        <v>217</v>
      </c>
      <c r="S12">
        <v>211.8</v>
      </c>
      <c r="T12">
        <v>420</v>
      </c>
      <c r="U12">
        <v>413</v>
      </c>
      <c r="V12">
        <v>500</v>
      </c>
      <c r="W12">
        <v>2.79</v>
      </c>
    </row>
    <row r="13" spans="1:23" x14ac:dyDescent="0.25">
      <c r="A13" t="s">
        <v>33</v>
      </c>
      <c r="B13">
        <v>1</v>
      </c>
      <c r="C13">
        <v>12</v>
      </c>
      <c r="D13">
        <v>1997</v>
      </c>
      <c r="E13">
        <v>152.4</v>
      </c>
      <c r="F13">
        <v>9.3000000000000007</v>
      </c>
      <c r="G13">
        <v>8.4</v>
      </c>
      <c r="H13">
        <v>0.9</v>
      </c>
      <c r="I13">
        <v>9</v>
      </c>
      <c r="J13">
        <v>86.3</v>
      </c>
      <c r="K13">
        <v>729.7</v>
      </c>
      <c r="L13">
        <v>369</v>
      </c>
      <c r="M13">
        <v>349</v>
      </c>
      <c r="N13">
        <v>552</v>
      </c>
      <c r="O13">
        <v>203</v>
      </c>
      <c r="P13">
        <v>300</v>
      </c>
      <c r="Q13">
        <v>567</v>
      </c>
      <c r="R13">
        <v>267</v>
      </c>
      <c r="S13">
        <v>211.8</v>
      </c>
      <c r="T13">
        <v>420</v>
      </c>
      <c r="U13">
        <v>413</v>
      </c>
      <c r="V13">
        <v>500</v>
      </c>
      <c r="W13">
        <v>2.79</v>
      </c>
    </row>
    <row r="14" spans="1:23" x14ac:dyDescent="0.25">
      <c r="A14" t="s">
        <v>33</v>
      </c>
      <c r="B14">
        <v>1</v>
      </c>
      <c r="C14">
        <v>13</v>
      </c>
      <c r="D14">
        <v>1998</v>
      </c>
      <c r="E14">
        <v>159.6</v>
      </c>
      <c r="F14">
        <v>7.2</v>
      </c>
      <c r="G14">
        <v>6.3</v>
      </c>
      <c r="H14">
        <v>0.9</v>
      </c>
      <c r="I14">
        <v>12</v>
      </c>
      <c r="J14">
        <v>70.599999999999994</v>
      </c>
      <c r="K14">
        <v>800.2</v>
      </c>
      <c r="L14">
        <v>384</v>
      </c>
      <c r="M14">
        <v>364</v>
      </c>
      <c r="N14">
        <v>526</v>
      </c>
      <c r="O14">
        <v>162</v>
      </c>
      <c r="P14">
        <v>301</v>
      </c>
      <c r="Q14">
        <v>539</v>
      </c>
      <c r="R14">
        <v>238</v>
      </c>
      <c r="S14">
        <v>211.8</v>
      </c>
      <c r="T14">
        <v>420</v>
      </c>
      <c r="U14">
        <v>413</v>
      </c>
      <c r="V14">
        <v>500</v>
      </c>
      <c r="W14">
        <v>2.79</v>
      </c>
    </row>
    <row r="15" spans="1:23" x14ac:dyDescent="0.25">
      <c r="A15" t="s">
        <v>33</v>
      </c>
      <c r="B15">
        <v>1</v>
      </c>
      <c r="C15">
        <v>14</v>
      </c>
      <c r="D15">
        <v>1999</v>
      </c>
      <c r="E15">
        <v>166.2</v>
      </c>
      <c r="F15">
        <v>6.6</v>
      </c>
      <c r="G15">
        <v>5.4</v>
      </c>
      <c r="H15">
        <v>1.2</v>
      </c>
      <c r="I15">
        <v>18</v>
      </c>
      <c r="J15">
        <v>67.599999999999994</v>
      </c>
      <c r="K15">
        <v>867.8</v>
      </c>
      <c r="L15">
        <v>413</v>
      </c>
      <c r="M15">
        <v>384</v>
      </c>
      <c r="N15">
        <v>544</v>
      </c>
      <c r="O15">
        <v>160</v>
      </c>
      <c r="P15">
        <v>331</v>
      </c>
      <c r="Q15">
        <v>596</v>
      </c>
      <c r="R15">
        <v>265</v>
      </c>
      <c r="S15">
        <v>211.8</v>
      </c>
      <c r="T15">
        <v>420</v>
      </c>
      <c r="U15">
        <v>413</v>
      </c>
      <c r="V15">
        <v>500</v>
      </c>
      <c r="W15">
        <v>2.79</v>
      </c>
    </row>
    <row r="16" spans="1:23" x14ac:dyDescent="0.25">
      <c r="A16" t="s">
        <v>33</v>
      </c>
      <c r="B16">
        <v>1</v>
      </c>
      <c r="C16">
        <v>15</v>
      </c>
      <c r="D16">
        <v>2000</v>
      </c>
      <c r="E16">
        <v>172.2</v>
      </c>
      <c r="F16">
        <v>6</v>
      </c>
      <c r="G16">
        <v>5.0999999999999996</v>
      </c>
      <c r="H16">
        <v>0.9</v>
      </c>
      <c r="I16">
        <v>15</v>
      </c>
      <c r="J16">
        <v>63.8</v>
      </c>
      <c r="K16">
        <v>931.6</v>
      </c>
      <c r="L16">
        <v>414</v>
      </c>
      <c r="M16">
        <v>391</v>
      </c>
      <c r="N16">
        <v>543</v>
      </c>
      <c r="O16">
        <v>152</v>
      </c>
      <c r="P16">
        <v>323</v>
      </c>
      <c r="Q16">
        <v>575</v>
      </c>
      <c r="R16">
        <v>252</v>
      </c>
      <c r="S16">
        <v>211.8</v>
      </c>
      <c r="T16">
        <v>420</v>
      </c>
      <c r="U16">
        <v>413</v>
      </c>
      <c r="V16">
        <v>500</v>
      </c>
      <c r="W16">
        <v>2.79</v>
      </c>
    </row>
    <row r="17" spans="1:23" x14ac:dyDescent="0.25">
      <c r="A17" t="s">
        <v>33</v>
      </c>
      <c r="B17">
        <v>1</v>
      </c>
      <c r="C17">
        <v>16</v>
      </c>
      <c r="D17">
        <v>2001</v>
      </c>
      <c r="E17">
        <v>177.9</v>
      </c>
      <c r="F17">
        <v>5.7</v>
      </c>
      <c r="G17">
        <v>4.2</v>
      </c>
      <c r="H17">
        <v>1.5</v>
      </c>
      <c r="I17">
        <v>26</v>
      </c>
      <c r="J17">
        <v>62.7</v>
      </c>
      <c r="K17">
        <v>994.3</v>
      </c>
      <c r="L17">
        <v>453</v>
      </c>
      <c r="M17">
        <v>412</v>
      </c>
      <c r="N17">
        <v>570</v>
      </c>
      <c r="O17">
        <v>158</v>
      </c>
      <c r="P17">
        <v>377</v>
      </c>
      <c r="Q17">
        <v>627</v>
      </c>
      <c r="R17">
        <v>250</v>
      </c>
      <c r="S17">
        <v>211.8</v>
      </c>
      <c r="T17">
        <v>420</v>
      </c>
      <c r="U17">
        <v>413</v>
      </c>
      <c r="V17">
        <v>500</v>
      </c>
      <c r="W17">
        <v>2.79</v>
      </c>
    </row>
    <row r="18" spans="1:23" x14ac:dyDescent="0.25">
      <c r="A18" t="s">
        <v>33</v>
      </c>
      <c r="B18">
        <v>1</v>
      </c>
      <c r="C18">
        <v>17</v>
      </c>
      <c r="D18">
        <v>2002</v>
      </c>
      <c r="E18">
        <v>181.5</v>
      </c>
      <c r="F18">
        <v>3.6</v>
      </c>
      <c r="G18">
        <v>3</v>
      </c>
      <c r="H18">
        <v>0.6</v>
      </c>
      <c r="I18">
        <v>16</v>
      </c>
      <c r="J18">
        <v>40.6</v>
      </c>
      <c r="K18">
        <v>1034.9000000000001</v>
      </c>
      <c r="L18">
        <v>420</v>
      </c>
      <c r="M18">
        <v>391</v>
      </c>
      <c r="N18">
        <v>566</v>
      </c>
      <c r="O18">
        <v>175</v>
      </c>
      <c r="P18">
        <v>342</v>
      </c>
      <c r="Q18">
        <v>582</v>
      </c>
      <c r="R18">
        <v>240</v>
      </c>
      <c r="S18">
        <v>211.8</v>
      </c>
      <c r="T18">
        <v>420</v>
      </c>
      <c r="U18">
        <v>413</v>
      </c>
      <c r="V18">
        <v>500</v>
      </c>
      <c r="W18">
        <v>2.79</v>
      </c>
    </row>
    <row r="19" spans="1:23" x14ac:dyDescent="0.25">
      <c r="A19" t="s">
        <v>33</v>
      </c>
      <c r="B19">
        <v>1</v>
      </c>
      <c r="C19">
        <v>18</v>
      </c>
      <c r="D19">
        <v>2003</v>
      </c>
      <c r="E19">
        <v>186</v>
      </c>
      <c r="F19">
        <v>4.5</v>
      </c>
      <c r="G19">
        <v>3.3</v>
      </c>
      <c r="H19">
        <v>1.2</v>
      </c>
      <c r="I19">
        <v>26</v>
      </c>
      <c r="J19">
        <v>52</v>
      </c>
      <c r="K19">
        <v>1086.9000000000001</v>
      </c>
      <c r="L19">
        <v>445</v>
      </c>
      <c r="M19">
        <v>406</v>
      </c>
      <c r="N19">
        <v>552</v>
      </c>
      <c r="O19">
        <v>146</v>
      </c>
      <c r="P19">
        <v>356</v>
      </c>
      <c r="Q19">
        <v>612</v>
      </c>
      <c r="R19">
        <v>256</v>
      </c>
      <c r="S19">
        <v>211.8</v>
      </c>
      <c r="T19">
        <v>420</v>
      </c>
      <c r="U19">
        <v>413</v>
      </c>
      <c r="V19">
        <v>500</v>
      </c>
      <c r="W19">
        <v>2.79</v>
      </c>
    </row>
    <row r="20" spans="1:23" x14ac:dyDescent="0.25">
      <c r="A20" t="s">
        <v>33</v>
      </c>
      <c r="B20">
        <v>1</v>
      </c>
      <c r="C20">
        <v>19</v>
      </c>
      <c r="D20">
        <v>2004</v>
      </c>
      <c r="E20">
        <v>190.5</v>
      </c>
      <c r="F20">
        <v>4.5</v>
      </c>
      <c r="G20">
        <v>3</v>
      </c>
      <c r="H20">
        <v>1.5</v>
      </c>
      <c r="I20">
        <v>33</v>
      </c>
      <c r="J20">
        <v>53.2</v>
      </c>
      <c r="K20">
        <v>1140.0999999999999</v>
      </c>
      <c r="L20">
        <v>473</v>
      </c>
      <c r="M20">
        <v>416</v>
      </c>
      <c r="N20">
        <v>585</v>
      </c>
      <c r="O20">
        <v>169</v>
      </c>
      <c r="P20">
        <v>360</v>
      </c>
      <c r="Q20">
        <v>623</v>
      </c>
      <c r="R20">
        <v>263</v>
      </c>
      <c r="S20">
        <v>211.8</v>
      </c>
      <c r="T20">
        <v>420</v>
      </c>
      <c r="U20">
        <v>413</v>
      </c>
      <c r="V20">
        <v>500</v>
      </c>
      <c r="W20">
        <v>2.79</v>
      </c>
    </row>
    <row r="21" spans="1:23" x14ac:dyDescent="0.25">
      <c r="A21" t="s">
        <v>33</v>
      </c>
      <c r="B21">
        <v>1</v>
      </c>
      <c r="C21">
        <v>20</v>
      </c>
      <c r="D21">
        <v>2005</v>
      </c>
      <c r="E21">
        <v>195.3</v>
      </c>
      <c r="F21">
        <v>4.8</v>
      </c>
      <c r="G21">
        <v>3.3</v>
      </c>
      <c r="H21">
        <v>1.5</v>
      </c>
      <c r="I21">
        <v>31</v>
      </c>
      <c r="J21">
        <v>58.2</v>
      </c>
      <c r="K21">
        <v>1198.3</v>
      </c>
      <c r="L21">
        <v>471</v>
      </c>
      <c r="M21">
        <v>441</v>
      </c>
      <c r="N21">
        <v>537</v>
      </c>
      <c r="O21">
        <v>96</v>
      </c>
      <c r="P21">
        <v>405</v>
      </c>
      <c r="Q21">
        <v>569</v>
      </c>
      <c r="R21">
        <v>164</v>
      </c>
      <c r="S21">
        <v>211.8</v>
      </c>
      <c r="T21">
        <v>420</v>
      </c>
      <c r="U21">
        <v>413</v>
      </c>
      <c r="V21">
        <v>500</v>
      </c>
      <c r="W21">
        <v>2.79</v>
      </c>
    </row>
    <row r="22" spans="1:23" x14ac:dyDescent="0.25">
      <c r="A22" t="s">
        <v>33</v>
      </c>
      <c r="B22">
        <v>1</v>
      </c>
      <c r="C22">
        <v>21</v>
      </c>
      <c r="D22">
        <v>2006</v>
      </c>
      <c r="E22">
        <v>199.5</v>
      </c>
      <c r="F22">
        <v>4.2</v>
      </c>
      <c r="G22">
        <v>2.7</v>
      </c>
      <c r="H22">
        <v>1.5</v>
      </c>
      <c r="I22">
        <v>35</v>
      </c>
      <c r="J22">
        <v>52.1</v>
      </c>
      <c r="K22">
        <v>1250.4000000000001</v>
      </c>
      <c r="L22">
        <v>440</v>
      </c>
      <c r="M22">
        <v>390</v>
      </c>
      <c r="N22">
        <v>531</v>
      </c>
      <c r="O22">
        <v>141</v>
      </c>
      <c r="P22">
        <v>355</v>
      </c>
      <c r="Q22">
        <v>552</v>
      </c>
      <c r="R22">
        <v>197</v>
      </c>
      <c r="S22">
        <v>211.8</v>
      </c>
      <c r="T22">
        <v>420</v>
      </c>
      <c r="U22">
        <v>413</v>
      </c>
      <c r="V22">
        <v>500</v>
      </c>
      <c r="W22">
        <v>2.79</v>
      </c>
    </row>
    <row r="23" spans="1:23" x14ac:dyDescent="0.25">
      <c r="A23" t="s">
        <v>33</v>
      </c>
      <c r="B23">
        <v>1</v>
      </c>
      <c r="C23">
        <v>22</v>
      </c>
      <c r="D23">
        <v>2007</v>
      </c>
      <c r="E23">
        <v>202.8</v>
      </c>
      <c r="F23">
        <v>3.3</v>
      </c>
      <c r="G23">
        <v>1.2</v>
      </c>
      <c r="H23">
        <v>2.1</v>
      </c>
      <c r="I23">
        <v>63</v>
      </c>
      <c r="J23">
        <v>41.7</v>
      </c>
      <c r="K23">
        <v>1292.0999999999999</v>
      </c>
      <c r="L23">
        <v>501</v>
      </c>
      <c r="M23">
        <v>406</v>
      </c>
      <c r="N23">
        <v>555</v>
      </c>
      <c r="O23">
        <v>149</v>
      </c>
      <c r="P23">
        <v>374</v>
      </c>
      <c r="Q23">
        <v>627</v>
      </c>
      <c r="R23">
        <v>253</v>
      </c>
      <c r="S23">
        <v>211.8</v>
      </c>
      <c r="T23">
        <v>420</v>
      </c>
      <c r="U23">
        <v>413</v>
      </c>
      <c r="V23">
        <v>500</v>
      </c>
      <c r="W23">
        <v>2.79</v>
      </c>
    </row>
    <row r="24" spans="1:23" x14ac:dyDescent="0.25">
      <c r="A24" t="s">
        <v>33</v>
      </c>
      <c r="B24">
        <v>1</v>
      </c>
      <c r="C24">
        <v>23</v>
      </c>
      <c r="D24">
        <v>2008</v>
      </c>
      <c r="E24">
        <v>207</v>
      </c>
      <c r="F24">
        <v>4.2</v>
      </c>
      <c r="G24">
        <v>2.7</v>
      </c>
      <c r="H24">
        <v>1.5</v>
      </c>
      <c r="I24">
        <v>35</v>
      </c>
      <c r="J24">
        <v>54.1</v>
      </c>
      <c r="K24">
        <v>1346.1</v>
      </c>
      <c r="L24">
        <v>478</v>
      </c>
      <c r="M24">
        <v>424</v>
      </c>
      <c r="N24">
        <v>576</v>
      </c>
      <c r="O24">
        <v>152</v>
      </c>
      <c r="P24">
        <v>373</v>
      </c>
      <c r="Q24">
        <v>598</v>
      </c>
      <c r="R24">
        <v>225</v>
      </c>
      <c r="S24">
        <v>211.8</v>
      </c>
      <c r="T24">
        <v>420</v>
      </c>
      <c r="U24">
        <v>413</v>
      </c>
      <c r="V24">
        <v>500</v>
      </c>
      <c r="W24">
        <v>2.79</v>
      </c>
    </row>
    <row r="25" spans="1:23" x14ac:dyDescent="0.25">
      <c r="A25" t="s">
        <v>33</v>
      </c>
      <c r="B25">
        <v>1</v>
      </c>
      <c r="C25">
        <v>24</v>
      </c>
      <c r="D25">
        <v>2009</v>
      </c>
      <c r="E25">
        <v>211.8</v>
      </c>
      <c r="F25">
        <v>4.8</v>
      </c>
      <c r="G25">
        <v>1.8</v>
      </c>
      <c r="H25">
        <v>3</v>
      </c>
      <c r="I25">
        <v>62</v>
      </c>
      <c r="J25">
        <v>63.2</v>
      </c>
      <c r="K25">
        <v>1409.3</v>
      </c>
      <c r="L25">
        <v>511</v>
      </c>
      <c r="M25">
        <v>433</v>
      </c>
      <c r="N25">
        <v>557</v>
      </c>
      <c r="O25">
        <v>124</v>
      </c>
      <c r="P25">
        <v>400</v>
      </c>
      <c r="Q25">
        <v>628</v>
      </c>
      <c r="R25">
        <v>228</v>
      </c>
      <c r="S25">
        <v>211.8</v>
      </c>
      <c r="T25">
        <v>420</v>
      </c>
      <c r="U25">
        <v>413</v>
      </c>
      <c r="V25">
        <v>500</v>
      </c>
      <c r="W25">
        <v>2.79</v>
      </c>
    </row>
    <row r="26" spans="1:23" x14ac:dyDescent="0.25">
      <c r="A26" t="s">
        <v>33</v>
      </c>
      <c r="B26">
        <v>1</v>
      </c>
      <c r="C26">
        <v>25</v>
      </c>
      <c r="D26">
        <v>2010</v>
      </c>
      <c r="E26">
        <v>216.6</v>
      </c>
      <c r="F26">
        <v>4.8</v>
      </c>
      <c r="G26">
        <v>2.4</v>
      </c>
      <c r="H26">
        <v>2.4</v>
      </c>
      <c r="I26">
        <v>49</v>
      </c>
      <c r="J26">
        <v>64.599999999999994</v>
      </c>
      <c r="K26">
        <v>1473.9</v>
      </c>
      <c r="L26">
        <v>502</v>
      </c>
      <c r="M26">
        <v>434</v>
      </c>
      <c r="N26">
        <v>569</v>
      </c>
      <c r="O26">
        <v>135</v>
      </c>
      <c r="P26">
        <v>401</v>
      </c>
      <c r="Q26">
        <v>619</v>
      </c>
      <c r="R26">
        <v>218</v>
      </c>
      <c r="S26">
        <v>211.8</v>
      </c>
      <c r="T26">
        <v>420</v>
      </c>
      <c r="U26">
        <v>413</v>
      </c>
      <c r="V26">
        <v>500</v>
      </c>
      <c r="W26">
        <v>2.79</v>
      </c>
    </row>
    <row r="27" spans="1:23" x14ac:dyDescent="0.25">
      <c r="A27" t="s">
        <v>33</v>
      </c>
      <c r="B27">
        <v>1</v>
      </c>
      <c r="C27">
        <v>26</v>
      </c>
      <c r="D27">
        <v>2011</v>
      </c>
      <c r="E27">
        <v>220.8</v>
      </c>
      <c r="F27">
        <v>4.2</v>
      </c>
      <c r="G27">
        <v>3</v>
      </c>
      <c r="H27">
        <v>1.2</v>
      </c>
      <c r="I27">
        <v>28</v>
      </c>
      <c r="J27">
        <v>57.7</v>
      </c>
      <c r="K27">
        <v>1531.6</v>
      </c>
      <c r="L27">
        <v>479</v>
      </c>
      <c r="M27">
        <v>443</v>
      </c>
      <c r="N27">
        <v>571</v>
      </c>
      <c r="O27">
        <v>128</v>
      </c>
      <c r="P27">
        <v>411</v>
      </c>
      <c r="Q27">
        <v>605</v>
      </c>
      <c r="R27">
        <v>194</v>
      </c>
      <c r="S27">
        <v>211.8</v>
      </c>
      <c r="T27">
        <v>420</v>
      </c>
      <c r="U27">
        <v>413</v>
      </c>
      <c r="V27">
        <v>500</v>
      </c>
      <c r="W27">
        <v>2.79</v>
      </c>
    </row>
    <row r="28" spans="1:23" x14ac:dyDescent="0.25">
      <c r="A28" t="s">
        <v>33</v>
      </c>
      <c r="B28">
        <v>1</v>
      </c>
      <c r="C28">
        <v>27</v>
      </c>
      <c r="D28">
        <v>2012</v>
      </c>
      <c r="E28">
        <v>223.8</v>
      </c>
      <c r="F28">
        <v>3</v>
      </c>
      <c r="G28">
        <v>2.4</v>
      </c>
      <c r="H28">
        <v>0.6</v>
      </c>
      <c r="I28">
        <v>20</v>
      </c>
      <c r="J28">
        <v>41.9</v>
      </c>
      <c r="K28">
        <v>1573.5</v>
      </c>
      <c r="L28">
        <v>470</v>
      </c>
      <c r="M28">
        <v>453</v>
      </c>
      <c r="N28">
        <v>542</v>
      </c>
      <c r="O28">
        <v>89</v>
      </c>
      <c r="P28">
        <v>410</v>
      </c>
      <c r="Q28">
        <v>560</v>
      </c>
      <c r="R28">
        <v>150</v>
      </c>
      <c r="S28">
        <v>211.8</v>
      </c>
      <c r="T28">
        <v>420</v>
      </c>
      <c r="U28">
        <v>413</v>
      </c>
      <c r="V28">
        <v>500</v>
      </c>
      <c r="W28">
        <v>2.79</v>
      </c>
    </row>
    <row r="29" spans="1:23" x14ac:dyDescent="0.25">
      <c r="A29" t="s">
        <v>33</v>
      </c>
      <c r="B29">
        <v>2</v>
      </c>
      <c r="C29">
        <v>3</v>
      </c>
      <c r="D29">
        <v>1987</v>
      </c>
      <c r="E29">
        <v>32.200000000000003</v>
      </c>
      <c r="F29">
        <v>32.200000000000003</v>
      </c>
      <c r="G29">
        <v>22.2</v>
      </c>
      <c r="H29">
        <v>0</v>
      </c>
      <c r="I29">
        <v>0</v>
      </c>
      <c r="J29">
        <v>32.6</v>
      </c>
      <c r="K29">
        <v>32.6</v>
      </c>
      <c r="L29">
        <v>368</v>
      </c>
      <c r="M29">
        <v>368</v>
      </c>
      <c r="P29">
        <v>216</v>
      </c>
      <c r="Q29">
        <v>498</v>
      </c>
      <c r="R29">
        <v>282</v>
      </c>
      <c r="S29">
        <v>193.8</v>
      </c>
      <c r="T29">
        <v>412</v>
      </c>
      <c r="U29">
        <v>396</v>
      </c>
      <c r="V29">
        <v>500</v>
      </c>
      <c r="W29">
        <v>2.79</v>
      </c>
    </row>
    <row r="30" spans="1:23" x14ac:dyDescent="0.25">
      <c r="A30" t="s">
        <v>33</v>
      </c>
      <c r="B30">
        <v>2</v>
      </c>
      <c r="C30">
        <v>4</v>
      </c>
      <c r="D30">
        <v>1988</v>
      </c>
      <c r="E30">
        <v>49</v>
      </c>
      <c r="F30">
        <v>16.8</v>
      </c>
      <c r="G30">
        <v>16.2</v>
      </c>
      <c r="H30">
        <v>0.6</v>
      </c>
      <c r="I30">
        <v>3</v>
      </c>
      <c r="J30">
        <v>42.9</v>
      </c>
      <c r="K30">
        <v>75.400000000000006</v>
      </c>
      <c r="L30">
        <v>358</v>
      </c>
      <c r="M30">
        <v>352</v>
      </c>
      <c r="N30">
        <v>513</v>
      </c>
      <c r="O30">
        <v>161</v>
      </c>
      <c r="P30">
        <v>274</v>
      </c>
      <c r="Q30">
        <v>514</v>
      </c>
      <c r="R30">
        <v>240</v>
      </c>
      <c r="S30">
        <v>193.8</v>
      </c>
      <c r="T30">
        <v>412</v>
      </c>
      <c r="U30">
        <v>396</v>
      </c>
      <c r="V30">
        <v>500</v>
      </c>
      <c r="W30">
        <v>2.79</v>
      </c>
    </row>
    <row r="31" spans="1:23" x14ac:dyDescent="0.25">
      <c r="A31" t="s">
        <v>33</v>
      </c>
      <c r="B31">
        <v>2</v>
      </c>
      <c r="C31">
        <v>5</v>
      </c>
      <c r="D31">
        <v>1989</v>
      </c>
      <c r="E31">
        <v>65.5</v>
      </c>
      <c r="F31">
        <v>16.5</v>
      </c>
      <c r="G31">
        <v>16.2</v>
      </c>
      <c r="H31">
        <v>0.3</v>
      </c>
      <c r="I31">
        <v>1</v>
      </c>
      <c r="J31">
        <v>59.4</v>
      </c>
      <c r="K31">
        <v>134.80000000000001</v>
      </c>
      <c r="L31">
        <v>357</v>
      </c>
      <c r="M31">
        <v>354</v>
      </c>
      <c r="N31">
        <v>523</v>
      </c>
      <c r="O31">
        <v>169</v>
      </c>
      <c r="P31">
        <v>285</v>
      </c>
      <c r="Q31">
        <v>523</v>
      </c>
      <c r="R31">
        <v>238</v>
      </c>
      <c r="S31">
        <v>193.8</v>
      </c>
      <c r="T31">
        <v>412</v>
      </c>
      <c r="U31">
        <v>396</v>
      </c>
      <c r="V31">
        <v>500</v>
      </c>
      <c r="W31">
        <v>2.79</v>
      </c>
    </row>
    <row r="32" spans="1:23" x14ac:dyDescent="0.25">
      <c r="A32" t="s">
        <v>33</v>
      </c>
      <c r="B32">
        <v>2</v>
      </c>
      <c r="C32">
        <v>6</v>
      </c>
      <c r="D32">
        <v>1990</v>
      </c>
      <c r="E32">
        <v>79.599999999999994</v>
      </c>
      <c r="F32">
        <v>14.1</v>
      </c>
      <c r="G32">
        <v>13.8</v>
      </c>
      <c r="H32">
        <v>0.3</v>
      </c>
      <c r="I32">
        <v>2</v>
      </c>
      <c r="J32">
        <v>64.3</v>
      </c>
      <c r="K32">
        <v>199.1</v>
      </c>
      <c r="L32">
        <v>371</v>
      </c>
      <c r="M32">
        <v>368</v>
      </c>
      <c r="N32">
        <v>523</v>
      </c>
      <c r="O32">
        <v>155</v>
      </c>
      <c r="P32">
        <v>297</v>
      </c>
      <c r="Q32">
        <v>523</v>
      </c>
      <c r="R32">
        <v>226</v>
      </c>
      <c r="S32">
        <v>193.8</v>
      </c>
      <c r="T32">
        <v>412</v>
      </c>
      <c r="U32">
        <v>396</v>
      </c>
      <c r="V32">
        <v>500</v>
      </c>
      <c r="W32">
        <v>2.79</v>
      </c>
    </row>
    <row r="33" spans="1:23" x14ac:dyDescent="0.25">
      <c r="A33" t="s">
        <v>33</v>
      </c>
      <c r="B33">
        <v>2</v>
      </c>
      <c r="C33">
        <v>7</v>
      </c>
      <c r="D33">
        <v>1991</v>
      </c>
      <c r="E33">
        <v>91.6</v>
      </c>
      <c r="F33">
        <v>12</v>
      </c>
      <c r="G33">
        <v>10.8</v>
      </c>
      <c r="H33">
        <v>1.2</v>
      </c>
      <c r="I33">
        <v>10</v>
      </c>
      <c r="J33">
        <v>64.5</v>
      </c>
      <c r="K33">
        <v>263.60000000000002</v>
      </c>
      <c r="L33">
        <v>392</v>
      </c>
      <c r="M33">
        <v>377</v>
      </c>
      <c r="N33">
        <v>526</v>
      </c>
      <c r="O33">
        <v>149</v>
      </c>
      <c r="P33">
        <v>296</v>
      </c>
      <c r="Q33">
        <v>549</v>
      </c>
      <c r="R33">
        <v>253</v>
      </c>
      <c r="S33">
        <v>193.8</v>
      </c>
      <c r="T33">
        <v>412</v>
      </c>
      <c r="U33">
        <v>396</v>
      </c>
      <c r="V33">
        <v>500</v>
      </c>
      <c r="W33">
        <v>2.79</v>
      </c>
    </row>
    <row r="34" spans="1:23" x14ac:dyDescent="0.25">
      <c r="A34" t="s">
        <v>33</v>
      </c>
      <c r="B34">
        <v>2</v>
      </c>
      <c r="C34">
        <v>8</v>
      </c>
      <c r="D34">
        <v>1992</v>
      </c>
      <c r="E34">
        <v>106.6</v>
      </c>
      <c r="F34">
        <v>15</v>
      </c>
      <c r="G34">
        <v>13.2</v>
      </c>
      <c r="H34">
        <v>1.8</v>
      </c>
      <c r="I34">
        <v>12</v>
      </c>
      <c r="J34">
        <v>93.4</v>
      </c>
      <c r="K34">
        <v>357</v>
      </c>
      <c r="L34">
        <v>379</v>
      </c>
      <c r="M34">
        <v>360</v>
      </c>
      <c r="N34">
        <v>520</v>
      </c>
      <c r="O34">
        <v>160</v>
      </c>
      <c r="P34">
        <v>291</v>
      </c>
      <c r="Q34">
        <v>545</v>
      </c>
      <c r="R34">
        <v>254</v>
      </c>
      <c r="S34">
        <v>193.8</v>
      </c>
      <c r="T34">
        <v>412</v>
      </c>
      <c r="U34">
        <v>396</v>
      </c>
      <c r="V34">
        <v>500</v>
      </c>
      <c r="W34">
        <v>2.79</v>
      </c>
    </row>
    <row r="35" spans="1:23" x14ac:dyDescent="0.25">
      <c r="A35" t="s">
        <v>33</v>
      </c>
      <c r="B35">
        <v>2</v>
      </c>
      <c r="C35">
        <v>9</v>
      </c>
      <c r="D35">
        <v>1993</v>
      </c>
      <c r="E35">
        <v>118.3</v>
      </c>
      <c r="F35">
        <v>11.7</v>
      </c>
      <c r="G35">
        <v>9.6</v>
      </c>
      <c r="H35">
        <v>2.1</v>
      </c>
      <c r="I35">
        <v>17</v>
      </c>
      <c r="J35">
        <v>82.7</v>
      </c>
      <c r="K35">
        <v>439.7</v>
      </c>
      <c r="L35">
        <v>379</v>
      </c>
      <c r="M35">
        <v>348</v>
      </c>
      <c r="N35">
        <v>524</v>
      </c>
      <c r="O35">
        <v>176</v>
      </c>
      <c r="P35">
        <v>289</v>
      </c>
      <c r="Q35">
        <v>539</v>
      </c>
      <c r="R35">
        <v>250</v>
      </c>
      <c r="S35">
        <v>193.8</v>
      </c>
      <c r="T35">
        <v>412</v>
      </c>
      <c r="U35">
        <v>396</v>
      </c>
      <c r="V35">
        <v>500</v>
      </c>
      <c r="W35">
        <v>2.79</v>
      </c>
    </row>
    <row r="36" spans="1:23" x14ac:dyDescent="0.25">
      <c r="A36" t="s">
        <v>33</v>
      </c>
      <c r="B36">
        <v>2</v>
      </c>
      <c r="C36">
        <v>10</v>
      </c>
      <c r="D36">
        <v>1994</v>
      </c>
      <c r="E36">
        <v>129.1</v>
      </c>
      <c r="F36">
        <v>10.8</v>
      </c>
      <c r="G36">
        <v>10.199999999999999</v>
      </c>
      <c r="H36">
        <v>0.6</v>
      </c>
      <c r="I36">
        <v>5</v>
      </c>
      <c r="J36">
        <v>83.9</v>
      </c>
      <c r="K36">
        <v>523.6</v>
      </c>
      <c r="L36">
        <v>363</v>
      </c>
      <c r="M36">
        <v>353</v>
      </c>
      <c r="N36">
        <v>537</v>
      </c>
      <c r="O36">
        <v>184</v>
      </c>
      <c r="P36">
        <v>273</v>
      </c>
      <c r="Q36">
        <v>540</v>
      </c>
      <c r="R36">
        <v>267</v>
      </c>
      <c r="S36">
        <v>193.8</v>
      </c>
      <c r="T36">
        <v>412</v>
      </c>
      <c r="U36">
        <v>396</v>
      </c>
      <c r="V36">
        <v>500</v>
      </c>
      <c r="W36">
        <v>2.79</v>
      </c>
    </row>
    <row r="37" spans="1:23" x14ac:dyDescent="0.25">
      <c r="A37" t="s">
        <v>33</v>
      </c>
      <c r="B37">
        <v>2</v>
      </c>
      <c r="C37">
        <v>11</v>
      </c>
      <c r="D37">
        <v>1995</v>
      </c>
      <c r="E37">
        <v>136.9</v>
      </c>
      <c r="F37">
        <v>7.8</v>
      </c>
      <c r="G37">
        <v>6.6</v>
      </c>
      <c r="H37">
        <v>1.2</v>
      </c>
      <c r="I37">
        <v>15</v>
      </c>
      <c r="J37">
        <v>65.2</v>
      </c>
      <c r="K37">
        <v>588.79999999999995</v>
      </c>
      <c r="L37">
        <v>391</v>
      </c>
      <c r="M37">
        <v>366</v>
      </c>
      <c r="N37">
        <v>527</v>
      </c>
      <c r="O37">
        <v>161</v>
      </c>
      <c r="P37">
        <v>293</v>
      </c>
      <c r="Q37">
        <v>546</v>
      </c>
      <c r="R37">
        <v>253</v>
      </c>
      <c r="S37">
        <v>193.8</v>
      </c>
      <c r="T37">
        <v>412</v>
      </c>
      <c r="U37">
        <v>396</v>
      </c>
      <c r="V37">
        <v>500</v>
      </c>
      <c r="W37">
        <v>2.79</v>
      </c>
    </row>
    <row r="38" spans="1:23" x14ac:dyDescent="0.25">
      <c r="A38" t="s">
        <v>33</v>
      </c>
      <c r="B38">
        <v>2</v>
      </c>
      <c r="C38">
        <v>12</v>
      </c>
      <c r="D38">
        <v>1996</v>
      </c>
      <c r="E38">
        <v>147.1</v>
      </c>
      <c r="F38">
        <v>10.199999999999999</v>
      </c>
      <c r="G38">
        <v>8.4</v>
      </c>
      <c r="H38">
        <v>1.8</v>
      </c>
      <c r="I38">
        <v>17</v>
      </c>
      <c r="J38">
        <v>91</v>
      </c>
      <c r="K38">
        <v>679.8</v>
      </c>
      <c r="L38">
        <v>393</v>
      </c>
      <c r="M38">
        <v>363</v>
      </c>
      <c r="N38">
        <v>528</v>
      </c>
      <c r="O38">
        <v>165</v>
      </c>
      <c r="P38">
        <v>314</v>
      </c>
      <c r="Q38">
        <v>542</v>
      </c>
      <c r="R38">
        <v>228</v>
      </c>
      <c r="S38">
        <v>193.8</v>
      </c>
      <c r="T38">
        <v>412</v>
      </c>
      <c r="U38">
        <v>396</v>
      </c>
      <c r="V38">
        <v>500</v>
      </c>
      <c r="W38">
        <v>2.79</v>
      </c>
    </row>
    <row r="39" spans="1:23" x14ac:dyDescent="0.25">
      <c r="A39" t="s">
        <v>33</v>
      </c>
      <c r="B39">
        <v>2</v>
      </c>
      <c r="C39">
        <v>13</v>
      </c>
      <c r="D39">
        <v>1997</v>
      </c>
      <c r="E39">
        <v>158.80000000000001</v>
      </c>
      <c r="F39">
        <v>11.7</v>
      </c>
      <c r="G39">
        <v>10.199999999999999</v>
      </c>
      <c r="H39">
        <v>1.5</v>
      </c>
      <c r="I39">
        <v>12</v>
      </c>
      <c r="J39">
        <v>112.4</v>
      </c>
      <c r="K39">
        <v>792.2</v>
      </c>
      <c r="L39">
        <v>386</v>
      </c>
      <c r="M39">
        <v>365</v>
      </c>
      <c r="N39">
        <v>534</v>
      </c>
      <c r="O39">
        <v>169</v>
      </c>
      <c r="P39">
        <v>315</v>
      </c>
      <c r="Q39">
        <v>558</v>
      </c>
      <c r="R39">
        <v>243</v>
      </c>
      <c r="S39">
        <v>193.8</v>
      </c>
      <c r="T39">
        <v>412</v>
      </c>
      <c r="U39">
        <v>396</v>
      </c>
      <c r="V39">
        <v>500</v>
      </c>
      <c r="W39">
        <v>2.79</v>
      </c>
    </row>
    <row r="40" spans="1:23" x14ac:dyDescent="0.25">
      <c r="A40" t="s">
        <v>33</v>
      </c>
      <c r="B40">
        <v>2</v>
      </c>
      <c r="C40">
        <v>14</v>
      </c>
      <c r="D40">
        <v>1998</v>
      </c>
      <c r="E40">
        <v>166.3</v>
      </c>
      <c r="F40">
        <v>7.5</v>
      </c>
      <c r="G40">
        <v>6.6</v>
      </c>
      <c r="H40">
        <v>0.9</v>
      </c>
      <c r="I40">
        <v>12</v>
      </c>
      <c r="J40">
        <v>76.599999999999994</v>
      </c>
      <c r="K40">
        <v>868.8</v>
      </c>
      <c r="L40">
        <v>387</v>
      </c>
      <c r="M40">
        <v>363</v>
      </c>
      <c r="N40">
        <v>557</v>
      </c>
      <c r="O40">
        <v>194</v>
      </c>
      <c r="P40">
        <v>303</v>
      </c>
      <c r="Q40">
        <v>596</v>
      </c>
      <c r="R40">
        <v>293</v>
      </c>
      <c r="S40">
        <v>193.8</v>
      </c>
      <c r="T40">
        <v>412</v>
      </c>
      <c r="U40">
        <v>396</v>
      </c>
      <c r="V40">
        <v>500</v>
      </c>
      <c r="W40">
        <v>2.79</v>
      </c>
    </row>
    <row r="41" spans="1:23" x14ac:dyDescent="0.25">
      <c r="A41" t="s">
        <v>33</v>
      </c>
      <c r="B41">
        <v>2</v>
      </c>
      <c r="C41">
        <v>15</v>
      </c>
      <c r="D41">
        <v>1999</v>
      </c>
      <c r="E41">
        <v>173.2</v>
      </c>
      <c r="F41">
        <v>6.9</v>
      </c>
      <c r="G41">
        <v>6.9</v>
      </c>
      <c r="H41">
        <v>0</v>
      </c>
      <c r="I41">
        <v>0</v>
      </c>
      <c r="J41">
        <v>73.599999999999994</v>
      </c>
      <c r="K41">
        <v>942.4</v>
      </c>
      <c r="L41">
        <v>378</v>
      </c>
      <c r="M41">
        <v>378</v>
      </c>
      <c r="P41">
        <v>335</v>
      </c>
      <c r="Q41">
        <v>467</v>
      </c>
      <c r="R41">
        <v>132</v>
      </c>
      <c r="S41">
        <v>193.8</v>
      </c>
      <c r="T41">
        <v>412</v>
      </c>
      <c r="U41">
        <v>396</v>
      </c>
      <c r="V41">
        <v>500</v>
      </c>
      <c r="W41">
        <v>2.79</v>
      </c>
    </row>
    <row r="42" spans="1:23" x14ac:dyDescent="0.25">
      <c r="A42" t="s">
        <v>33</v>
      </c>
      <c r="B42">
        <v>2</v>
      </c>
      <c r="C42">
        <v>16</v>
      </c>
      <c r="D42">
        <v>2000</v>
      </c>
      <c r="E42">
        <v>178.6</v>
      </c>
      <c r="F42">
        <v>5.4</v>
      </c>
      <c r="G42">
        <v>4.8</v>
      </c>
      <c r="H42">
        <v>0.6</v>
      </c>
      <c r="I42">
        <v>11</v>
      </c>
      <c r="J42">
        <v>59.7</v>
      </c>
      <c r="K42">
        <v>1002.1</v>
      </c>
      <c r="L42">
        <v>400</v>
      </c>
      <c r="M42">
        <v>382</v>
      </c>
      <c r="N42">
        <v>543</v>
      </c>
      <c r="O42">
        <v>161</v>
      </c>
      <c r="P42">
        <v>337</v>
      </c>
      <c r="Q42">
        <v>560</v>
      </c>
      <c r="R42">
        <v>223</v>
      </c>
      <c r="S42">
        <v>193.8</v>
      </c>
      <c r="T42">
        <v>412</v>
      </c>
      <c r="U42">
        <v>396</v>
      </c>
      <c r="V42">
        <v>500</v>
      </c>
      <c r="W42">
        <v>2.79</v>
      </c>
    </row>
    <row r="43" spans="1:23" x14ac:dyDescent="0.25">
      <c r="A43" t="s">
        <v>33</v>
      </c>
      <c r="B43">
        <v>2</v>
      </c>
      <c r="C43">
        <v>17</v>
      </c>
      <c r="D43">
        <v>2001</v>
      </c>
      <c r="E43">
        <v>181.9</v>
      </c>
      <c r="F43">
        <v>3.3</v>
      </c>
      <c r="G43">
        <v>3</v>
      </c>
      <c r="H43">
        <v>0.3</v>
      </c>
      <c r="I43">
        <v>9</v>
      </c>
      <c r="J43">
        <v>37.4</v>
      </c>
      <c r="K43">
        <v>1039.5</v>
      </c>
      <c r="L43">
        <v>419</v>
      </c>
      <c r="M43">
        <v>404</v>
      </c>
      <c r="N43">
        <v>572</v>
      </c>
      <c r="O43">
        <v>168</v>
      </c>
      <c r="P43">
        <v>366</v>
      </c>
      <c r="Q43">
        <v>572</v>
      </c>
      <c r="R43">
        <v>206</v>
      </c>
      <c r="S43">
        <v>193.8</v>
      </c>
      <c r="T43">
        <v>412</v>
      </c>
      <c r="U43">
        <v>396</v>
      </c>
      <c r="V43">
        <v>500</v>
      </c>
      <c r="W43">
        <v>2.79</v>
      </c>
    </row>
    <row r="44" spans="1:23" x14ac:dyDescent="0.25">
      <c r="A44" t="s">
        <v>33</v>
      </c>
      <c r="B44">
        <v>2</v>
      </c>
      <c r="C44">
        <v>18</v>
      </c>
      <c r="D44">
        <v>2002</v>
      </c>
      <c r="E44">
        <v>184</v>
      </c>
      <c r="F44">
        <v>2.1</v>
      </c>
      <c r="G44">
        <v>1.5</v>
      </c>
      <c r="H44">
        <v>0.6</v>
      </c>
      <c r="I44">
        <v>28</v>
      </c>
      <c r="J44">
        <v>24.1</v>
      </c>
      <c r="K44">
        <v>1063.5999999999999</v>
      </c>
      <c r="L44">
        <v>462</v>
      </c>
      <c r="M44">
        <v>416</v>
      </c>
      <c r="N44">
        <v>577</v>
      </c>
      <c r="O44">
        <v>161</v>
      </c>
      <c r="P44">
        <v>370</v>
      </c>
      <c r="Q44">
        <v>581</v>
      </c>
      <c r="R44">
        <v>211</v>
      </c>
      <c r="S44">
        <v>193.8</v>
      </c>
      <c r="T44">
        <v>412</v>
      </c>
      <c r="U44">
        <v>396</v>
      </c>
      <c r="V44">
        <v>500</v>
      </c>
      <c r="W44">
        <v>2.79</v>
      </c>
    </row>
    <row r="45" spans="1:23" x14ac:dyDescent="0.25">
      <c r="A45" t="s">
        <v>33</v>
      </c>
      <c r="B45">
        <v>2</v>
      </c>
      <c r="C45">
        <v>19</v>
      </c>
      <c r="D45">
        <v>2003</v>
      </c>
      <c r="E45">
        <v>187</v>
      </c>
      <c r="F45">
        <v>3</v>
      </c>
      <c r="G45">
        <v>2.7</v>
      </c>
      <c r="H45">
        <v>0.3</v>
      </c>
      <c r="I45">
        <v>10</v>
      </c>
      <c r="J45">
        <v>35</v>
      </c>
      <c r="K45">
        <v>1098.5999999999999</v>
      </c>
      <c r="L45">
        <v>444</v>
      </c>
      <c r="M45">
        <v>431</v>
      </c>
      <c r="N45">
        <v>554</v>
      </c>
      <c r="O45">
        <v>123</v>
      </c>
      <c r="P45">
        <v>390</v>
      </c>
      <c r="Q45">
        <v>554</v>
      </c>
      <c r="R45">
        <v>164</v>
      </c>
      <c r="S45">
        <v>193.8</v>
      </c>
      <c r="T45">
        <v>412</v>
      </c>
      <c r="U45">
        <v>396</v>
      </c>
      <c r="V45">
        <v>500</v>
      </c>
      <c r="W45">
        <v>2.79</v>
      </c>
    </row>
    <row r="46" spans="1:23" x14ac:dyDescent="0.25">
      <c r="A46" t="s">
        <v>33</v>
      </c>
      <c r="B46">
        <v>2</v>
      </c>
      <c r="C46">
        <v>20</v>
      </c>
      <c r="D46">
        <v>2004</v>
      </c>
      <c r="E46">
        <v>189.4</v>
      </c>
      <c r="F46">
        <v>2.4</v>
      </c>
      <c r="G46">
        <v>1.8</v>
      </c>
      <c r="H46">
        <v>0.6</v>
      </c>
      <c r="I46">
        <v>24</v>
      </c>
      <c r="J46">
        <v>28.4</v>
      </c>
      <c r="K46">
        <v>1127</v>
      </c>
      <c r="L46">
        <v>437</v>
      </c>
      <c r="M46">
        <v>400</v>
      </c>
      <c r="N46">
        <v>546</v>
      </c>
      <c r="O46">
        <v>146</v>
      </c>
      <c r="P46">
        <v>372</v>
      </c>
      <c r="Q46">
        <v>556</v>
      </c>
      <c r="R46">
        <v>184</v>
      </c>
      <c r="S46">
        <v>193.8</v>
      </c>
      <c r="T46">
        <v>412</v>
      </c>
      <c r="U46">
        <v>396</v>
      </c>
      <c r="V46">
        <v>500</v>
      </c>
      <c r="W46">
        <v>2.79</v>
      </c>
    </row>
    <row r="47" spans="1:23" x14ac:dyDescent="0.25">
      <c r="A47" t="s">
        <v>33</v>
      </c>
      <c r="B47">
        <v>2</v>
      </c>
      <c r="C47">
        <v>21</v>
      </c>
      <c r="D47">
        <v>2005</v>
      </c>
      <c r="E47">
        <v>191.5</v>
      </c>
      <c r="F47">
        <v>2.1</v>
      </c>
      <c r="G47">
        <v>1.8</v>
      </c>
      <c r="H47">
        <v>0.3</v>
      </c>
      <c r="I47">
        <v>14</v>
      </c>
      <c r="J47">
        <v>25.1</v>
      </c>
      <c r="K47">
        <v>1152.0999999999999</v>
      </c>
      <c r="L47">
        <v>460</v>
      </c>
      <c r="M47">
        <v>445</v>
      </c>
      <c r="N47">
        <v>552</v>
      </c>
      <c r="O47">
        <v>107</v>
      </c>
      <c r="P47">
        <v>418</v>
      </c>
      <c r="Q47">
        <v>552</v>
      </c>
      <c r="R47">
        <v>134</v>
      </c>
      <c r="S47">
        <v>193.8</v>
      </c>
      <c r="T47">
        <v>412</v>
      </c>
      <c r="U47">
        <v>396</v>
      </c>
      <c r="V47">
        <v>500</v>
      </c>
      <c r="W47">
        <v>2.79</v>
      </c>
    </row>
    <row r="48" spans="1:23" x14ac:dyDescent="0.25">
      <c r="A48" t="s">
        <v>33</v>
      </c>
      <c r="B48">
        <v>2</v>
      </c>
      <c r="C48">
        <v>22</v>
      </c>
      <c r="D48">
        <v>2006</v>
      </c>
      <c r="E48">
        <v>193.9</v>
      </c>
      <c r="F48">
        <v>2.4</v>
      </c>
      <c r="G48">
        <v>1.8</v>
      </c>
      <c r="H48">
        <v>0.6</v>
      </c>
      <c r="I48">
        <v>24</v>
      </c>
      <c r="J48">
        <v>29.1</v>
      </c>
      <c r="K48">
        <v>1181.2</v>
      </c>
      <c r="L48">
        <v>452</v>
      </c>
      <c r="M48">
        <v>425</v>
      </c>
      <c r="N48">
        <v>535</v>
      </c>
      <c r="O48">
        <v>110</v>
      </c>
      <c r="P48">
        <v>352</v>
      </c>
      <c r="Q48">
        <v>546</v>
      </c>
      <c r="R48">
        <v>194</v>
      </c>
      <c r="S48">
        <v>193.8</v>
      </c>
      <c r="T48">
        <v>412</v>
      </c>
      <c r="U48">
        <v>396</v>
      </c>
      <c r="V48">
        <v>500</v>
      </c>
      <c r="W48">
        <v>2.79</v>
      </c>
    </row>
    <row r="49" spans="1:23" x14ac:dyDescent="0.25">
      <c r="A49" t="s">
        <v>33</v>
      </c>
      <c r="B49">
        <v>2</v>
      </c>
      <c r="C49">
        <v>23</v>
      </c>
      <c r="D49">
        <v>2007</v>
      </c>
      <c r="E49">
        <v>196</v>
      </c>
      <c r="F49">
        <v>2.1</v>
      </c>
      <c r="G49">
        <v>1.2</v>
      </c>
      <c r="H49">
        <v>0.9</v>
      </c>
      <c r="I49">
        <v>42</v>
      </c>
      <c r="J49">
        <v>25.7</v>
      </c>
      <c r="K49">
        <v>1206.9000000000001</v>
      </c>
      <c r="L49">
        <v>467</v>
      </c>
      <c r="M49">
        <v>413</v>
      </c>
      <c r="N49">
        <v>541</v>
      </c>
      <c r="O49">
        <v>128</v>
      </c>
      <c r="P49">
        <v>390</v>
      </c>
      <c r="Q49">
        <v>575</v>
      </c>
      <c r="R49">
        <v>185</v>
      </c>
      <c r="S49">
        <v>193.8</v>
      </c>
      <c r="T49">
        <v>412</v>
      </c>
      <c r="U49">
        <v>396</v>
      </c>
      <c r="V49">
        <v>500</v>
      </c>
      <c r="W49">
        <v>2.79</v>
      </c>
    </row>
    <row r="50" spans="1:23" x14ac:dyDescent="0.25">
      <c r="A50" t="s">
        <v>33</v>
      </c>
      <c r="B50">
        <v>2</v>
      </c>
      <c r="C50">
        <v>24</v>
      </c>
      <c r="D50">
        <v>2008</v>
      </c>
      <c r="E50">
        <v>197.5</v>
      </c>
      <c r="F50">
        <v>1.5</v>
      </c>
      <c r="G50">
        <v>1.2</v>
      </c>
      <c r="H50">
        <v>0.3</v>
      </c>
      <c r="I50">
        <v>20</v>
      </c>
      <c r="J50">
        <v>18.5</v>
      </c>
      <c r="K50">
        <v>1225.4000000000001</v>
      </c>
      <c r="L50">
        <v>472</v>
      </c>
      <c r="M50">
        <v>444</v>
      </c>
      <c r="N50">
        <v>584</v>
      </c>
      <c r="O50">
        <v>140</v>
      </c>
      <c r="P50">
        <v>412</v>
      </c>
      <c r="Q50">
        <v>584</v>
      </c>
      <c r="R50">
        <v>172</v>
      </c>
      <c r="S50">
        <v>193.8</v>
      </c>
      <c r="T50">
        <v>412</v>
      </c>
      <c r="U50">
        <v>396</v>
      </c>
      <c r="V50">
        <v>500</v>
      </c>
      <c r="W50">
        <v>2.79</v>
      </c>
    </row>
    <row r="51" spans="1:23" x14ac:dyDescent="0.25">
      <c r="A51" t="s">
        <v>33</v>
      </c>
      <c r="B51">
        <v>2</v>
      </c>
      <c r="C51">
        <v>25</v>
      </c>
      <c r="D51">
        <v>2009</v>
      </c>
      <c r="E51">
        <v>199.3</v>
      </c>
      <c r="F51">
        <v>1.8</v>
      </c>
      <c r="G51">
        <v>1.2</v>
      </c>
      <c r="H51">
        <v>0.6</v>
      </c>
      <c r="I51">
        <v>33</v>
      </c>
      <c r="J51">
        <v>22.4</v>
      </c>
      <c r="K51">
        <v>1247.9000000000001</v>
      </c>
      <c r="L51">
        <v>493</v>
      </c>
      <c r="M51">
        <v>450</v>
      </c>
      <c r="N51">
        <v>580</v>
      </c>
      <c r="O51">
        <v>130</v>
      </c>
      <c r="P51">
        <v>436</v>
      </c>
      <c r="Q51">
        <v>622</v>
      </c>
      <c r="R51">
        <v>186</v>
      </c>
      <c r="S51">
        <v>193.8</v>
      </c>
      <c r="T51">
        <v>412</v>
      </c>
      <c r="U51">
        <v>396</v>
      </c>
      <c r="V51">
        <v>500</v>
      </c>
      <c r="W51">
        <v>2.79</v>
      </c>
    </row>
    <row r="52" spans="1:23" x14ac:dyDescent="0.25">
      <c r="A52" t="s">
        <v>33</v>
      </c>
      <c r="B52">
        <v>2</v>
      </c>
      <c r="C52">
        <v>26</v>
      </c>
      <c r="D52">
        <v>2010</v>
      </c>
      <c r="E52">
        <v>201.4</v>
      </c>
      <c r="F52">
        <v>2.1</v>
      </c>
      <c r="G52">
        <v>1.5</v>
      </c>
      <c r="H52">
        <v>0.6</v>
      </c>
      <c r="I52">
        <v>28</v>
      </c>
      <c r="J52">
        <v>26.4</v>
      </c>
      <c r="K52">
        <v>1274.3</v>
      </c>
      <c r="L52">
        <v>473</v>
      </c>
      <c r="M52">
        <v>442</v>
      </c>
      <c r="N52">
        <v>551</v>
      </c>
      <c r="O52">
        <v>109</v>
      </c>
      <c r="P52">
        <v>411</v>
      </c>
      <c r="Q52">
        <v>569</v>
      </c>
      <c r="R52">
        <v>158</v>
      </c>
      <c r="S52">
        <v>193.8</v>
      </c>
      <c r="T52">
        <v>412</v>
      </c>
      <c r="U52">
        <v>396</v>
      </c>
      <c r="V52">
        <v>500</v>
      </c>
      <c r="W52">
        <v>2.79</v>
      </c>
    </row>
    <row r="53" spans="1:23" x14ac:dyDescent="0.25">
      <c r="A53" t="s">
        <v>33</v>
      </c>
      <c r="B53">
        <v>2</v>
      </c>
      <c r="C53">
        <v>27</v>
      </c>
      <c r="D53">
        <v>2011</v>
      </c>
      <c r="E53">
        <v>202.9</v>
      </c>
      <c r="F53">
        <v>1.5</v>
      </c>
      <c r="G53">
        <v>0.9</v>
      </c>
      <c r="H53">
        <v>0.6</v>
      </c>
      <c r="I53">
        <v>40</v>
      </c>
      <c r="J53">
        <v>19.100000000000001</v>
      </c>
      <c r="K53">
        <v>1293.3</v>
      </c>
      <c r="L53">
        <v>477</v>
      </c>
      <c r="M53">
        <v>430</v>
      </c>
      <c r="N53">
        <v>548</v>
      </c>
      <c r="O53">
        <v>118</v>
      </c>
      <c r="P53">
        <v>420</v>
      </c>
      <c r="Q53">
        <v>591</v>
      </c>
      <c r="R53">
        <v>171</v>
      </c>
      <c r="S53">
        <v>193.8</v>
      </c>
      <c r="T53">
        <v>412</v>
      </c>
      <c r="U53">
        <v>396</v>
      </c>
      <c r="V53">
        <v>500</v>
      </c>
      <c r="W53">
        <v>2.79</v>
      </c>
    </row>
    <row r="54" spans="1:23" x14ac:dyDescent="0.25">
      <c r="A54" t="s">
        <v>33</v>
      </c>
      <c r="B54">
        <v>2</v>
      </c>
      <c r="C54">
        <v>28</v>
      </c>
      <c r="D54">
        <v>2012</v>
      </c>
      <c r="E54">
        <v>203.8</v>
      </c>
      <c r="F54">
        <v>0.9</v>
      </c>
      <c r="G54">
        <v>0.9</v>
      </c>
      <c r="H54">
        <v>0</v>
      </c>
      <c r="I54">
        <v>0</v>
      </c>
      <c r="J54">
        <v>11.5</v>
      </c>
      <c r="K54">
        <v>1304.8</v>
      </c>
      <c r="L54">
        <v>357</v>
      </c>
      <c r="M54">
        <v>357</v>
      </c>
      <c r="P54">
        <v>252</v>
      </c>
      <c r="Q54">
        <v>435</v>
      </c>
      <c r="R54">
        <v>183</v>
      </c>
      <c r="S54">
        <v>193.8</v>
      </c>
      <c r="T54">
        <v>412</v>
      </c>
      <c r="U54">
        <v>396</v>
      </c>
      <c r="V54">
        <v>500</v>
      </c>
      <c r="W54">
        <v>2.79</v>
      </c>
    </row>
    <row r="55" spans="1:23" x14ac:dyDescent="0.25">
      <c r="A55" t="s">
        <v>33</v>
      </c>
      <c r="B55">
        <v>3</v>
      </c>
      <c r="C55">
        <v>2</v>
      </c>
      <c r="D55">
        <v>1986</v>
      </c>
      <c r="E55">
        <v>26.5</v>
      </c>
      <c r="F55">
        <v>26.5</v>
      </c>
      <c r="G55">
        <v>22.5</v>
      </c>
      <c r="H55">
        <v>0</v>
      </c>
      <c r="I55">
        <v>0</v>
      </c>
      <c r="J55">
        <v>22.1</v>
      </c>
      <c r="K55">
        <v>22.1</v>
      </c>
      <c r="L55">
        <v>332</v>
      </c>
      <c r="M55">
        <v>332</v>
      </c>
      <c r="P55">
        <v>271</v>
      </c>
      <c r="Q55">
        <v>415</v>
      </c>
      <c r="R55">
        <v>144</v>
      </c>
      <c r="S55">
        <v>261.89999999999998</v>
      </c>
      <c r="T55">
        <v>404</v>
      </c>
      <c r="U55">
        <v>407</v>
      </c>
      <c r="V55">
        <v>500</v>
      </c>
      <c r="W55">
        <v>2.79</v>
      </c>
    </row>
    <row r="56" spans="1:23" x14ac:dyDescent="0.25">
      <c r="A56" t="s">
        <v>33</v>
      </c>
      <c r="B56">
        <v>3</v>
      </c>
      <c r="C56">
        <v>3</v>
      </c>
      <c r="D56">
        <v>1987</v>
      </c>
      <c r="E56">
        <v>46.9</v>
      </c>
      <c r="F56">
        <v>20.399999999999999</v>
      </c>
      <c r="G56">
        <v>20.399999999999999</v>
      </c>
      <c r="H56">
        <v>0</v>
      </c>
      <c r="I56">
        <v>0</v>
      </c>
      <c r="J56">
        <v>47</v>
      </c>
      <c r="K56">
        <v>69.099999999999994</v>
      </c>
      <c r="L56">
        <v>337</v>
      </c>
      <c r="M56">
        <v>337</v>
      </c>
      <c r="P56">
        <v>257</v>
      </c>
      <c r="Q56">
        <v>495</v>
      </c>
      <c r="R56">
        <v>238</v>
      </c>
      <c r="S56">
        <v>261.89999999999998</v>
      </c>
      <c r="T56">
        <v>404</v>
      </c>
      <c r="U56">
        <v>407</v>
      </c>
      <c r="V56">
        <v>500</v>
      </c>
      <c r="W56">
        <v>2.79</v>
      </c>
    </row>
    <row r="57" spans="1:23" x14ac:dyDescent="0.25">
      <c r="A57" t="s">
        <v>33</v>
      </c>
      <c r="B57">
        <v>3</v>
      </c>
      <c r="C57">
        <v>4</v>
      </c>
      <c r="D57">
        <v>1988</v>
      </c>
      <c r="E57">
        <v>64</v>
      </c>
      <c r="F57">
        <v>17.100000000000001</v>
      </c>
      <c r="G57">
        <v>17.100000000000001</v>
      </c>
      <c r="H57">
        <v>0</v>
      </c>
      <c r="I57">
        <v>0</v>
      </c>
      <c r="J57">
        <v>59.6</v>
      </c>
      <c r="K57">
        <v>128.69999999999999</v>
      </c>
      <c r="L57">
        <v>351</v>
      </c>
      <c r="M57">
        <v>351</v>
      </c>
      <c r="P57">
        <v>278</v>
      </c>
      <c r="Q57">
        <v>470</v>
      </c>
      <c r="R57">
        <v>192</v>
      </c>
      <c r="S57">
        <v>261.89999999999998</v>
      </c>
      <c r="T57">
        <v>404</v>
      </c>
      <c r="U57">
        <v>407</v>
      </c>
      <c r="V57">
        <v>500</v>
      </c>
      <c r="W57">
        <v>2.79</v>
      </c>
    </row>
    <row r="58" spans="1:23" x14ac:dyDescent="0.25">
      <c r="A58" t="s">
        <v>33</v>
      </c>
      <c r="B58">
        <v>3</v>
      </c>
      <c r="C58">
        <v>5</v>
      </c>
      <c r="D58">
        <v>1989</v>
      </c>
      <c r="E58">
        <v>74.5</v>
      </c>
      <c r="F58">
        <v>10.5</v>
      </c>
      <c r="G58">
        <v>9.9</v>
      </c>
      <c r="H58">
        <v>0.6</v>
      </c>
      <c r="I58">
        <v>5</v>
      </c>
      <c r="J58">
        <v>45.7</v>
      </c>
      <c r="K58">
        <v>174.4</v>
      </c>
      <c r="L58">
        <v>388</v>
      </c>
      <c r="M58">
        <v>380</v>
      </c>
      <c r="N58">
        <v>518</v>
      </c>
      <c r="O58">
        <v>138</v>
      </c>
      <c r="P58">
        <v>316</v>
      </c>
      <c r="Q58">
        <v>527</v>
      </c>
      <c r="R58">
        <v>211</v>
      </c>
      <c r="S58">
        <v>261.89999999999998</v>
      </c>
      <c r="T58">
        <v>404</v>
      </c>
      <c r="U58">
        <v>407</v>
      </c>
      <c r="V58">
        <v>500</v>
      </c>
      <c r="W58">
        <v>2.79</v>
      </c>
    </row>
    <row r="59" spans="1:23" x14ac:dyDescent="0.25">
      <c r="A59" t="s">
        <v>33</v>
      </c>
      <c r="B59">
        <v>3</v>
      </c>
      <c r="C59">
        <v>6</v>
      </c>
      <c r="D59">
        <v>1990</v>
      </c>
      <c r="E59">
        <v>84.4</v>
      </c>
      <c r="F59">
        <v>9.9</v>
      </c>
      <c r="G59">
        <v>8.6999999999999993</v>
      </c>
      <c r="H59">
        <v>1.2</v>
      </c>
      <c r="I59">
        <v>12</v>
      </c>
      <c r="J59">
        <v>49.4</v>
      </c>
      <c r="K59">
        <v>223.8</v>
      </c>
      <c r="L59">
        <v>391</v>
      </c>
      <c r="M59">
        <v>371</v>
      </c>
      <c r="N59">
        <v>533</v>
      </c>
      <c r="O59">
        <v>162</v>
      </c>
      <c r="P59">
        <v>320</v>
      </c>
      <c r="Q59">
        <v>560</v>
      </c>
      <c r="R59">
        <v>240</v>
      </c>
      <c r="S59">
        <v>261.89999999999998</v>
      </c>
      <c r="T59">
        <v>404</v>
      </c>
      <c r="U59">
        <v>407</v>
      </c>
      <c r="V59">
        <v>500</v>
      </c>
      <c r="W59">
        <v>2.79</v>
      </c>
    </row>
    <row r="60" spans="1:23" x14ac:dyDescent="0.25">
      <c r="A60" t="s">
        <v>33</v>
      </c>
      <c r="B60">
        <v>3</v>
      </c>
      <c r="C60">
        <v>7</v>
      </c>
      <c r="D60">
        <v>1991</v>
      </c>
      <c r="E60">
        <v>93.4</v>
      </c>
      <c r="F60">
        <v>9</v>
      </c>
      <c r="G60">
        <v>7.8</v>
      </c>
      <c r="H60">
        <v>1.2</v>
      </c>
      <c r="I60">
        <v>13</v>
      </c>
      <c r="J60">
        <v>50.3</v>
      </c>
      <c r="K60">
        <v>274.10000000000002</v>
      </c>
      <c r="L60">
        <v>401</v>
      </c>
      <c r="M60">
        <v>379</v>
      </c>
      <c r="N60">
        <v>540</v>
      </c>
      <c r="O60">
        <v>161</v>
      </c>
      <c r="P60">
        <v>321</v>
      </c>
      <c r="Q60">
        <v>547</v>
      </c>
      <c r="R60">
        <v>226</v>
      </c>
      <c r="S60">
        <v>261.89999999999998</v>
      </c>
      <c r="T60">
        <v>404</v>
      </c>
      <c r="U60">
        <v>407</v>
      </c>
      <c r="V60">
        <v>500</v>
      </c>
      <c r="W60">
        <v>2.79</v>
      </c>
    </row>
    <row r="61" spans="1:23" x14ac:dyDescent="0.25">
      <c r="A61" t="s">
        <v>33</v>
      </c>
      <c r="B61">
        <v>3</v>
      </c>
      <c r="C61">
        <v>8</v>
      </c>
      <c r="D61">
        <v>1992</v>
      </c>
      <c r="E61">
        <v>107.2</v>
      </c>
      <c r="F61">
        <v>13.8</v>
      </c>
      <c r="G61">
        <v>12.9</v>
      </c>
      <c r="H61">
        <v>0.9</v>
      </c>
      <c r="I61">
        <v>6</v>
      </c>
      <c r="J61">
        <v>87</v>
      </c>
      <c r="K61">
        <v>361</v>
      </c>
      <c r="L61">
        <v>385</v>
      </c>
      <c r="M61">
        <v>376</v>
      </c>
      <c r="N61">
        <v>514</v>
      </c>
      <c r="O61">
        <v>138</v>
      </c>
      <c r="P61">
        <v>312</v>
      </c>
      <c r="Q61">
        <v>528</v>
      </c>
      <c r="R61">
        <v>216</v>
      </c>
      <c r="S61">
        <v>261.89999999999998</v>
      </c>
      <c r="T61">
        <v>404</v>
      </c>
      <c r="U61">
        <v>407</v>
      </c>
      <c r="V61">
        <v>500</v>
      </c>
      <c r="W61">
        <v>2.79</v>
      </c>
    </row>
    <row r="62" spans="1:23" x14ac:dyDescent="0.25">
      <c r="A62" t="s">
        <v>33</v>
      </c>
      <c r="B62">
        <v>3</v>
      </c>
      <c r="C62">
        <v>9</v>
      </c>
      <c r="D62">
        <v>1993</v>
      </c>
      <c r="E62">
        <v>119.8</v>
      </c>
      <c r="F62">
        <v>12.6</v>
      </c>
      <c r="G62">
        <v>10.8</v>
      </c>
      <c r="H62">
        <v>1.8</v>
      </c>
      <c r="I62">
        <v>14</v>
      </c>
      <c r="J62">
        <v>89.9</v>
      </c>
      <c r="K62">
        <v>450.9</v>
      </c>
      <c r="L62">
        <v>383</v>
      </c>
      <c r="M62">
        <v>361</v>
      </c>
      <c r="N62">
        <v>515</v>
      </c>
      <c r="O62">
        <v>154</v>
      </c>
      <c r="P62">
        <v>301</v>
      </c>
      <c r="Q62">
        <v>529</v>
      </c>
      <c r="R62">
        <v>228</v>
      </c>
      <c r="S62">
        <v>261.89999999999998</v>
      </c>
      <c r="T62">
        <v>404</v>
      </c>
      <c r="U62">
        <v>407</v>
      </c>
      <c r="V62">
        <v>500</v>
      </c>
      <c r="W62">
        <v>2.79</v>
      </c>
    </row>
    <row r="63" spans="1:23" x14ac:dyDescent="0.25">
      <c r="A63" t="s">
        <v>33</v>
      </c>
      <c r="B63">
        <v>3</v>
      </c>
      <c r="C63">
        <v>10</v>
      </c>
      <c r="D63">
        <v>1994</v>
      </c>
      <c r="E63">
        <v>132.1</v>
      </c>
      <c r="F63">
        <v>12.3</v>
      </c>
      <c r="G63">
        <v>11.1</v>
      </c>
      <c r="H63">
        <v>1.2</v>
      </c>
      <c r="I63">
        <v>9</v>
      </c>
      <c r="J63">
        <v>97.3</v>
      </c>
      <c r="K63">
        <v>548.20000000000005</v>
      </c>
      <c r="L63">
        <v>388</v>
      </c>
      <c r="M63">
        <v>373</v>
      </c>
      <c r="N63">
        <v>524</v>
      </c>
      <c r="O63">
        <v>151</v>
      </c>
      <c r="P63">
        <v>321</v>
      </c>
      <c r="Q63">
        <v>542</v>
      </c>
      <c r="R63">
        <v>221</v>
      </c>
      <c r="S63">
        <v>261.89999999999998</v>
      </c>
      <c r="T63">
        <v>404</v>
      </c>
      <c r="U63">
        <v>407</v>
      </c>
      <c r="V63">
        <v>500</v>
      </c>
      <c r="W63">
        <v>2.79</v>
      </c>
    </row>
    <row r="64" spans="1:23" x14ac:dyDescent="0.25">
      <c r="A64" t="s">
        <v>33</v>
      </c>
      <c r="B64">
        <v>3</v>
      </c>
      <c r="C64">
        <v>11</v>
      </c>
      <c r="D64">
        <v>1995</v>
      </c>
      <c r="E64">
        <v>141.4</v>
      </c>
      <c r="F64">
        <v>9.3000000000000007</v>
      </c>
      <c r="G64">
        <v>8.1</v>
      </c>
      <c r="H64">
        <v>1.2</v>
      </c>
      <c r="I64">
        <v>12</v>
      </c>
      <c r="J64">
        <v>79.900000000000006</v>
      </c>
      <c r="K64">
        <v>628.1</v>
      </c>
      <c r="L64">
        <v>413</v>
      </c>
      <c r="M64">
        <v>396</v>
      </c>
      <c r="N64">
        <v>531</v>
      </c>
      <c r="O64">
        <v>135</v>
      </c>
      <c r="P64">
        <v>318</v>
      </c>
      <c r="Q64">
        <v>539</v>
      </c>
      <c r="R64">
        <v>221</v>
      </c>
      <c r="S64">
        <v>261.89999999999998</v>
      </c>
      <c r="T64">
        <v>404</v>
      </c>
      <c r="U64">
        <v>407</v>
      </c>
      <c r="V64">
        <v>500</v>
      </c>
      <c r="W64">
        <v>2.79</v>
      </c>
    </row>
    <row r="65" spans="1:23" x14ac:dyDescent="0.25">
      <c r="A65" t="s">
        <v>33</v>
      </c>
      <c r="B65">
        <v>3</v>
      </c>
      <c r="C65">
        <v>12</v>
      </c>
      <c r="D65">
        <v>1996</v>
      </c>
      <c r="E65">
        <v>152.19999999999999</v>
      </c>
      <c r="F65">
        <v>10.8</v>
      </c>
      <c r="G65">
        <v>9</v>
      </c>
      <c r="H65">
        <v>1.8</v>
      </c>
      <c r="I65">
        <v>16</v>
      </c>
      <c r="J65">
        <v>99.6</v>
      </c>
      <c r="K65">
        <v>727.7</v>
      </c>
      <c r="L65">
        <v>409</v>
      </c>
      <c r="M65">
        <v>385</v>
      </c>
      <c r="N65">
        <v>527</v>
      </c>
      <c r="O65">
        <v>142</v>
      </c>
      <c r="P65">
        <v>333</v>
      </c>
      <c r="Q65">
        <v>546</v>
      </c>
      <c r="R65">
        <v>213</v>
      </c>
      <c r="S65">
        <v>261.89999999999998</v>
      </c>
      <c r="T65">
        <v>404</v>
      </c>
      <c r="U65">
        <v>407</v>
      </c>
      <c r="V65">
        <v>500</v>
      </c>
      <c r="W65">
        <v>2.79</v>
      </c>
    </row>
    <row r="66" spans="1:23" x14ac:dyDescent="0.25">
      <c r="A66" t="s">
        <v>33</v>
      </c>
      <c r="B66">
        <v>3</v>
      </c>
      <c r="C66">
        <v>13</v>
      </c>
      <c r="D66">
        <v>1997</v>
      </c>
      <c r="E66">
        <v>165.1</v>
      </c>
      <c r="F66">
        <v>12.9</v>
      </c>
      <c r="G66">
        <v>10.5</v>
      </c>
      <c r="H66">
        <v>2.4</v>
      </c>
      <c r="I66">
        <v>18</v>
      </c>
      <c r="J66">
        <v>128.6</v>
      </c>
      <c r="K66">
        <v>856.3</v>
      </c>
      <c r="L66">
        <v>399</v>
      </c>
      <c r="M66">
        <v>370</v>
      </c>
      <c r="N66">
        <v>529</v>
      </c>
      <c r="O66">
        <v>159</v>
      </c>
      <c r="P66">
        <v>305</v>
      </c>
      <c r="Q66">
        <v>555</v>
      </c>
      <c r="R66">
        <v>250</v>
      </c>
      <c r="S66">
        <v>261.89999999999998</v>
      </c>
      <c r="T66">
        <v>404</v>
      </c>
      <c r="U66">
        <v>407</v>
      </c>
      <c r="V66">
        <v>500</v>
      </c>
      <c r="W66">
        <v>2.79</v>
      </c>
    </row>
    <row r="67" spans="1:23" x14ac:dyDescent="0.25">
      <c r="A67" t="s">
        <v>33</v>
      </c>
      <c r="B67">
        <v>3</v>
      </c>
      <c r="C67">
        <v>14</v>
      </c>
      <c r="D67">
        <v>1998</v>
      </c>
      <c r="E67">
        <v>174.1</v>
      </c>
      <c r="F67">
        <v>9</v>
      </c>
      <c r="G67">
        <v>6.6</v>
      </c>
      <c r="H67">
        <v>2.4</v>
      </c>
      <c r="I67">
        <v>26</v>
      </c>
      <c r="J67">
        <v>95.9</v>
      </c>
      <c r="K67">
        <v>952.2</v>
      </c>
      <c r="L67">
        <v>410</v>
      </c>
      <c r="M67">
        <v>363</v>
      </c>
      <c r="N67">
        <v>536</v>
      </c>
      <c r="O67">
        <v>173</v>
      </c>
      <c r="P67">
        <v>297</v>
      </c>
      <c r="Q67">
        <v>571</v>
      </c>
      <c r="R67">
        <v>274</v>
      </c>
      <c r="S67">
        <v>261.89999999999998</v>
      </c>
      <c r="T67">
        <v>404</v>
      </c>
      <c r="U67">
        <v>407</v>
      </c>
      <c r="V67">
        <v>500</v>
      </c>
      <c r="W67">
        <v>2.79</v>
      </c>
    </row>
    <row r="68" spans="1:23" x14ac:dyDescent="0.25">
      <c r="A68" t="s">
        <v>33</v>
      </c>
      <c r="B68">
        <v>3</v>
      </c>
      <c r="C68">
        <v>15</v>
      </c>
      <c r="D68">
        <v>1999</v>
      </c>
      <c r="E68">
        <v>184</v>
      </c>
      <c r="F68">
        <v>9.9</v>
      </c>
      <c r="G68">
        <v>9.3000000000000007</v>
      </c>
      <c r="H68">
        <v>0.6</v>
      </c>
      <c r="I68">
        <v>6</v>
      </c>
      <c r="J68">
        <v>111.4</v>
      </c>
      <c r="K68">
        <v>1063.5999999999999</v>
      </c>
      <c r="L68">
        <v>389</v>
      </c>
      <c r="M68">
        <v>381</v>
      </c>
      <c r="N68">
        <v>523</v>
      </c>
      <c r="O68">
        <v>142</v>
      </c>
      <c r="P68">
        <v>313</v>
      </c>
      <c r="Q68">
        <v>530</v>
      </c>
      <c r="R68">
        <v>217</v>
      </c>
      <c r="S68">
        <v>261.89999999999998</v>
      </c>
      <c r="T68">
        <v>404</v>
      </c>
      <c r="U68">
        <v>407</v>
      </c>
      <c r="V68">
        <v>500</v>
      </c>
      <c r="W68">
        <v>2.79</v>
      </c>
    </row>
    <row r="69" spans="1:23" x14ac:dyDescent="0.25">
      <c r="A69" t="s">
        <v>33</v>
      </c>
      <c r="B69">
        <v>3</v>
      </c>
      <c r="C69">
        <v>16</v>
      </c>
      <c r="D69">
        <v>2000</v>
      </c>
      <c r="E69">
        <v>192.7</v>
      </c>
      <c r="F69">
        <v>8.6999999999999993</v>
      </c>
      <c r="G69">
        <v>8.1</v>
      </c>
      <c r="H69">
        <v>0.6</v>
      </c>
      <c r="I69">
        <v>6</v>
      </c>
      <c r="J69">
        <v>103</v>
      </c>
      <c r="K69">
        <v>1166.5999999999999</v>
      </c>
      <c r="L69">
        <v>365</v>
      </c>
      <c r="M69">
        <v>356</v>
      </c>
      <c r="N69">
        <v>500</v>
      </c>
      <c r="O69">
        <v>144</v>
      </c>
      <c r="P69">
        <v>268</v>
      </c>
      <c r="Q69">
        <v>500</v>
      </c>
      <c r="R69">
        <v>232</v>
      </c>
      <c r="S69">
        <v>261.89999999999998</v>
      </c>
      <c r="T69">
        <v>404</v>
      </c>
      <c r="U69">
        <v>407</v>
      </c>
      <c r="V69">
        <v>500</v>
      </c>
      <c r="W69">
        <v>2.79</v>
      </c>
    </row>
    <row r="70" spans="1:23" x14ac:dyDescent="0.25">
      <c r="A70" t="s">
        <v>33</v>
      </c>
      <c r="B70">
        <v>3</v>
      </c>
      <c r="C70">
        <v>17</v>
      </c>
      <c r="D70">
        <v>2001</v>
      </c>
      <c r="E70">
        <v>202.9</v>
      </c>
      <c r="F70">
        <v>10.199999999999999</v>
      </c>
      <c r="G70">
        <v>8.1</v>
      </c>
      <c r="H70">
        <v>2.1</v>
      </c>
      <c r="I70">
        <v>20</v>
      </c>
      <c r="J70">
        <v>126.8</v>
      </c>
      <c r="K70">
        <v>1293.3</v>
      </c>
      <c r="L70">
        <v>414</v>
      </c>
      <c r="M70">
        <v>383</v>
      </c>
      <c r="N70">
        <v>533</v>
      </c>
      <c r="O70">
        <v>150</v>
      </c>
      <c r="P70">
        <v>315</v>
      </c>
      <c r="Q70">
        <v>565</v>
      </c>
      <c r="R70">
        <v>250</v>
      </c>
      <c r="S70">
        <v>261.89999999999998</v>
      </c>
      <c r="T70">
        <v>404</v>
      </c>
      <c r="U70">
        <v>407</v>
      </c>
      <c r="V70">
        <v>500</v>
      </c>
      <c r="W70">
        <v>2.79</v>
      </c>
    </row>
    <row r="71" spans="1:23" x14ac:dyDescent="0.25">
      <c r="A71" t="s">
        <v>33</v>
      </c>
      <c r="B71">
        <v>3</v>
      </c>
      <c r="C71">
        <v>18</v>
      </c>
      <c r="D71">
        <v>2002</v>
      </c>
      <c r="E71">
        <v>212.2</v>
      </c>
      <c r="F71">
        <v>9.3000000000000007</v>
      </c>
      <c r="G71">
        <v>7.2</v>
      </c>
      <c r="H71">
        <v>2.1</v>
      </c>
      <c r="I71">
        <v>22</v>
      </c>
      <c r="J71">
        <v>121.3</v>
      </c>
      <c r="K71">
        <v>1414.6</v>
      </c>
      <c r="L71">
        <v>430</v>
      </c>
      <c r="M71">
        <v>394</v>
      </c>
      <c r="N71">
        <v>553</v>
      </c>
      <c r="O71">
        <v>159</v>
      </c>
      <c r="P71">
        <v>319</v>
      </c>
      <c r="Q71">
        <v>592</v>
      </c>
      <c r="R71">
        <v>273</v>
      </c>
      <c r="S71">
        <v>261.89999999999998</v>
      </c>
      <c r="T71">
        <v>404</v>
      </c>
      <c r="U71">
        <v>407</v>
      </c>
      <c r="V71">
        <v>500</v>
      </c>
      <c r="W71">
        <v>2.79</v>
      </c>
    </row>
    <row r="72" spans="1:23" x14ac:dyDescent="0.25">
      <c r="A72" t="s">
        <v>33</v>
      </c>
      <c r="B72">
        <v>3</v>
      </c>
      <c r="C72">
        <v>19</v>
      </c>
      <c r="D72">
        <v>2003</v>
      </c>
      <c r="E72">
        <v>221.8</v>
      </c>
      <c r="F72">
        <v>9.6</v>
      </c>
      <c r="G72">
        <v>8.6999999999999993</v>
      </c>
      <c r="H72">
        <v>0.9</v>
      </c>
      <c r="I72">
        <v>9</v>
      </c>
      <c r="J72">
        <v>130.9</v>
      </c>
      <c r="K72">
        <v>1545.5</v>
      </c>
      <c r="L72">
        <v>416</v>
      </c>
      <c r="M72">
        <v>401</v>
      </c>
      <c r="N72">
        <v>555</v>
      </c>
      <c r="O72">
        <v>154</v>
      </c>
      <c r="P72">
        <v>352</v>
      </c>
      <c r="Q72">
        <v>570</v>
      </c>
      <c r="R72">
        <v>218</v>
      </c>
      <c r="S72">
        <v>261.89999999999998</v>
      </c>
      <c r="T72">
        <v>404</v>
      </c>
      <c r="U72">
        <v>407</v>
      </c>
      <c r="V72">
        <v>500</v>
      </c>
      <c r="W72">
        <v>2.79</v>
      </c>
    </row>
    <row r="73" spans="1:23" x14ac:dyDescent="0.25">
      <c r="A73" t="s">
        <v>33</v>
      </c>
      <c r="B73">
        <v>3</v>
      </c>
      <c r="C73">
        <v>20</v>
      </c>
      <c r="D73">
        <v>2004</v>
      </c>
      <c r="E73">
        <v>228.4</v>
      </c>
      <c r="F73">
        <v>6.6</v>
      </c>
      <c r="G73">
        <v>5.0999999999999996</v>
      </c>
      <c r="H73">
        <v>1.5</v>
      </c>
      <c r="I73">
        <v>22</v>
      </c>
      <c r="J73">
        <v>93.3</v>
      </c>
      <c r="K73">
        <v>1638.9</v>
      </c>
      <c r="L73">
        <v>425</v>
      </c>
      <c r="M73">
        <v>393</v>
      </c>
      <c r="N73">
        <v>534</v>
      </c>
      <c r="O73">
        <v>141</v>
      </c>
      <c r="P73">
        <v>338</v>
      </c>
      <c r="Q73">
        <v>555</v>
      </c>
      <c r="R73">
        <v>217</v>
      </c>
      <c r="S73">
        <v>261.89999999999998</v>
      </c>
      <c r="T73">
        <v>404</v>
      </c>
      <c r="U73">
        <v>407</v>
      </c>
      <c r="V73">
        <v>500</v>
      </c>
      <c r="W73">
        <v>2.79</v>
      </c>
    </row>
    <row r="74" spans="1:23" x14ac:dyDescent="0.25">
      <c r="A74" t="s">
        <v>33</v>
      </c>
      <c r="B74">
        <v>3</v>
      </c>
      <c r="C74">
        <v>21</v>
      </c>
      <c r="D74">
        <v>2005</v>
      </c>
      <c r="E74">
        <v>235.3</v>
      </c>
      <c r="F74">
        <v>6.9</v>
      </c>
      <c r="G74">
        <v>6.9</v>
      </c>
      <c r="H74">
        <v>0</v>
      </c>
      <c r="I74">
        <v>0</v>
      </c>
      <c r="J74">
        <v>100.5</v>
      </c>
      <c r="K74">
        <v>1739.4</v>
      </c>
      <c r="L74">
        <v>401</v>
      </c>
      <c r="M74">
        <v>401</v>
      </c>
      <c r="P74">
        <v>333</v>
      </c>
      <c r="Q74">
        <v>492</v>
      </c>
      <c r="R74">
        <v>159</v>
      </c>
      <c r="S74">
        <v>261.89999999999998</v>
      </c>
      <c r="T74">
        <v>404</v>
      </c>
      <c r="U74">
        <v>407</v>
      </c>
      <c r="V74">
        <v>500</v>
      </c>
      <c r="W74">
        <v>2.79</v>
      </c>
    </row>
    <row r="75" spans="1:23" x14ac:dyDescent="0.25">
      <c r="A75" t="s">
        <v>33</v>
      </c>
      <c r="B75">
        <v>3</v>
      </c>
      <c r="C75">
        <v>22</v>
      </c>
      <c r="D75">
        <v>2006</v>
      </c>
      <c r="E75">
        <v>239.8</v>
      </c>
      <c r="F75">
        <v>4.5</v>
      </c>
      <c r="G75">
        <v>4.5</v>
      </c>
      <c r="H75">
        <v>0</v>
      </c>
      <c r="I75">
        <v>0</v>
      </c>
      <c r="J75">
        <v>67.2</v>
      </c>
      <c r="K75">
        <v>1806.5</v>
      </c>
      <c r="L75">
        <v>398</v>
      </c>
      <c r="M75">
        <v>398</v>
      </c>
      <c r="P75">
        <v>300</v>
      </c>
      <c r="Q75">
        <v>462</v>
      </c>
      <c r="R75">
        <v>162</v>
      </c>
      <c r="S75">
        <v>261.89999999999998</v>
      </c>
      <c r="T75">
        <v>404</v>
      </c>
      <c r="U75">
        <v>407</v>
      </c>
      <c r="V75">
        <v>500</v>
      </c>
      <c r="W75">
        <v>2.79</v>
      </c>
    </row>
    <row r="76" spans="1:23" x14ac:dyDescent="0.25">
      <c r="A76" t="s">
        <v>33</v>
      </c>
      <c r="B76">
        <v>3</v>
      </c>
      <c r="C76">
        <v>23</v>
      </c>
      <c r="D76">
        <v>2007</v>
      </c>
      <c r="E76">
        <v>244</v>
      </c>
      <c r="F76">
        <v>4.2</v>
      </c>
      <c r="G76">
        <v>2.4</v>
      </c>
      <c r="H76">
        <v>1.8</v>
      </c>
      <c r="I76">
        <v>42</v>
      </c>
      <c r="J76">
        <v>63.8</v>
      </c>
      <c r="K76">
        <v>1870.4</v>
      </c>
      <c r="L76">
        <v>475</v>
      </c>
      <c r="M76">
        <v>423</v>
      </c>
      <c r="N76">
        <v>544</v>
      </c>
      <c r="O76">
        <v>121</v>
      </c>
      <c r="P76">
        <v>360</v>
      </c>
      <c r="Q76">
        <v>604</v>
      </c>
      <c r="R76">
        <v>244</v>
      </c>
      <c r="S76">
        <v>261.89999999999998</v>
      </c>
      <c r="T76">
        <v>404</v>
      </c>
      <c r="U76">
        <v>407</v>
      </c>
      <c r="V76">
        <v>500</v>
      </c>
      <c r="W76">
        <v>2.79</v>
      </c>
    </row>
    <row r="77" spans="1:23" x14ac:dyDescent="0.25">
      <c r="A77" t="s">
        <v>33</v>
      </c>
      <c r="B77">
        <v>3</v>
      </c>
      <c r="C77">
        <v>24</v>
      </c>
      <c r="D77">
        <v>2008</v>
      </c>
      <c r="E77">
        <v>249.1</v>
      </c>
      <c r="F77">
        <v>5.0999999999999996</v>
      </c>
      <c r="G77">
        <v>5.0999999999999996</v>
      </c>
      <c r="H77">
        <v>0</v>
      </c>
      <c r="I77">
        <v>0</v>
      </c>
      <c r="J77">
        <v>79</v>
      </c>
      <c r="K77">
        <v>1949.4</v>
      </c>
      <c r="L77">
        <v>425</v>
      </c>
      <c r="M77">
        <v>425</v>
      </c>
      <c r="P77">
        <v>353</v>
      </c>
      <c r="Q77">
        <v>497</v>
      </c>
      <c r="R77">
        <v>144</v>
      </c>
      <c r="S77">
        <v>261.89999999999998</v>
      </c>
      <c r="T77">
        <v>404</v>
      </c>
      <c r="U77">
        <v>407</v>
      </c>
      <c r="V77">
        <v>500</v>
      </c>
      <c r="W77">
        <v>2.79</v>
      </c>
    </row>
    <row r="78" spans="1:23" x14ac:dyDescent="0.25">
      <c r="A78" t="s">
        <v>33</v>
      </c>
      <c r="B78">
        <v>3</v>
      </c>
      <c r="C78">
        <v>25</v>
      </c>
      <c r="D78">
        <v>2009</v>
      </c>
      <c r="E78">
        <v>253.6</v>
      </c>
      <c r="F78">
        <v>4.5</v>
      </c>
      <c r="G78">
        <v>3</v>
      </c>
      <c r="H78">
        <v>1.5</v>
      </c>
      <c r="I78">
        <v>33</v>
      </c>
      <c r="J78">
        <v>71.099999999999994</v>
      </c>
      <c r="K78">
        <v>2020.5</v>
      </c>
      <c r="L78">
        <v>472</v>
      </c>
      <c r="M78">
        <v>442</v>
      </c>
      <c r="N78">
        <v>531</v>
      </c>
      <c r="O78">
        <v>89</v>
      </c>
      <c r="P78">
        <v>370</v>
      </c>
      <c r="Q78">
        <v>551</v>
      </c>
      <c r="R78">
        <v>181</v>
      </c>
      <c r="S78">
        <v>261.89999999999998</v>
      </c>
      <c r="T78">
        <v>404</v>
      </c>
      <c r="U78">
        <v>407</v>
      </c>
      <c r="V78">
        <v>500</v>
      </c>
      <c r="W78">
        <v>2.79</v>
      </c>
    </row>
    <row r="79" spans="1:23" x14ac:dyDescent="0.25">
      <c r="A79" t="s">
        <v>33</v>
      </c>
      <c r="B79">
        <v>3</v>
      </c>
      <c r="C79">
        <v>26</v>
      </c>
      <c r="D79">
        <v>2010</v>
      </c>
      <c r="E79">
        <v>257.8</v>
      </c>
      <c r="F79">
        <v>4.2</v>
      </c>
      <c r="G79">
        <v>2.7</v>
      </c>
      <c r="H79">
        <v>1.5</v>
      </c>
      <c r="I79">
        <v>35</v>
      </c>
      <c r="J79">
        <v>67.5</v>
      </c>
      <c r="K79">
        <v>2087.9</v>
      </c>
      <c r="L79">
        <v>446</v>
      </c>
      <c r="M79">
        <v>402</v>
      </c>
      <c r="N79">
        <v>525</v>
      </c>
      <c r="O79">
        <v>123</v>
      </c>
      <c r="P79">
        <v>332</v>
      </c>
      <c r="Q79">
        <v>564</v>
      </c>
      <c r="R79">
        <v>232</v>
      </c>
      <c r="S79">
        <v>261.89999999999998</v>
      </c>
      <c r="T79">
        <v>404</v>
      </c>
      <c r="U79">
        <v>407</v>
      </c>
      <c r="V79">
        <v>500</v>
      </c>
      <c r="W79">
        <v>2.79</v>
      </c>
    </row>
    <row r="80" spans="1:23" x14ac:dyDescent="0.25">
      <c r="A80" t="s">
        <v>33</v>
      </c>
      <c r="B80">
        <v>3</v>
      </c>
      <c r="C80">
        <v>27</v>
      </c>
      <c r="D80">
        <v>2011</v>
      </c>
      <c r="E80">
        <v>262.3</v>
      </c>
      <c r="F80">
        <v>4.5</v>
      </c>
      <c r="G80">
        <v>3.3</v>
      </c>
      <c r="H80">
        <v>1.2</v>
      </c>
      <c r="I80">
        <v>26</v>
      </c>
      <c r="J80">
        <v>73.5</v>
      </c>
      <c r="K80">
        <v>2161.5</v>
      </c>
      <c r="L80">
        <v>459</v>
      </c>
      <c r="M80">
        <v>436</v>
      </c>
      <c r="N80">
        <v>522</v>
      </c>
      <c r="O80">
        <v>86</v>
      </c>
      <c r="P80">
        <v>337</v>
      </c>
      <c r="Q80">
        <v>552</v>
      </c>
      <c r="R80">
        <v>215</v>
      </c>
      <c r="S80">
        <v>261.89999999999998</v>
      </c>
      <c r="T80">
        <v>404</v>
      </c>
      <c r="U80">
        <v>407</v>
      </c>
      <c r="V80">
        <v>500</v>
      </c>
      <c r="W80">
        <v>2.79</v>
      </c>
    </row>
    <row r="81" spans="1:23" x14ac:dyDescent="0.25">
      <c r="A81" t="s">
        <v>33</v>
      </c>
      <c r="B81">
        <v>3</v>
      </c>
      <c r="C81">
        <v>28</v>
      </c>
      <c r="D81">
        <v>2012</v>
      </c>
      <c r="E81">
        <v>265.3</v>
      </c>
      <c r="F81">
        <v>3</v>
      </c>
      <c r="G81">
        <v>3</v>
      </c>
      <c r="H81">
        <v>0</v>
      </c>
      <c r="I81">
        <v>0</v>
      </c>
      <c r="J81">
        <v>49.7</v>
      </c>
      <c r="K81">
        <v>2211.1999999999998</v>
      </c>
      <c r="L81">
        <v>429</v>
      </c>
      <c r="M81">
        <v>429</v>
      </c>
      <c r="P81">
        <v>365</v>
      </c>
      <c r="Q81">
        <v>462</v>
      </c>
      <c r="R81">
        <v>97</v>
      </c>
      <c r="S81">
        <v>261.89999999999998</v>
      </c>
      <c r="T81">
        <v>404</v>
      </c>
      <c r="U81">
        <v>407</v>
      </c>
      <c r="V81">
        <v>500</v>
      </c>
      <c r="W81">
        <v>2.79</v>
      </c>
    </row>
    <row r="82" spans="1:23" x14ac:dyDescent="0.25">
      <c r="A82" t="s">
        <v>33</v>
      </c>
      <c r="B82">
        <v>4</v>
      </c>
      <c r="C82">
        <v>3</v>
      </c>
      <c r="D82">
        <v>1988</v>
      </c>
      <c r="E82">
        <v>31.2</v>
      </c>
      <c r="F82">
        <v>31.2</v>
      </c>
      <c r="G82">
        <v>18.600000000000001</v>
      </c>
      <c r="H82">
        <v>0.6</v>
      </c>
      <c r="I82">
        <v>1</v>
      </c>
      <c r="J82">
        <v>30.6</v>
      </c>
      <c r="K82">
        <v>30.6</v>
      </c>
      <c r="L82">
        <v>362</v>
      </c>
      <c r="M82">
        <v>357</v>
      </c>
      <c r="N82">
        <v>504</v>
      </c>
      <c r="O82">
        <v>147</v>
      </c>
      <c r="P82">
        <v>284</v>
      </c>
      <c r="Q82">
        <v>508</v>
      </c>
      <c r="R82">
        <v>224</v>
      </c>
      <c r="S82">
        <v>166.8</v>
      </c>
      <c r="T82">
        <v>412</v>
      </c>
      <c r="U82">
        <v>409</v>
      </c>
      <c r="V82">
        <v>500</v>
      </c>
      <c r="W82">
        <v>2.79</v>
      </c>
    </row>
    <row r="83" spans="1:23" x14ac:dyDescent="0.25">
      <c r="A83" t="s">
        <v>33</v>
      </c>
      <c r="B83">
        <v>4</v>
      </c>
      <c r="C83">
        <v>4</v>
      </c>
      <c r="D83">
        <v>1989</v>
      </c>
      <c r="E83">
        <v>48.6</v>
      </c>
      <c r="F83">
        <v>17.399999999999999</v>
      </c>
      <c r="G83">
        <v>16.8</v>
      </c>
      <c r="H83">
        <v>0.6</v>
      </c>
      <c r="I83">
        <v>3</v>
      </c>
      <c r="J83">
        <v>43.6</v>
      </c>
      <c r="K83">
        <v>74.2</v>
      </c>
      <c r="L83">
        <v>374</v>
      </c>
      <c r="M83">
        <v>369</v>
      </c>
      <c r="N83">
        <v>513</v>
      </c>
      <c r="O83">
        <v>144</v>
      </c>
      <c r="P83">
        <v>309</v>
      </c>
      <c r="Q83">
        <v>514</v>
      </c>
      <c r="R83">
        <v>205</v>
      </c>
      <c r="S83">
        <v>166.8</v>
      </c>
      <c r="T83">
        <v>412</v>
      </c>
      <c r="U83">
        <v>409</v>
      </c>
      <c r="V83">
        <v>500</v>
      </c>
      <c r="W83">
        <v>2.79</v>
      </c>
    </row>
    <row r="84" spans="1:23" x14ac:dyDescent="0.25">
      <c r="A84" t="s">
        <v>33</v>
      </c>
      <c r="B84">
        <v>4</v>
      </c>
      <c r="C84">
        <v>5</v>
      </c>
      <c r="D84">
        <v>1990</v>
      </c>
      <c r="E84">
        <v>60</v>
      </c>
      <c r="F84">
        <v>11.4</v>
      </c>
      <c r="G84">
        <v>11.4</v>
      </c>
      <c r="H84">
        <v>0</v>
      </c>
      <c r="I84">
        <v>0</v>
      </c>
      <c r="J84">
        <v>38.9</v>
      </c>
      <c r="K84">
        <v>113.1</v>
      </c>
      <c r="L84">
        <v>364</v>
      </c>
      <c r="M84">
        <v>364</v>
      </c>
      <c r="P84">
        <v>314</v>
      </c>
      <c r="Q84">
        <v>491</v>
      </c>
      <c r="R84">
        <v>177</v>
      </c>
      <c r="S84">
        <v>166.8</v>
      </c>
      <c r="T84">
        <v>412</v>
      </c>
      <c r="U84">
        <v>409</v>
      </c>
      <c r="V84">
        <v>500</v>
      </c>
      <c r="W84">
        <v>2.79</v>
      </c>
    </row>
    <row r="85" spans="1:23" x14ac:dyDescent="0.25">
      <c r="A85" t="s">
        <v>33</v>
      </c>
      <c r="B85">
        <v>4</v>
      </c>
      <c r="C85">
        <v>6</v>
      </c>
      <c r="D85">
        <v>1991</v>
      </c>
      <c r="E85">
        <v>68.400000000000006</v>
      </c>
      <c r="F85">
        <v>8.4</v>
      </c>
      <c r="G85">
        <v>6.9</v>
      </c>
      <c r="H85">
        <v>1.5</v>
      </c>
      <c r="I85">
        <v>17</v>
      </c>
      <c r="J85">
        <v>33.9</v>
      </c>
      <c r="K85">
        <v>147</v>
      </c>
      <c r="L85">
        <v>410</v>
      </c>
      <c r="M85">
        <v>381</v>
      </c>
      <c r="N85">
        <v>545</v>
      </c>
      <c r="O85">
        <v>164</v>
      </c>
      <c r="P85">
        <v>327</v>
      </c>
      <c r="Q85">
        <v>575</v>
      </c>
      <c r="R85">
        <v>248</v>
      </c>
      <c r="S85">
        <v>166.8</v>
      </c>
      <c r="T85">
        <v>412</v>
      </c>
      <c r="U85">
        <v>409</v>
      </c>
      <c r="V85">
        <v>500</v>
      </c>
      <c r="W85">
        <v>2.79</v>
      </c>
    </row>
    <row r="86" spans="1:23" x14ac:dyDescent="0.25">
      <c r="A86" t="s">
        <v>33</v>
      </c>
      <c r="B86">
        <v>4</v>
      </c>
      <c r="C86">
        <v>7</v>
      </c>
      <c r="D86">
        <v>1992</v>
      </c>
      <c r="E86">
        <v>80.400000000000006</v>
      </c>
      <c r="F86">
        <v>12</v>
      </c>
      <c r="G86">
        <v>9.6</v>
      </c>
      <c r="H86">
        <v>2.4</v>
      </c>
      <c r="I86">
        <v>20</v>
      </c>
      <c r="J86">
        <v>56.1</v>
      </c>
      <c r="K86">
        <v>203.1</v>
      </c>
      <c r="L86">
        <v>405</v>
      </c>
      <c r="M86">
        <v>376</v>
      </c>
      <c r="N86">
        <v>525</v>
      </c>
      <c r="O86">
        <v>149</v>
      </c>
      <c r="P86">
        <v>322</v>
      </c>
      <c r="Q86">
        <v>538</v>
      </c>
      <c r="R86">
        <v>216</v>
      </c>
      <c r="S86">
        <v>166.8</v>
      </c>
      <c r="T86">
        <v>412</v>
      </c>
      <c r="U86">
        <v>409</v>
      </c>
      <c r="V86">
        <v>500</v>
      </c>
      <c r="W86">
        <v>2.79</v>
      </c>
    </row>
    <row r="87" spans="1:23" x14ac:dyDescent="0.25">
      <c r="A87" t="s">
        <v>33</v>
      </c>
      <c r="B87">
        <v>4</v>
      </c>
      <c r="C87">
        <v>8</v>
      </c>
      <c r="D87">
        <v>1993</v>
      </c>
      <c r="E87">
        <v>89.4</v>
      </c>
      <c r="F87">
        <v>9</v>
      </c>
      <c r="G87">
        <v>7.8</v>
      </c>
      <c r="H87">
        <v>1.2</v>
      </c>
      <c r="I87">
        <v>13</v>
      </c>
      <c r="J87">
        <v>48</v>
      </c>
      <c r="K87">
        <v>251.1</v>
      </c>
      <c r="L87">
        <v>385</v>
      </c>
      <c r="M87">
        <v>364</v>
      </c>
      <c r="N87">
        <v>522</v>
      </c>
      <c r="O87">
        <v>158</v>
      </c>
      <c r="P87">
        <v>301</v>
      </c>
      <c r="Q87">
        <v>557</v>
      </c>
      <c r="R87">
        <v>256</v>
      </c>
      <c r="S87">
        <v>166.8</v>
      </c>
      <c r="T87">
        <v>412</v>
      </c>
      <c r="U87">
        <v>409</v>
      </c>
      <c r="V87">
        <v>500</v>
      </c>
      <c r="W87">
        <v>2.79</v>
      </c>
    </row>
    <row r="88" spans="1:23" x14ac:dyDescent="0.25">
      <c r="A88" t="s">
        <v>33</v>
      </c>
      <c r="B88">
        <v>4</v>
      </c>
      <c r="C88">
        <v>9</v>
      </c>
      <c r="D88">
        <v>1994</v>
      </c>
      <c r="E88">
        <v>96.9</v>
      </c>
      <c r="F88">
        <v>7.5</v>
      </c>
      <c r="G88">
        <v>6.6</v>
      </c>
      <c r="H88">
        <v>0.9</v>
      </c>
      <c r="I88">
        <v>12</v>
      </c>
      <c r="J88">
        <v>43.9</v>
      </c>
      <c r="K88">
        <v>295</v>
      </c>
      <c r="L88">
        <v>393</v>
      </c>
      <c r="M88">
        <v>376</v>
      </c>
      <c r="N88">
        <v>514</v>
      </c>
      <c r="O88">
        <v>138</v>
      </c>
      <c r="P88">
        <v>309</v>
      </c>
      <c r="Q88">
        <v>524</v>
      </c>
      <c r="R88">
        <v>215</v>
      </c>
      <c r="S88">
        <v>166.8</v>
      </c>
      <c r="T88">
        <v>412</v>
      </c>
      <c r="U88">
        <v>409</v>
      </c>
      <c r="V88">
        <v>500</v>
      </c>
      <c r="W88">
        <v>2.79</v>
      </c>
    </row>
    <row r="89" spans="1:23" x14ac:dyDescent="0.25">
      <c r="A89" t="s">
        <v>33</v>
      </c>
      <c r="B89">
        <v>4</v>
      </c>
      <c r="C89">
        <v>10</v>
      </c>
      <c r="D89">
        <v>1995</v>
      </c>
      <c r="E89">
        <v>103.5</v>
      </c>
      <c r="F89">
        <v>6.6</v>
      </c>
      <c r="G89">
        <v>6.6</v>
      </c>
      <c r="H89">
        <v>0</v>
      </c>
      <c r="I89">
        <v>0</v>
      </c>
      <c r="J89">
        <v>41.6</v>
      </c>
      <c r="K89">
        <v>336.5</v>
      </c>
      <c r="L89">
        <v>391</v>
      </c>
      <c r="M89">
        <v>391</v>
      </c>
      <c r="P89">
        <v>326</v>
      </c>
      <c r="Q89">
        <v>479</v>
      </c>
      <c r="R89">
        <v>153</v>
      </c>
      <c r="S89">
        <v>166.8</v>
      </c>
      <c r="T89">
        <v>412</v>
      </c>
      <c r="U89">
        <v>409</v>
      </c>
      <c r="V89">
        <v>500</v>
      </c>
      <c r="W89">
        <v>2.79</v>
      </c>
    </row>
    <row r="90" spans="1:23" x14ac:dyDescent="0.25">
      <c r="A90" t="s">
        <v>33</v>
      </c>
      <c r="B90">
        <v>4</v>
      </c>
      <c r="C90">
        <v>11</v>
      </c>
      <c r="D90">
        <v>1996</v>
      </c>
      <c r="E90">
        <v>109.5</v>
      </c>
      <c r="F90">
        <v>6</v>
      </c>
      <c r="G90">
        <v>5.0999999999999996</v>
      </c>
      <c r="H90">
        <v>0.9</v>
      </c>
      <c r="I90">
        <v>14</v>
      </c>
      <c r="J90">
        <v>40.1</v>
      </c>
      <c r="K90">
        <v>376.7</v>
      </c>
      <c r="L90">
        <v>389</v>
      </c>
      <c r="M90">
        <v>363</v>
      </c>
      <c r="N90">
        <v>537</v>
      </c>
      <c r="O90">
        <v>174</v>
      </c>
      <c r="P90">
        <v>319</v>
      </c>
      <c r="Q90">
        <v>562</v>
      </c>
      <c r="R90">
        <v>243</v>
      </c>
      <c r="S90">
        <v>166.8</v>
      </c>
      <c r="T90">
        <v>412</v>
      </c>
      <c r="U90">
        <v>409</v>
      </c>
      <c r="V90">
        <v>500</v>
      </c>
      <c r="W90">
        <v>2.79</v>
      </c>
    </row>
    <row r="91" spans="1:23" x14ac:dyDescent="0.25">
      <c r="A91" t="s">
        <v>33</v>
      </c>
      <c r="B91">
        <v>4</v>
      </c>
      <c r="C91">
        <v>12</v>
      </c>
      <c r="D91">
        <v>1997</v>
      </c>
      <c r="E91">
        <v>117.3</v>
      </c>
      <c r="F91">
        <v>7.8</v>
      </c>
      <c r="G91">
        <v>6.3</v>
      </c>
      <c r="H91">
        <v>1.5</v>
      </c>
      <c r="I91">
        <v>19</v>
      </c>
      <c r="J91">
        <v>55.6</v>
      </c>
      <c r="K91">
        <v>432.3</v>
      </c>
      <c r="L91">
        <v>416</v>
      </c>
      <c r="M91">
        <v>388</v>
      </c>
      <c r="N91">
        <v>532</v>
      </c>
      <c r="O91">
        <v>144</v>
      </c>
      <c r="P91">
        <v>342</v>
      </c>
      <c r="Q91">
        <v>562</v>
      </c>
      <c r="R91">
        <v>220</v>
      </c>
      <c r="S91">
        <v>166.8</v>
      </c>
      <c r="T91">
        <v>412</v>
      </c>
      <c r="U91">
        <v>409</v>
      </c>
      <c r="V91">
        <v>500</v>
      </c>
      <c r="W91">
        <v>2.79</v>
      </c>
    </row>
    <row r="92" spans="1:23" x14ac:dyDescent="0.25">
      <c r="A92" t="s">
        <v>33</v>
      </c>
      <c r="B92">
        <v>4</v>
      </c>
      <c r="C92">
        <v>13</v>
      </c>
      <c r="D92">
        <v>1998</v>
      </c>
      <c r="E92">
        <v>123.3</v>
      </c>
      <c r="F92">
        <v>6</v>
      </c>
      <c r="G92">
        <v>5.0999999999999996</v>
      </c>
      <c r="H92">
        <v>0.9</v>
      </c>
      <c r="I92">
        <v>15</v>
      </c>
      <c r="J92">
        <v>45.4</v>
      </c>
      <c r="K92">
        <v>477.6</v>
      </c>
      <c r="L92">
        <v>433</v>
      </c>
      <c r="M92">
        <v>413</v>
      </c>
      <c r="N92">
        <v>547</v>
      </c>
      <c r="O92">
        <v>134</v>
      </c>
      <c r="P92">
        <v>359</v>
      </c>
      <c r="Q92">
        <v>563</v>
      </c>
      <c r="R92">
        <v>204</v>
      </c>
      <c r="S92">
        <v>166.8</v>
      </c>
      <c r="T92">
        <v>412</v>
      </c>
      <c r="U92">
        <v>409</v>
      </c>
      <c r="V92">
        <v>500</v>
      </c>
      <c r="W92">
        <v>2.79</v>
      </c>
    </row>
    <row r="93" spans="1:23" x14ac:dyDescent="0.25">
      <c r="A93" t="s">
        <v>33</v>
      </c>
      <c r="B93">
        <v>4</v>
      </c>
      <c r="C93">
        <v>14</v>
      </c>
      <c r="D93">
        <v>1999</v>
      </c>
      <c r="E93">
        <v>130.80000000000001</v>
      </c>
      <c r="F93">
        <v>7.5</v>
      </c>
      <c r="G93">
        <v>7.5</v>
      </c>
      <c r="H93">
        <v>0</v>
      </c>
      <c r="I93">
        <v>0</v>
      </c>
      <c r="J93">
        <v>59.9</v>
      </c>
      <c r="K93">
        <v>537.5</v>
      </c>
      <c r="L93">
        <v>369</v>
      </c>
      <c r="M93">
        <v>369</v>
      </c>
      <c r="P93">
        <v>324</v>
      </c>
      <c r="Q93">
        <v>489</v>
      </c>
      <c r="R93">
        <v>165</v>
      </c>
      <c r="S93">
        <v>166.8</v>
      </c>
      <c r="T93">
        <v>412</v>
      </c>
      <c r="U93">
        <v>409</v>
      </c>
      <c r="V93">
        <v>500</v>
      </c>
      <c r="W93">
        <v>2.79</v>
      </c>
    </row>
    <row r="94" spans="1:23" x14ac:dyDescent="0.25">
      <c r="A94" t="s">
        <v>33</v>
      </c>
      <c r="B94">
        <v>4</v>
      </c>
      <c r="C94">
        <v>15</v>
      </c>
      <c r="D94">
        <v>2000</v>
      </c>
      <c r="E94">
        <v>134.69999999999999</v>
      </c>
      <c r="F94">
        <v>3.9</v>
      </c>
      <c r="G94">
        <v>3.6</v>
      </c>
      <c r="H94">
        <v>0.3</v>
      </c>
      <c r="I94">
        <v>7</v>
      </c>
      <c r="J94">
        <v>32.5</v>
      </c>
      <c r="K94">
        <v>570</v>
      </c>
      <c r="L94">
        <v>370</v>
      </c>
      <c r="M94">
        <v>357</v>
      </c>
      <c r="N94">
        <v>525</v>
      </c>
      <c r="O94">
        <v>168</v>
      </c>
      <c r="P94">
        <v>313</v>
      </c>
      <c r="Q94">
        <v>525</v>
      </c>
      <c r="R94">
        <v>212</v>
      </c>
      <c r="S94">
        <v>166.8</v>
      </c>
      <c r="T94">
        <v>412</v>
      </c>
      <c r="U94">
        <v>409</v>
      </c>
      <c r="V94">
        <v>500</v>
      </c>
      <c r="W94">
        <v>2.79</v>
      </c>
    </row>
    <row r="95" spans="1:23" x14ac:dyDescent="0.25">
      <c r="A95" t="s">
        <v>33</v>
      </c>
      <c r="B95">
        <v>4</v>
      </c>
      <c r="C95">
        <v>16</v>
      </c>
      <c r="D95">
        <v>2001</v>
      </c>
      <c r="E95">
        <v>139.5</v>
      </c>
      <c r="F95">
        <v>4.8</v>
      </c>
      <c r="G95">
        <v>4.2</v>
      </c>
      <c r="H95">
        <v>0.6</v>
      </c>
      <c r="I95">
        <v>12</v>
      </c>
      <c r="J95">
        <v>41.3</v>
      </c>
      <c r="K95">
        <v>611.4</v>
      </c>
      <c r="L95">
        <v>397</v>
      </c>
      <c r="M95">
        <v>371</v>
      </c>
      <c r="N95">
        <v>573</v>
      </c>
      <c r="O95">
        <v>202</v>
      </c>
      <c r="P95">
        <v>345</v>
      </c>
      <c r="Q95">
        <v>611</v>
      </c>
      <c r="R95">
        <v>266</v>
      </c>
      <c r="S95">
        <v>166.8</v>
      </c>
      <c r="T95">
        <v>412</v>
      </c>
      <c r="U95">
        <v>409</v>
      </c>
      <c r="V95">
        <v>500</v>
      </c>
      <c r="W95">
        <v>2.79</v>
      </c>
    </row>
    <row r="96" spans="1:23" x14ac:dyDescent="0.25">
      <c r="A96" t="s">
        <v>33</v>
      </c>
      <c r="B96">
        <v>4</v>
      </c>
      <c r="C96">
        <v>17</v>
      </c>
      <c r="D96">
        <v>2002</v>
      </c>
      <c r="E96">
        <v>144</v>
      </c>
      <c r="F96">
        <v>4.5</v>
      </c>
      <c r="G96">
        <v>3.6</v>
      </c>
      <c r="H96">
        <v>0.9</v>
      </c>
      <c r="I96">
        <v>20</v>
      </c>
      <c r="J96">
        <v>40.1</v>
      </c>
      <c r="K96">
        <v>651.4</v>
      </c>
      <c r="L96">
        <v>416</v>
      </c>
      <c r="M96">
        <v>381</v>
      </c>
      <c r="N96">
        <v>555</v>
      </c>
      <c r="O96">
        <v>174</v>
      </c>
      <c r="P96">
        <v>311</v>
      </c>
      <c r="Q96">
        <v>590</v>
      </c>
      <c r="R96">
        <v>279</v>
      </c>
      <c r="S96">
        <v>166.8</v>
      </c>
      <c r="T96">
        <v>412</v>
      </c>
      <c r="U96">
        <v>409</v>
      </c>
      <c r="V96">
        <v>500</v>
      </c>
      <c r="W96">
        <v>2.79</v>
      </c>
    </row>
    <row r="97" spans="1:23" x14ac:dyDescent="0.25">
      <c r="A97" t="s">
        <v>33</v>
      </c>
      <c r="B97">
        <v>4</v>
      </c>
      <c r="C97">
        <v>18</v>
      </c>
      <c r="D97">
        <v>2003</v>
      </c>
      <c r="E97">
        <v>148.80000000000001</v>
      </c>
      <c r="F97">
        <v>4.8</v>
      </c>
      <c r="G97">
        <v>4.8</v>
      </c>
      <c r="H97">
        <v>0</v>
      </c>
      <c r="I97">
        <v>0</v>
      </c>
      <c r="J97">
        <v>44.2</v>
      </c>
      <c r="K97">
        <v>695.6</v>
      </c>
      <c r="L97">
        <v>412</v>
      </c>
      <c r="M97">
        <v>412</v>
      </c>
      <c r="P97">
        <v>338</v>
      </c>
      <c r="Q97">
        <v>498</v>
      </c>
      <c r="R97">
        <v>160</v>
      </c>
      <c r="S97">
        <v>166.8</v>
      </c>
      <c r="T97">
        <v>412</v>
      </c>
      <c r="U97">
        <v>409</v>
      </c>
      <c r="V97">
        <v>500</v>
      </c>
      <c r="W97">
        <v>2.79</v>
      </c>
    </row>
    <row r="98" spans="1:23" x14ac:dyDescent="0.25">
      <c r="A98" t="s">
        <v>33</v>
      </c>
      <c r="B98">
        <v>4</v>
      </c>
      <c r="C98">
        <v>19</v>
      </c>
      <c r="D98">
        <v>2004</v>
      </c>
      <c r="E98">
        <v>152.1</v>
      </c>
      <c r="F98">
        <v>3.3</v>
      </c>
      <c r="G98">
        <v>3</v>
      </c>
      <c r="H98">
        <v>0.3</v>
      </c>
      <c r="I98">
        <v>9</v>
      </c>
      <c r="J98">
        <v>31.2</v>
      </c>
      <c r="K98">
        <v>726.8</v>
      </c>
      <c r="L98">
        <v>420</v>
      </c>
      <c r="M98">
        <v>402</v>
      </c>
      <c r="N98">
        <v>601</v>
      </c>
      <c r="O98">
        <v>199</v>
      </c>
      <c r="P98">
        <v>359</v>
      </c>
      <c r="Q98">
        <v>601</v>
      </c>
      <c r="R98">
        <v>242</v>
      </c>
      <c r="S98">
        <v>166.8</v>
      </c>
      <c r="T98">
        <v>412</v>
      </c>
      <c r="U98">
        <v>409</v>
      </c>
      <c r="V98">
        <v>500</v>
      </c>
      <c r="W98">
        <v>2.79</v>
      </c>
    </row>
    <row r="99" spans="1:23" x14ac:dyDescent="0.25">
      <c r="A99" t="s">
        <v>33</v>
      </c>
      <c r="B99">
        <v>4</v>
      </c>
      <c r="C99">
        <v>20</v>
      </c>
      <c r="D99">
        <v>2005</v>
      </c>
      <c r="E99">
        <v>155.4</v>
      </c>
      <c r="F99">
        <v>3.3</v>
      </c>
      <c r="G99">
        <v>2.4</v>
      </c>
      <c r="H99">
        <v>0.9</v>
      </c>
      <c r="I99">
        <v>27</v>
      </c>
      <c r="J99">
        <v>31.9</v>
      </c>
      <c r="K99">
        <v>758.7</v>
      </c>
      <c r="L99">
        <v>443</v>
      </c>
      <c r="M99">
        <v>417</v>
      </c>
      <c r="N99">
        <v>514</v>
      </c>
      <c r="O99">
        <v>97</v>
      </c>
      <c r="P99">
        <v>379</v>
      </c>
      <c r="Q99">
        <v>533</v>
      </c>
      <c r="R99">
        <v>154</v>
      </c>
      <c r="S99">
        <v>166.8</v>
      </c>
      <c r="T99">
        <v>412</v>
      </c>
      <c r="U99">
        <v>409</v>
      </c>
      <c r="V99">
        <v>500</v>
      </c>
      <c r="W99">
        <v>2.79</v>
      </c>
    </row>
    <row r="100" spans="1:23" x14ac:dyDescent="0.25">
      <c r="A100" t="s">
        <v>33</v>
      </c>
      <c r="B100">
        <v>4</v>
      </c>
      <c r="C100">
        <v>21</v>
      </c>
      <c r="D100">
        <v>2006</v>
      </c>
      <c r="E100">
        <v>157.5</v>
      </c>
      <c r="F100">
        <v>2.1</v>
      </c>
      <c r="G100">
        <v>1.5</v>
      </c>
      <c r="H100">
        <v>0.6</v>
      </c>
      <c r="I100">
        <v>28</v>
      </c>
      <c r="J100">
        <v>20.6</v>
      </c>
      <c r="K100">
        <v>779.3</v>
      </c>
      <c r="L100">
        <v>461</v>
      </c>
      <c r="M100">
        <v>427</v>
      </c>
      <c r="N100">
        <v>544</v>
      </c>
      <c r="O100">
        <v>117</v>
      </c>
      <c r="P100">
        <v>388</v>
      </c>
      <c r="Q100">
        <v>582</v>
      </c>
      <c r="R100">
        <v>194</v>
      </c>
      <c r="S100">
        <v>166.8</v>
      </c>
      <c r="T100">
        <v>412</v>
      </c>
      <c r="U100">
        <v>409</v>
      </c>
      <c r="V100">
        <v>500</v>
      </c>
      <c r="W100">
        <v>2.79</v>
      </c>
    </row>
    <row r="101" spans="1:23" x14ac:dyDescent="0.25">
      <c r="A101" t="s">
        <v>33</v>
      </c>
      <c r="B101">
        <v>4</v>
      </c>
      <c r="C101">
        <v>22</v>
      </c>
      <c r="D101">
        <v>2007</v>
      </c>
      <c r="E101">
        <v>160.19999999999999</v>
      </c>
      <c r="F101">
        <v>2.7</v>
      </c>
      <c r="G101">
        <v>1.2</v>
      </c>
      <c r="H101">
        <v>1.5</v>
      </c>
      <c r="I101">
        <v>55</v>
      </c>
      <c r="J101">
        <v>26.9</v>
      </c>
      <c r="K101">
        <v>806.3</v>
      </c>
      <c r="L101">
        <v>496</v>
      </c>
      <c r="M101">
        <v>425</v>
      </c>
      <c r="N101">
        <v>553</v>
      </c>
      <c r="O101">
        <v>128</v>
      </c>
      <c r="P101">
        <v>397</v>
      </c>
      <c r="Q101">
        <v>621</v>
      </c>
      <c r="R101">
        <v>224</v>
      </c>
      <c r="S101">
        <v>166.8</v>
      </c>
      <c r="T101">
        <v>412</v>
      </c>
      <c r="U101">
        <v>409</v>
      </c>
      <c r="V101">
        <v>500</v>
      </c>
      <c r="W101">
        <v>2.79</v>
      </c>
    </row>
    <row r="102" spans="1:23" x14ac:dyDescent="0.25">
      <c r="A102" t="s">
        <v>33</v>
      </c>
      <c r="B102">
        <v>4</v>
      </c>
      <c r="C102">
        <v>23</v>
      </c>
      <c r="D102">
        <v>2008</v>
      </c>
      <c r="E102">
        <v>163.80000000000001</v>
      </c>
      <c r="F102">
        <v>3.6</v>
      </c>
      <c r="G102">
        <v>2.4</v>
      </c>
      <c r="H102">
        <v>1.2</v>
      </c>
      <c r="I102">
        <v>33</v>
      </c>
      <c r="J102">
        <v>36.6</v>
      </c>
      <c r="K102">
        <v>842.9</v>
      </c>
      <c r="L102">
        <v>476</v>
      </c>
      <c r="M102">
        <v>431</v>
      </c>
      <c r="N102">
        <v>567</v>
      </c>
      <c r="O102">
        <v>136</v>
      </c>
      <c r="P102">
        <v>380</v>
      </c>
      <c r="Q102">
        <v>605</v>
      </c>
      <c r="R102">
        <v>225</v>
      </c>
      <c r="S102">
        <v>166.8</v>
      </c>
      <c r="T102">
        <v>412</v>
      </c>
      <c r="U102">
        <v>409</v>
      </c>
      <c r="V102">
        <v>500</v>
      </c>
      <c r="W102">
        <v>2.79</v>
      </c>
    </row>
    <row r="103" spans="1:23" x14ac:dyDescent="0.25">
      <c r="A103" t="s">
        <v>33</v>
      </c>
      <c r="B103">
        <v>4</v>
      </c>
      <c r="C103">
        <v>24</v>
      </c>
      <c r="D103">
        <v>2009</v>
      </c>
      <c r="E103">
        <v>168.9</v>
      </c>
      <c r="F103">
        <v>5.0999999999999996</v>
      </c>
      <c r="G103">
        <v>3.9</v>
      </c>
      <c r="H103">
        <v>1.2</v>
      </c>
      <c r="I103">
        <v>23</v>
      </c>
      <c r="J103">
        <v>53.3</v>
      </c>
      <c r="K103">
        <v>896.2</v>
      </c>
      <c r="L103">
        <v>437</v>
      </c>
      <c r="M103">
        <v>402</v>
      </c>
      <c r="N103">
        <v>551</v>
      </c>
      <c r="O103">
        <v>149</v>
      </c>
      <c r="P103">
        <v>370</v>
      </c>
      <c r="Q103">
        <v>565</v>
      </c>
      <c r="R103">
        <v>195</v>
      </c>
      <c r="S103">
        <v>166.8</v>
      </c>
      <c r="T103">
        <v>412</v>
      </c>
      <c r="U103">
        <v>409</v>
      </c>
      <c r="V103">
        <v>500</v>
      </c>
      <c r="W103">
        <v>2.79</v>
      </c>
    </row>
    <row r="104" spans="1:23" x14ac:dyDescent="0.25">
      <c r="A104" t="s">
        <v>33</v>
      </c>
      <c r="B104">
        <v>4</v>
      </c>
      <c r="C104">
        <v>25</v>
      </c>
      <c r="D104">
        <v>2010</v>
      </c>
      <c r="E104">
        <v>173.1</v>
      </c>
      <c r="F104">
        <v>4.2</v>
      </c>
      <c r="G104">
        <v>3</v>
      </c>
      <c r="H104">
        <v>1.2</v>
      </c>
      <c r="I104">
        <v>28</v>
      </c>
      <c r="J104">
        <v>45.1</v>
      </c>
      <c r="K104">
        <v>941.3</v>
      </c>
      <c r="L104">
        <v>443</v>
      </c>
      <c r="M104">
        <v>402</v>
      </c>
      <c r="N104">
        <v>545</v>
      </c>
      <c r="O104">
        <v>143</v>
      </c>
      <c r="P104">
        <v>359</v>
      </c>
      <c r="Q104">
        <v>605</v>
      </c>
      <c r="R104">
        <v>246</v>
      </c>
      <c r="S104">
        <v>166.8</v>
      </c>
      <c r="T104">
        <v>412</v>
      </c>
      <c r="U104">
        <v>409</v>
      </c>
      <c r="V104">
        <v>500</v>
      </c>
      <c r="W104">
        <v>2.79</v>
      </c>
    </row>
    <row r="105" spans="1:23" x14ac:dyDescent="0.25">
      <c r="A105" t="s">
        <v>33</v>
      </c>
      <c r="B105">
        <v>4</v>
      </c>
      <c r="C105">
        <v>26</v>
      </c>
      <c r="D105">
        <v>2011</v>
      </c>
      <c r="E105">
        <v>177</v>
      </c>
      <c r="F105">
        <v>3.9</v>
      </c>
      <c r="G105">
        <v>3</v>
      </c>
      <c r="H105">
        <v>0.9</v>
      </c>
      <c r="I105">
        <v>23</v>
      </c>
      <c r="J105">
        <v>42.9</v>
      </c>
      <c r="K105">
        <v>984.2</v>
      </c>
      <c r="L105">
        <v>424</v>
      </c>
      <c r="M105">
        <v>397</v>
      </c>
      <c r="N105">
        <v>515</v>
      </c>
      <c r="O105">
        <v>118</v>
      </c>
      <c r="P105">
        <v>372</v>
      </c>
      <c r="Q105">
        <v>535</v>
      </c>
      <c r="R105">
        <v>163</v>
      </c>
      <c r="S105">
        <v>166.8</v>
      </c>
      <c r="T105">
        <v>412</v>
      </c>
      <c r="U105">
        <v>409</v>
      </c>
      <c r="V105">
        <v>500</v>
      </c>
      <c r="W105">
        <v>2.79</v>
      </c>
    </row>
    <row r="106" spans="1:23" x14ac:dyDescent="0.25">
      <c r="A106" t="s">
        <v>33</v>
      </c>
      <c r="B106">
        <v>4</v>
      </c>
      <c r="C106">
        <v>27</v>
      </c>
      <c r="D106">
        <v>2012</v>
      </c>
      <c r="E106">
        <v>178.8</v>
      </c>
      <c r="F106">
        <v>1.8</v>
      </c>
      <c r="G106">
        <v>1.8</v>
      </c>
      <c r="H106">
        <v>0</v>
      </c>
      <c r="I106">
        <v>0</v>
      </c>
      <c r="J106">
        <v>20.100000000000001</v>
      </c>
      <c r="K106">
        <v>1004.3</v>
      </c>
      <c r="L106">
        <v>414</v>
      </c>
      <c r="M106">
        <v>414</v>
      </c>
      <c r="P106">
        <v>372</v>
      </c>
      <c r="Q106">
        <v>491</v>
      </c>
      <c r="R106">
        <v>119</v>
      </c>
      <c r="S106">
        <v>166.8</v>
      </c>
      <c r="T106">
        <v>412</v>
      </c>
      <c r="U106">
        <v>409</v>
      </c>
      <c r="V106">
        <v>500</v>
      </c>
      <c r="W106">
        <v>2.79</v>
      </c>
    </row>
    <row r="107" spans="1:23" x14ac:dyDescent="0.25">
      <c r="A107" t="s">
        <v>33</v>
      </c>
      <c r="B107">
        <v>5</v>
      </c>
      <c r="C107">
        <v>3</v>
      </c>
      <c r="D107">
        <v>1988</v>
      </c>
      <c r="E107">
        <v>67</v>
      </c>
      <c r="F107">
        <v>67</v>
      </c>
      <c r="G107">
        <v>54</v>
      </c>
      <c r="H107">
        <v>0</v>
      </c>
      <c r="I107">
        <v>0</v>
      </c>
      <c r="J107">
        <v>141</v>
      </c>
      <c r="K107">
        <v>141</v>
      </c>
      <c r="L107">
        <v>368</v>
      </c>
      <c r="M107">
        <v>368</v>
      </c>
      <c r="P107">
        <v>261</v>
      </c>
      <c r="Q107">
        <v>490</v>
      </c>
      <c r="R107">
        <v>229</v>
      </c>
      <c r="S107">
        <v>224.7</v>
      </c>
      <c r="T107">
        <v>390</v>
      </c>
      <c r="U107">
        <v>376</v>
      </c>
      <c r="V107">
        <v>500</v>
      </c>
      <c r="W107">
        <v>2.79</v>
      </c>
    </row>
    <row r="108" spans="1:23" x14ac:dyDescent="0.25">
      <c r="A108" t="s">
        <v>33</v>
      </c>
      <c r="B108">
        <v>5</v>
      </c>
      <c r="C108">
        <v>4</v>
      </c>
      <c r="D108">
        <v>1989</v>
      </c>
      <c r="E108">
        <v>83.2</v>
      </c>
      <c r="F108">
        <v>16.2</v>
      </c>
      <c r="G108">
        <v>16.2</v>
      </c>
      <c r="H108">
        <v>0</v>
      </c>
      <c r="I108">
        <v>0</v>
      </c>
      <c r="J108">
        <v>76.400000000000006</v>
      </c>
      <c r="K108">
        <v>217.5</v>
      </c>
      <c r="L108">
        <v>318</v>
      </c>
      <c r="M108">
        <v>318</v>
      </c>
      <c r="P108">
        <v>260</v>
      </c>
      <c r="Q108">
        <v>476</v>
      </c>
      <c r="R108">
        <v>216</v>
      </c>
      <c r="S108">
        <v>224.7</v>
      </c>
      <c r="T108">
        <v>390</v>
      </c>
      <c r="U108">
        <v>376</v>
      </c>
      <c r="V108">
        <v>500</v>
      </c>
      <c r="W108">
        <v>2.79</v>
      </c>
    </row>
    <row r="109" spans="1:23" x14ac:dyDescent="0.25">
      <c r="A109" t="s">
        <v>33</v>
      </c>
      <c r="B109">
        <v>5</v>
      </c>
      <c r="C109">
        <v>5</v>
      </c>
      <c r="D109">
        <v>1990</v>
      </c>
      <c r="E109">
        <v>97.9</v>
      </c>
      <c r="F109">
        <v>14.7</v>
      </c>
      <c r="G109">
        <v>14.4</v>
      </c>
      <c r="H109">
        <v>0.3</v>
      </c>
      <c r="I109">
        <v>2</v>
      </c>
      <c r="J109">
        <v>83.6</v>
      </c>
      <c r="K109">
        <v>301.10000000000002</v>
      </c>
      <c r="L109">
        <v>326</v>
      </c>
      <c r="M109">
        <v>322</v>
      </c>
      <c r="N109">
        <v>512</v>
      </c>
      <c r="O109">
        <v>190</v>
      </c>
      <c r="P109">
        <v>265</v>
      </c>
      <c r="Q109">
        <v>512</v>
      </c>
      <c r="R109">
        <v>247</v>
      </c>
      <c r="S109">
        <v>224.7</v>
      </c>
      <c r="T109">
        <v>390</v>
      </c>
      <c r="U109">
        <v>376</v>
      </c>
      <c r="V109">
        <v>500</v>
      </c>
      <c r="W109">
        <v>2.79</v>
      </c>
    </row>
    <row r="110" spans="1:23" x14ac:dyDescent="0.25">
      <c r="A110" t="s">
        <v>33</v>
      </c>
      <c r="B110">
        <v>5</v>
      </c>
      <c r="C110">
        <v>6</v>
      </c>
      <c r="D110">
        <v>1991</v>
      </c>
      <c r="E110">
        <v>109.9</v>
      </c>
      <c r="F110">
        <v>12</v>
      </c>
      <c r="G110">
        <v>11.1</v>
      </c>
      <c r="H110">
        <v>0.9</v>
      </c>
      <c r="I110">
        <v>7</v>
      </c>
      <c r="J110">
        <v>78.3</v>
      </c>
      <c r="K110">
        <v>379.4</v>
      </c>
      <c r="L110">
        <v>347</v>
      </c>
      <c r="M110">
        <v>333</v>
      </c>
      <c r="N110">
        <v>514</v>
      </c>
      <c r="O110">
        <v>181</v>
      </c>
      <c r="P110">
        <v>280</v>
      </c>
      <c r="Q110">
        <v>517</v>
      </c>
      <c r="R110">
        <v>237</v>
      </c>
      <c r="S110">
        <v>224.7</v>
      </c>
      <c r="T110">
        <v>390</v>
      </c>
      <c r="U110">
        <v>376</v>
      </c>
      <c r="V110">
        <v>500</v>
      </c>
      <c r="W110">
        <v>2.79</v>
      </c>
    </row>
    <row r="111" spans="1:23" x14ac:dyDescent="0.25">
      <c r="A111" t="s">
        <v>33</v>
      </c>
      <c r="B111">
        <v>5</v>
      </c>
      <c r="C111">
        <v>7</v>
      </c>
      <c r="D111">
        <v>1992</v>
      </c>
      <c r="E111">
        <v>124.9</v>
      </c>
      <c r="F111">
        <v>15</v>
      </c>
      <c r="G111">
        <v>15</v>
      </c>
      <c r="H111">
        <v>0</v>
      </c>
      <c r="I111">
        <v>0</v>
      </c>
      <c r="J111">
        <v>110.6</v>
      </c>
      <c r="K111">
        <v>490.1</v>
      </c>
      <c r="L111">
        <v>338</v>
      </c>
      <c r="M111">
        <v>338</v>
      </c>
      <c r="P111">
        <v>287</v>
      </c>
      <c r="Q111">
        <v>469</v>
      </c>
      <c r="R111">
        <v>182</v>
      </c>
      <c r="S111">
        <v>224.7</v>
      </c>
      <c r="T111">
        <v>390</v>
      </c>
      <c r="U111">
        <v>376</v>
      </c>
      <c r="V111">
        <v>500</v>
      </c>
      <c r="W111">
        <v>2.79</v>
      </c>
    </row>
    <row r="112" spans="1:23" x14ac:dyDescent="0.25">
      <c r="A112" t="s">
        <v>33</v>
      </c>
      <c r="B112">
        <v>5</v>
      </c>
      <c r="C112">
        <v>8</v>
      </c>
      <c r="D112">
        <v>1993</v>
      </c>
      <c r="E112">
        <v>136</v>
      </c>
      <c r="F112">
        <v>11.1</v>
      </c>
      <c r="G112">
        <v>11.1</v>
      </c>
      <c r="H112">
        <v>0</v>
      </c>
      <c r="I112">
        <v>0</v>
      </c>
      <c r="J112">
        <v>91</v>
      </c>
      <c r="K112">
        <v>581.1</v>
      </c>
      <c r="L112">
        <v>340</v>
      </c>
      <c r="M112">
        <v>340</v>
      </c>
      <c r="P112">
        <v>260</v>
      </c>
      <c r="Q112">
        <v>496</v>
      </c>
      <c r="R112">
        <v>236</v>
      </c>
      <c r="S112">
        <v>224.7</v>
      </c>
      <c r="T112">
        <v>390</v>
      </c>
      <c r="U112">
        <v>376</v>
      </c>
      <c r="V112">
        <v>500</v>
      </c>
      <c r="W112">
        <v>2.79</v>
      </c>
    </row>
    <row r="113" spans="1:23" x14ac:dyDescent="0.25">
      <c r="A113" t="s">
        <v>33</v>
      </c>
      <c r="B113">
        <v>5</v>
      </c>
      <c r="C113">
        <v>9</v>
      </c>
      <c r="D113">
        <v>1994</v>
      </c>
      <c r="E113">
        <v>146.5</v>
      </c>
      <c r="F113">
        <v>10.5</v>
      </c>
      <c r="G113">
        <v>10.199999999999999</v>
      </c>
      <c r="H113">
        <v>0.3</v>
      </c>
      <c r="I113">
        <v>2</v>
      </c>
      <c r="J113">
        <v>93.2</v>
      </c>
      <c r="K113">
        <v>674.3</v>
      </c>
      <c r="L113">
        <v>355</v>
      </c>
      <c r="M113">
        <v>349</v>
      </c>
      <c r="N113">
        <v>546</v>
      </c>
      <c r="O113">
        <v>197</v>
      </c>
      <c r="P113">
        <v>280</v>
      </c>
      <c r="Q113">
        <v>546</v>
      </c>
      <c r="R113">
        <v>266</v>
      </c>
      <c r="S113">
        <v>224.7</v>
      </c>
      <c r="T113">
        <v>390</v>
      </c>
      <c r="U113">
        <v>376</v>
      </c>
      <c r="V113">
        <v>500</v>
      </c>
      <c r="W113">
        <v>2.79</v>
      </c>
    </row>
    <row r="114" spans="1:23" x14ac:dyDescent="0.25">
      <c r="A114" t="s">
        <v>33</v>
      </c>
      <c r="B114">
        <v>5</v>
      </c>
      <c r="C114">
        <v>10</v>
      </c>
      <c r="D114">
        <v>1995</v>
      </c>
      <c r="E114">
        <v>155.5</v>
      </c>
      <c r="F114">
        <v>9</v>
      </c>
      <c r="G114">
        <v>8.4</v>
      </c>
      <c r="H114">
        <v>0.6</v>
      </c>
      <c r="I114">
        <v>6</v>
      </c>
      <c r="J114">
        <v>85.4</v>
      </c>
      <c r="K114">
        <v>759.6</v>
      </c>
      <c r="L114">
        <v>372</v>
      </c>
      <c r="M114">
        <v>361</v>
      </c>
      <c r="N114">
        <v>525</v>
      </c>
      <c r="O114">
        <v>164</v>
      </c>
      <c r="P114">
        <v>276</v>
      </c>
      <c r="Q114">
        <v>538</v>
      </c>
      <c r="R114">
        <v>262</v>
      </c>
      <c r="S114">
        <v>224.7</v>
      </c>
      <c r="T114">
        <v>390</v>
      </c>
      <c r="U114">
        <v>376</v>
      </c>
      <c r="V114">
        <v>500</v>
      </c>
      <c r="W114">
        <v>2.79</v>
      </c>
    </row>
    <row r="115" spans="1:23" x14ac:dyDescent="0.25">
      <c r="A115" t="s">
        <v>33</v>
      </c>
      <c r="B115">
        <v>5</v>
      </c>
      <c r="C115">
        <v>11</v>
      </c>
      <c r="D115">
        <v>1996</v>
      </c>
      <c r="E115">
        <v>166.3</v>
      </c>
      <c r="F115">
        <v>10.8</v>
      </c>
      <c r="G115">
        <v>10.199999999999999</v>
      </c>
      <c r="H115">
        <v>0.6</v>
      </c>
      <c r="I115">
        <v>5</v>
      </c>
      <c r="J115">
        <v>109.2</v>
      </c>
      <c r="K115">
        <v>868.8</v>
      </c>
      <c r="L115">
        <v>347</v>
      </c>
      <c r="M115">
        <v>337</v>
      </c>
      <c r="N115">
        <v>517</v>
      </c>
      <c r="O115">
        <v>180</v>
      </c>
      <c r="P115">
        <v>266</v>
      </c>
      <c r="Q115">
        <v>523</v>
      </c>
      <c r="R115">
        <v>257</v>
      </c>
      <c r="S115">
        <v>224.7</v>
      </c>
      <c r="T115">
        <v>390</v>
      </c>
      <c r="U115">
        <v>376</v>
      </c>
      <c r="V115">
        <v>500</v>
      </c>
      <c r="W115">
        <v>2.79</v>
      </c>
    </row>
    <row r="116" spans="1:23" x14ac:dyDescent="0.25">
      <c r="A116" t="s">
        <v>33</v>
      </c>
      <c r="B116">
        <v>5</v>
      </c>
      <c r="C116">
        <v>12</v>
      </c>
      <c r="D116">
        <v>1997</v>
      </c>
      <c r="E116">
        <v>177.4</v>
      </c>
      <c r="F116">
        <v>11.1</v>
      </c>
      <c r="G116">
        <v>10.5</v>
      </c>
      <c r="H116">
        <v>0.6</v>
      </c>
      <c r="I116">
        <v>5</v>
      </c>
      <c r="J116">
        <v>119.9</v>
      </c>
      <c r="K116">
        <v>988.7</v>
      </c>
      <c r="L116">
        <v>345</v>
      </c>
      <c r="M116">
        <v>336</v>
      </c>
      <c r="N116">
        <v>504</v>
      </c>
      <c r="O116">
        <v>168</v>
      </c>
      <c r="P116">
        <v>253</v>
      </c>
      <c r="Q116">
        <v>505</v>
      </c>
      <c r="R116">
        <v>252</v>
      </c>
      <c r="S116">
        <v>224.7</v>
      </c>
      <c r="T116">
        <v>390</v>
      </c>
      <c r="U116">
        <v>376</v>
      </c>
      <c r="V116">
        <v>500</v>
      </c>
      <c r="W116">
        <v>2.79</v>
      </c>
    </row>
    <row r="117" spans="1:23" x14ac:dyDescent="0.25">
      <c r="A117" t="s">
        <v>33</v>
      </c>
      <c r="B117">
        <v>5</v>
      </c>
      <c r="C117">
        <v>13</v>
      </c>
      <c r="D117">
        <v>1998</v>
      </c>
      <c r="E117">
        <v>184.3</v>
      </c>
      <c r="F117">
        <v>6.9</v>
      </c>
      <c r="G117">
        <v>6</v>
      </c>
      <c r="H117">
        <v>0.9</v>
      </c>
      <c r="I117">
        <v>13</v>
      </c>
      <c r="J117">
        <v>78.400000000000006</v>
      </c>
      <c r="K117">
        <v>1067.0999999999999</v>
      </c>
      <c r="L117">
        <v>371</v>
      </c>
      <c r="M117">
        <v>349</v>
      </c>
      <c r="N117">
        <v>524</v>
      </c>
      <c r="O117">
        <v>175</v>
      </c>
      <c r="P117">
        <v>264</v>
      </c>
      <c r="Q117">
        <v>531</v>
      </c>
      <c r="R117">
        <v>267</v>
      </c>
      <c r="S117">
        <v>224.7</v>
      </c>
      <c r="T117">
        <v>390</v>
      </c>
      <c r="U117">
        <v>376</v>
      </c>
      <c r="V117">
        <v>500</v>
      </c>
      <c r="W117">
        <v>2.79</v>
      </c>
    </row>
    <row r="118" spans="1:23" x14ac:dyDescent="0.25">
      <c r="A118" t="s">
        <v>33</v>
      </c>
      <c r="B118">
        <v>5</v>
      </c>
      <c r="C118">
        <v>14</v>
      </c>
      <c r="D118">
        <v>1999</v>
      </c>
      <c r="E118">
        <v>191.2</v>
      </c>
      <c r="F118">
        <v>6.9</v>
      </c>
      <c r="G118">
        <v>6.6</v>
      </c>
      <c r="H118">
        <v>0.3</v>
      </c>
      <c r="I118">
        <v>4</v>
      </c>
      <c r="J118">
        <v>81.400000000000006</v>
      </c>
      <c r="K118">
        <v>1148.5</v>
      </c>
      <c r="L118">
        <v>370</v>
      </c>
      <c r="M118">
        <v>363</v>
      </c>
      <c r="N118">
        <v>520</v>
      </c>
      <c r="O118">
        <v>157</v>
      </c>
      <c r="P118">
        <v>297</v>
      </c>
      <c r="Q118">
        <v>520</v>
      </c>
      <c r="R118">
        <v>223</v>
      </c>
      <c r="S118">
        <v>224.7</v>
      </c>
      <c r="T118">
        <v>390</v>
      </c>
      <c r="U118">
        <v>376</v>
      </c>
      <c r="V118">
        <v>500</v>
      </c>
      <c r="W118">
        <v>2.79</v>
      </c>
    </row>
    <row r="119" spans="1:23" x14ac:dyDescent="0.25">
      <c r="A119" t="s">
        <v>33</v>
      </c>
      <c r="B119">
        <v>5</v>
      </c>
      <c r="C119">
        <v>15</v>
      </c>
      <c r="D119">
        <v>2000</v>
      </c>
      <c r="E119">
        <v>195.7</v>
      </c>
      <c r="F119">
        <v>4.5</v>
      </c>
      <c r="G119">
        <v>4.2</v>
      </c>
      <c r="H119">
        <v>0.3</v>
      </c>
      <c r="I119">
        <v>6</v>
      </c>
      <c r="J119">
        <v>54.7</v>
      </c>
      <c r="K119">
        <v>1203.2</v>
      </c>
      <c r="L119">
        <v>381</v>
      </c>
      <c r="M119">
        <v>370</v>
      </c>
      <c r="N119">
        <v>538</v>
      </c>
      <c r="O119">
        <v>168</v>
      </c>
      <c r="P119">
        <v>263</v>
      </c>
      <c r="Q119">
        <v>538</v>
      </c>
      <c r="R119">
        <v>275</v>
      </c>
      <c r="S119">
        <v>224.7</v>
      </c>
      <c r="T119">
        <v>390</v>
      </c>
      <c r="U119">
        <v>376</v>
      </c>
      <c r="V119">
        <v>500</v>
      </c>
      <c r="W119">
        <v>2.79</v>
      </c>
    </row>
    <row r="120" spans="1:23" x14ac:dyDescent="0.25">
      <c r="A120" t="s">
        <v>33</v>
      </c>
      <c r="B120">
        <v>5</v>
      </c>
      <c r="C120">
        <v>16</v>
      </c>
      <c r="D120">
        <v>2001</v>
      </c>
      <c r="E120">
        <v>201.1</v>
      </c>
      <c r="F120">
        <v>5.4</v>
      </c>
      <c r="G120">
        <v>4.8</v>
      </c>
      <c r="H120">
        <v>0.6</v>
      </c>
      <c r="I120">
        <v>11</v>
      </c>
      <c r="J120">
        <v>67.3</v>
      </c>
      <c r="K120">
        <v>1270.5</v>
      </c>
      <c r="L120">
        <v>390</v>
      </c>
      <c r="M120">
        <v>373</v>
      </c>
      <c r="N120">
        <v>525</v>
      </c>
      <c r="O120">
        <v>152</v>
      </c>
      <c r="P120">
        <v>309</v>
      </c>
      <c r="Q120">
        <v>549</v>
      </c>
      <c r="R120">
        <v>240</v>
      </c>
      <c r="S120">
        <v>224.7</v>
      </c>
      <c r="T120">
        <v>390</v>
      </c>
      <c r="U120">
        <v>376</v>
      </c>
      <c r="V120">
        <v>500</v>
      </c>
      <c r="W120">
        <v>2.79</v>
      </c>
    </row>
    <row r="121" spans="1:23" x14ac:dyDescent="0.25">
      <c r="A121" t="s">
        <v>33</v>
      </c>
      <c r="B121">
        <v>5</v>
      </c>
      <c r="C121">
        <v>17</v>
      </c>
      <c r="D121">
        <v>2002</v>
      </c>
      <c r="E121">
        <v>205.3</v>
      </c>
      <c r="F121">
        <v>4.2</v>
      </c>
      <c r="G121">
        <v>3.9</v>
      </c>
      <c r="H121">
        <v>0.3</v>
      </c>
      <c r="I121">
        <v>7</v>
      </c>
      <c r="J121">
        <v>53.6</v>
      </c>
      <c r="K121">
        <v>1324.1</v>
      </c>
      <c r="L121">
        <v>403</v>
      </c>
      <c r="M121">
        <v>389</v>
      </c>
      <c r="N121">
        <v>593</v>
      </c>
      <c r="O121">
        <v>204</v>
      </c>
      <c r="P121">
        <v>298</v>
      </c>
      <c r="Q121">
        <v>593</v>
      </c>
      <c r="R121">
        <v>295</v>
      </c>
      <c r="S121">
        <v>224.7</v>
      </c>
      <c r="T121">
        <v>390</v>
      </c>
      <c r="U121">
        <v>376</v>
      </c>
      <c r="V121">
        <v>500</v>
      </c>
      <c r="W121">
        <v>2.79</v>
      </c>
    </row>
    <row r="122" spans="1:23" x14ac:dyDescent="0.25">
      <c r="A122" t="s">
        <v>33</v>
      </c>
      <c r="B122">
        <v>5</v>
      </c>
      <c r="C122">
        <v>18</v>
      </c>
      <c r="D122">
        <v>2003</v>
      </c>
      <c r="E122">
        <v>209.2</v>
      </c>
      <c r="F122">
        <v>3.9</v>
      </c>
      <c r="G122">
        <v>3.3</v>
      </c>
      <c r="H122">
        <v>0.6</v>
      </c>
      <c r="I122">
        <v>15</v>
      </c>
      <c r="J122">
        <v>50.8</v>
      </c>
      <c r="K122">
        <v>1374.9</v>
      </c>
      <c r="L122">
        <v>417</v>
      </c>
      <c r="M122">
        <v>392</v>
      </c>
      <c r="N122">
        <v>555</v>
      </c>
      <c r="O122">
        <v>163</v>
      </c>
      <c r="P122">
        <v>346</v>
      </c>
      <c r="Q122">
        <v>576</v>
      </c>
      <c r="R122">
        <v>230</v>
      </c>
      <c r="S122">
        <v>224.7</v>
      </c>
      <c r="T122">
        <v>390</v>
      </c>
      <c r="U122">
        <v>376</v>
      </c>
      <c r="V122">
        <v>500</v>
      </c>
      <c r="W122">
        <v>2.79</v>
      </c>
    </row>
    <row r="123" spans="1:23" x14ac:dyDescent="0.25">
      <c r="A123" t="s">
        <v>33</v>
      </c>
      <c r="B123">
        <v>5</v>
      </c>
      <c r="C123">
        <v>19</v>
      </c>
      <c r="D123">
        <v>2004</v>
      </c>
      <c r="E123">
        <v>212.2</v>
      </c>
      <c r="F123">
        <v>3</v>
      </c>
      <c r="G123">
        <v>2.1</v>
      </c>
      <c r="H123">
        <v>0.9</v>
      </c>
      <c r="I123">
        <v>30</v>
      </c>
      <c r="J123">
        <v>39.700000000000003</v>
      </c>
      <c r="K123">
        <v>1414.6</v>
      </c>
      <c r="L123">
        <v>452</v>
      </c>
      <c r="M123">
        <v>410</v>
      </c>
      <c r="N123">
        <v>549</v>
      </c>
      <c r="O123">
        <v>139</v>
      </c>
      <c r="P123">
        <v>332</v>
      </c>
      <c r="Q123">
        <v>587</v>
      </c>
      <c r="R123">
        <v>255</v>
      </c>
      <c r="S123">
        <v>224.7</v>
      </c>
      <c r="T123">
        <v>390</v>
      </c>
      <c r="U123">
        <v>376</v>
      </c>
      <c r="V123">
        <v>500</v>
      </c>
      <c r="W123">
        <v>2.79</v>
      </c>
    </row>
    <row r="124" spans="1:23" x14ac:dyDescent="0.25">
      <c r="A124" t="s">
        <v>33</v>
      </c>
      <c r="B124">
        <v>5</v>
      </c>
      <c r="C124">
        <v>20</v>
      </c>
      <c r="D124">
        <v>2005</v>
      </c>
      <c r="E124">
        <v>215.2</v>
      </c>
      <c r="F124">
        <v>3</v>
      </c>
      <c r="G124">
        <v>2.7</v>
      </c>
      <c r="H124">
        <v>0.3</v>
      </c>
      <c r="I124">
        <v>10</v>
      </c>
      <c r="J124">
        <v>40.299999999999997</v>
      </c>
      <c r="K124">
        <v>1454.9</v>
      </c>
      <c r="L124">
        <v>434</v>
      </c>
      <c r="M124">
        <v>424</v>
      </c>
      <c r="N124">
        <v>527</v>
      </c>
      <c r="O124">
        <v>103</v>
      </c>
      <c r="P124">
        <v>381</v>
      </c>
      <c r="Q124">
        <v>527</v>
      </c>
      <c r="R124">
        <v>146</v>
      </c>
      <c r="S124">
        <v>224.7</v>
      </c>
      <c r="T124">
        <v>390</v>
      </c>
      <c r="U124">
        <v>376</v>
      </c>
      <c r="V124">
        <v>500</v>
      </c>
      <c r="W124">
        <v>2.79</v>
      </c>
    </row>
    <row r="125" spans="1:23" x14ac:dyDescent="0.25">
      <c r="A125" t="s">
        <v>33</v>
      </c>
      <c r="B125">
        <v>5</v>
      </c>
      <c r="C125">
        <v>21</v>
      </c>
      <c r="D125">
        <v>2006</v>
      </c>
      <c r="E125">
        <v>217.9</v>
      </c>
      <c r="F125">
        <v>2.7</v>
      </c>
      <c r="G125">
        <v>1.8</v>
      </c>
      <c r="H125">
        <v>0.9</v>
      </c>
      <c r="I125">
        <v>33</v>
      </c>
      <c r="J125">
        <v>36.700000000000003</v>
      </c>
      <c r="K125">
        <v>1491.6</v>
      </c>
      <c r="L125">
        <v>457</v>
      </c>
      <c r="M125">
        <v>425</v>
      </c>
      <c r="N125">
        <v>521</v>
      </c>
      <c r="O125">
        <v>96</v>
      </c>
      <c r="P125">
        <v>371</v>
      </c>
      <c r="Q125">
        <v>544</v>
      </c>
      <c r="R125">
        <v>173</v>
      </c>
      <c r="S125">
        <v>224.7</v>
      </c>
      <c r="T125">
        <v>390</v>
      </c>
      <c r="U125">
        <v>376</v>
      </c>
      <c r="V125">
        <v>500</v>
      </c>
      <c r="W125">
        <v>2.79</v>
      </c>
    </row>
    <row r="126" spans="1:23" x14ac:dyDescent="0.25">
      <c r="A126" t="s">
        <v>33</v>
      </c>
      <c r="B126">
        <v>5</v>
      </c>
      <c r="C126">
        <v>22</v>
      </c>
      <c r="D126">
        <v>2007</v>
      </c>
      <c r="E126">
        <v>220.9</v>
      </c>
      <c r="F126">
        <v>3</v>
      </c>
      <c r="G126">
        <v>2.1</v>
      </c>
      <c r="H126">
        <v>0.9</v>
      </c>
      <c r="I126">
        <v>30</v>
      </c>
      <c r="J126">
        <v>41.4</v>
      </c>
      <c r="K126">
        <v>1533</v>
      </c>
      <c r="L126">
        <v>449</v>
      </c>
      <c r="M126">
        <v>405</v>
      </c>
      <c r="N126">
        <v>553</v>
      </c>
      <c r="O126">
        <v>148</v>
      </c>
      <c r="P126">
        <v>335</v>
      </c>
      <c r="Q126">
        <v>591</v>
      </c>
      <c r="R126">
        <v>256</v>
      </c>
      <c r="S126">
        <v>224.7</v>
      </c>
      <c r="T126">
        <v>390</v>
      </c>
      <c r="U126">
        <v>376</v>
      </c>
      <c r="V126">
        <v>500</v>
      </c>
      <c r="W126">
        <v>2.79</v>
      </c>
    </row>
    <row r="127" spans="1:23" x14ac:dyDescent="0.25">
      <c r="A127" t="s">
        <v>33</v>
      </c>
      <c r="B127">
        <v>5</v>
      </c>
      <c r="C127">
        <v>23</v>
      </c>
      <c r="D127">
        <v>2008</v>
      </c>
      <c r="E127">
        <v>224.8</v>
      </c>
      <c r="F127">
        <v>3.9</v>
      </c>
      <c r="G127">
        <v>3</v>
      </c>
      <c r="H127">
        <v>0.9</v>
      </c>
      <c r="I127">
        <v>23</v>
      </c>
      <c r="J127">
        <v>54.6</v>
      </c>
      <c r="K127">
        <v>1587.6</v>
      </c>
      <c r="L127">
        <v>419</v>
      </c>
      <c r="M127">
        <v>389</v>
      </c>
      <c r="N127">
        <v>520</v>
      </c>
      <c r="O127">
        <v>131</v>
      </c>
      <c r="P127">
        <v>315</v>
      </c>
      <c r="Q127">
        <v>534</v>
      </c>
      <c r="R127">
        <v>219</v>
      </c>
      <c r="S127">
        <v>224.7</v>
      </c>
      <c r="T127">
        <v>390</v>
      </c>
      <c r="U127">
        <v>376</v>
      </c>
      <c r="V127">
        <v>500</v>
      </c>
      <c r="W127">
        <v>2.79</v>
      </c>
    </row>
    <row r="128" spans="1:23" x14ac:dyDescent="0.25">
      <c r="A128" t="s">
        <v>33</v>
      </c>
      <c r="B128">
        <v>5</v>
      </c>
      <c r="C128">
        <v>24</v>
      </c>
      <c r="D128">
        <v>2009</v>
      </c>
      <c r="E128">
        <v>229.3</v>
      </c>
      <c r="F128">
        <v>4.5</v>
      </c>
      <c r="G128">
        <v>3.9</v>
      </c>
      <c r="H128">
        <v>0.6</v>
      </c>
      <c r="I128">
        <v>13</v>
      </c>
      <c r="J128">
        <v>64.2</v>
      </c>
      <c r="K128">
        <v>1651.8</v>
      </c>
      <c r="L128">
        <v>423</v>
      </c>
      <c r="M128">
        <v>406</v>
      </c>
      <c r="N128">
        <v>536</v>
      </c>
      <c r="O128">
        <v>130</v>
      </c>
      <c r="P128">
        <v>304</v>
      </c>
      <c r="Q128">
        <v>550</v>
      </c>
      <c r="R128">
        <v>246</v>
      </c>
      <c r="S128">
        <v>224.7</v>
      </c>
      <c r="T128">
        <v>390</v>
      </c>
      <c r="U128">
        <v>376</v>
      </c>
      <c r="V128">
        <v>500</v>
      </c>
      <c r="W128">
        <v>2.79</v>
      </c>
    </row>
    <row r="129" spans="1:23" x14ac:dyDescent="0.25">
      <c r="A129" t="s">
        <v>33</v>
      </c>
      <c r="B129">
        <v>5</v>
      </c>
      <c r="C129">
        <v>25</v>
      </c>
      <c r="D129">
        <v>2010</v>
      </c>
      <c r="E129">
        <v>232.3</v>
      </c>
      <c r="F129">
        <v>3</v>
      </c>
      <c r="G129">
        <v>2.1</v>
      </c>
      <c r="H129">
        <v>0.9</v>
      </c>
      <c r="I129">
        <v>30</v>
      </c>
      <c r="J129">
        <v>43.5</v>
      </c>
      <c r="K129">
        <v>1695.3</v>
      </c>
      <c r="L129">
        <v>425</v>
      </c>
      <c r="M129">
        <v>381</v>
      </c>
      <c r="N129">
        <v>528</v>
      </c>
      <c r="O129">
        <v>147</v>
      </c>
      <c r="P129">
        <v>300</v>
      </c>
      <c r="Q129">
        <v>547</v>
      </c>
      <c r="R129">
        <v>247</v>
      </c>
      <c r="S129">
        <v>224.7</v>
      </c>
      <c r="T129">
        <v>390</v>
      </c>
      <c r="U129">
        <v>376</v>
      </c>
      <c r="V129">
        <v>500</v>
      </c>
      <c r="W129">
        <v>2.79</v>
      </c>
    </row>
    <row r="130" spans="1:23" x14ac:dyDescent="0.25">
      <c r="A130" t="s">
        <v>33</v>
      </c>
      <c r="B130">
        <v>5</v>
      </c>
      <c r="C130">
        <v>26</v>
      </c>
      <c r="D130">
        <v>2011</v>
      </c>
      <c r="E130">
        <v>235.6</v>
      </c>
      <c r="F130">
        <v>3.3</v>
      </c>
      <c r="G130">
        <v>2.7</v>
      </c>
      <c r="H130">
        <v>0.6</v>
      </c>
      <c r="I130">
        <v>18</v>
      </c>
      <c r="J130">
        <v>48.5</v>
      </c>
      <c r="K130">
        <v>1743.8</v>
      </c>
      <c r="L130">
        <v>444</v>
      </c>
      <c r="M130">
        <v>413</v>
      </c>
      <c r="N130">
        <v>585</v>
      </c>
      <c r="O130">
        <v>172</v>
      </c>
      <c r="P130">
        <v>354</v>
      </c>
      <c r="Q130">
        <v>603</v>
      </c>
      <c r="R130">
        <v>249</v>
      </c>
      <c r="S130">
        <v>224.7</v>
      </c>
      <c r="T130">
        <v>390</v>
      </c>
      <c r="U130">
        <v>376</v>
      </c>
      <c r="V130">
        <v>500</v>
      </c>
      <c r="W130">
        <v>2.79</v>
      </c>
    </row>
    <row r="131" spans="1:23" x14ac:dyDescent="0.25">
      <c r="A131" t="s">
        <v>33</v>
      </c>
      <c r="B131">
        <v>5</v>
      </c>
      <c r="C131">
        <v>27</v>
      </c>
      <c r="D131">
        <v>2012</v>
      </c>
      <c r="E131">
        <v>237.7</v>
      </c>
      <c r="F131">
        <v>2.1</v>
      </c>
      <c r="G131">
        <v>1.2</v>
      </c>
      <c r="H131">
        <v>0.9</v>
      </c>
      <c r="I131">
        <v>42</v>
      </c>
      <c r="J131">
        <v>31.2</v>
      </c>
      <c r="K131">
        <v>1775</v>
      </c>
      <c r="L131">
        <v>463</v>
      </c>
      <c r="M131">
        <v>390</v>
      </c>
      <c r="N131">
        <v>560</v>
      </c>
      <c r="O131">
        <v>170</v>
      </c>
      <c r="P131">
        <v>365</v>
      </c>
      <c r="Q131">
        <v>587</v>
      </c>
      <c r="R131">
        <v>222</v>
      </c>
      <c r="S131">
        <v>224.7</v>
      </c>
      <c r="T131">
        <v>390</v>
      </c>
      <c r="U131">
        <v>376</v>
      </c>
      <c r="V131">
        <v>500</v>
      </c>
      <c r="W131">
        <v>2.79</v>
      </c>
    </row>
    <row r="132" spans="1:23" x14ac:dyDescent="0.25">
      <c r="A132" t="s">
        <v>33</v>
      </c>
      <c r="B132">
        <v>6</v>
      </c>
      <c r="C132">
        <v>2</v>
      </c>
      <c r="D132">
        <v>1986</v>
      </c>
      <c r="E132">
        <v>13.4</v>
      </c>
      <c r="F132">
        <v>13.4</v>
      </c>
      <c r="G132">
        <v>5.4</v>
      </c>
      <c r="H132">
        <v>0</v>
      </c>
      <c r="I132">
        <v>0</v>
      </c>
      <c r="J132">
        <v>5.6</v>
      </c>
      <c r="K132">
        <v>5.6</v>
      </c>
      <c r="L132">
        <v>352</v>
      </c>
      <c r="M132">
        <v>352</v>
      </c>
      <c r="P132">
        <v>284</v>
      </c>
      <c r="Q132">
        <v>434</v>
      </c>
      <c r="R132">
        <v>150</v>
      </c>
      <c r="S132">
        <v>282</v>
      </c>
      <c r="T132">
        <v>406</v>
      </c>
      <c r="U132">
        <v>411</v>
      </c>
      <c r="V132">
        <v>500</v>
      </c>
      <c r="W132">
        <v>2.79</v>
      </c>
    </row>
    <row r="133" spans="1:23" x14ac:dyDescent="0.25">
      <c r="A133" t="s">
        <v>33</v>
      </c>
      <c r="B133">
        <v>6</v>
      </c>
      <c r="C133">
        <v>3</v>
      </c>
      <c r="D133">
        <v>1987</v>
      </c>
      <c r="E133">
        <v>31.1</v>
      </c>
      <c r="F133">
        <v>17.7</v>
      </c>
      <c r="G133">
        <v>17.7</v>
      </c>
      <c r="H133">
        <v>0</v>
      </c>
      <c r="I133">
        <v>0</v>
      </c>
      <c r="J133">
        <v>24.7</v>
      </c>
      <c r="K133">
        <v>30.4</v>
      </c>
      <c r="L133">
        <v>339</v>
      </c>
      <c r="M133">
        <v>339</v>
      </c>
      <c r="P133">
        <v>286</v>
      </c>
      <c r="Q133">
        <v>489</v>
      </c>
      <c r="R133">
        <v>203</v>
      </c>
      <c r="S133">
        <v>282</v>
      </c>
      <c r="T133">
        <v>406</v>
      </c>
      <c r="U133">
        <v>411</v>
      </c>
      <c r="V133">
        <v>500</v>
      </c>
      <c r="W133">
        <v>2.79</v>
      </c>
    </row>
    <row r="134" spans="1:23" x14ac:dyDescent="0.25">
      <c r="A134" t="s">
        <v>33</v>
      </c>
      <c r="B134">
        <v>6</v>
      </c>
      <c r="C134">
        <v>4</v>
      </c>
      <c r="D134">
        <v>1988</v>
      </c>
      <c r="E134">
        <v>51.2</v>
      </c>
      <c r="F134">
        <v>20.100000000000001</v>
      </c>
      <c r="G134">
        <v>20.100000000000001</v>
      </c>
      <c r="H134">
        <v>0</v>
      </c>
      <c r="I134">
        <v>0</v>
      </c>
      <c r="J134">
        <v>52</v>
      </c>
      <c r="K134">
        <v>82.4</v>
      </c>
      <c r="L134">
        <v>340</v>
      </c>
      <c r="M134">
        <v>340</v>
      </c>
      <c r="P134">
        <v>274</v>
      </c>
      <c r="Q134">
        <v>466</v>
      </c>
      <c r="R134">
        <v>192</v>
      </c>
      <c r="S134">
        <v>282</v>
      </c>
      <c r="T134">
        <v>406</v>
      </c>
      <c r="U134">
        <v>411</v>
      </c>
      <c r="V134">
        <v>500</v>
      </c>
      <c r="W134">
        <v>2.79</v>
      </c>
    </row>
    <row r="135" spans="1:23" x14ac:dyDescent="0.25">
      <c r="A135" t="s">
        <v>33</v>
      </c>
      <c r="B135">
        <v>6</v>
      </c>
      <c r="C135">
        <v>5</v>
      </c>
      <c r="D135">
        <v>1989</v>
      </c>
      <c r="E135">
        <v>71.3</v>
      </c>
      <c r="F135">
        <v>20.100000000000001</v>
      </c>
      <c r="G135">
        <v>19.8</v>
      </c>
      <c r="H135">
        <v>0.3</v>
      </c>
      <c r="I135">
        <v>1</v>
      </c>
      <c r="J135">
        <v>77.400000000000006</v>
      </c>
      <c r="K135">
        <v>159.69999999999999</v>
      </c>
      <c r="L135">
        <v>349</v>
      </c>
      <c r="M135">
        <v>346</v>
      </c>
      <c r="N135">
        <v>512</v>
      </c>
      <c r="O135">
        <v>166</v>
      </c>
      <c r="P135">
        <v>296</v>
      </c>
      <c r="Q135">
        <v>512</v>
      </c>
      <c r="R135">
        <v>216</v>
      </c>
      <c r="S135">
        <v>282</v>
      </c>
      <c r="T135">
        <v>406</v>
      </c>
      <c r="U135">
        <v>411</v>
      </c>
      <c r="V135">
        <v>500</v>
      </c>
      <c r="W135">
        <v>2.79</v>
      </c>
    </row>
    <row r="136" spans="1:23" x14ac:dyDescent="0.25">
      <c r="A136" t="s">
        <v>33</v>
      </c>
      <c r="B136">
        <v>6</v>
      </c>
      <c r="C136">
        <v>6</v>
      </c>
      <c r="D136">
        <v>1990</v>
      </c>
      <c r="E136">
        <v>92</v>
      </c>
      <c r="F136">
        <v>20.7</v>
      </c>
      <c r="G136">
        <v>20.100000000000001</v>
      </c>
      <c r="H136">
        <v>0.6</v>
      </c>
      <c r="I136">
        <v>2</v>
      </c>
      <c r="J136">
        <v>106.2</v>
      </c>
      <c r="K136">
        <v>265.89999999999998</v>
      </c>
      <c r="L136">
        <v>360</v>
      </c>
      <c r="M136">
        <v>356</v>
      </c>
      <c r="N136">
        <v>516</v>
      </c>
      <c r="O136">
        <v>160</v>
      </c>
      <c r="P136">
        <v>313</v>
      </c>
      <c r="Q136">
        <v>530</v>
      </c>
      <c r="R136">
        <v>217</v>
      </c>
      <c r="S136">
        <v>282</v>
      </c>
      <c r="T136">
        <v>406</v>
      </c>
      <c r="U136">
        <v>411</v>
      </c>
      <c r="V136">
        <v>500</v>
      </c>
      <c r="W136">
        <v>2.79</v>
      </c>
    </row>
    <row r="137" spans="1:23" x14ac:dyDescent="0.25">
      <c r="A137" t="s">
        <v>33</v>
      </c>
      <c r="B137">
        <v>6</v>
      </c>
      <c r="C137">
        <v>7</v>
      </c>
      <c r="D137">
        <v>1991</v>
      </c>
      <c r="E137">
        <v>108.2</v>
      </c>
      <c r="F137">
        <v>16.2</v>
      </c>
      <c r="G137">
        <v>14.7</v>
      </c>
      <c r="H137">
        <v>1.5</v>
      </c>
      <c r="I137">
        <v>9</v>
      </c>
      <c r="J137">
        <v>101.9</v>
      </c>
      <c r="K137">
        <v>367.8</v>
      </c>
      <c r="L137">
        <v>384</v>
      </c>
      <c r="M137">
        <v>370</v>
      </c>
      <c r="N137">
        <v>520</v>
      </c>
      <c r="O137">
        <v>150</v>
      </c>
      <c r="P137">
        <v>325</v>
      </c>
      <c r="Q137">
        <v>540</v>
      </c>
      <c r="R137">
        <v>215</v>
      </c>
      <c r="S137">
        <v>282</v>
      </c>
      <c r="T137">
        <v>406</v>
      </c>
      <c r="U137">
        <v>411</v>
      </c>
      <c r="V137">
        <v>500</v>
      </c>
      <c r="W137">
        <v>2.79</v>
      </c>
    </row>
    <row r="138" spans="1:23" x14ac:dyDescent="0.25">
      <c r="A138" t="s">
        <v>33</v>
      </c>
      <c r="B138">
        <v>6</v>
      </c>
      <c r="C138">
        <v>8</v>
      </c>
      <c r="D138">
        <v>1992</v>
      </c>
      <c r="E138">
        <v>124.7</v>
      </c>
      <c r="F138">
        <v>16.5</v>
      </c>
      <c r="G138">
        <v>14.4</v>
      </c>
      <c r="H138">
        <v>2.1</v>
      </c>
      <c r="I138">
        <v>12</v>
      </c>
      <c r="J138">
        <v>120.7</v>
      </c>
      <c r="K138">
        <v>488.5</v>
      </c>
      <c r="L138">
        <v>392</v>
      </c>
      <c r="M138">
        <v>372</v>
      </c>
      <c r="N138">
        <v>526</v>
      </c>
      <c r="O138">
        <v>154</v>
      </c>
      <c r="P138">
        <v>322</v>
      </c>
      <c r="Q138">
        <v>549</v>
      </c>
      <c r="R138">
        <v>227</v>
      </c>
      <c r="S138">
        <v>282</v>
      </c>
      <c r="T138">
        <v>406</v>
      </c>
      <c r="U138">
        <v>411</v>
      </c>
      <c r="V138">
        <v>500</v>
      </c>
      <c r="W138">
        <v>2.79</v>
      </c>
    </row>
    <row r="139" spans="1:23" x14ac:dyDescent="0.25">
      <c r="A139" t="s">
        <v>33</v>
      </c>
      <c r="B139">
        <v>6</v>
      </c>
      <c r="C139">
        <v>9</v>
      </c>
      <c r="D139">
        <v>1993</v>
      </c>
      <c r="E139">
        <v>138.80000000000001</v>
      </c>
      <c r="F139">
        <v>14.1</v>
      </c>
      <c r="G139">
        <v>12.3</v>
      </c>
      <c r="H139">
        <v>1.8</v>
      </c>
      <c r="I139">
        <v>12</v>
      </c>
      <c r="J139">
        <v>116.7</v>
      </c>
      <c r="K139">
        <v>605.20000000000005</v>
      </c>
      <c r="L139">
        <v>394</v>
      </c>
      <c r="M139">
        <v>377</v>
      </c>
      <c r="N139">
        <v>513</v>
      </c>
      <c r="O139">
        <v>136</v>
      </c>
      <c r="P139">
        <v>331</v>
      </c>
      <c r="Q139">
        <v>533</v>
      </c>
      <c r="R139">
        <v>202</v>
      </c>
      <c r="S139">
        <v>282</v>
      </c>
      <c r="T139">
        <v>406</v>
      </c>
      <c r="U139">
        <v>411</v>
      </c>
      <c r="V139">
        <v>500</v>
      </c>
      <c r="W139">
        <v>2.79</v>
      </c>
    </row>
    <row r="140" spans="1:23" x14ac:dyDescent="0.25">
      <c r="A140" t="s">
        <v>33</v>
      </c>
      <c r="B140">
        <v>6</v>
      </c>
      <c r="C140">
        <v>10</v>
      </c>
      <c r="D140">
        <v>1994</v>
      </c>
      <c r="E140">
        <v>150.5</v>
      </c>
      <c r="F140">
        <v>11.7</v>
      </c>
      <c r="G140">
        <v>10.5</v>
      </c>
      <c r="H140">
        <v>1.2</v>
      </c>
      <c r="I140">
        <v>10</v>
      </c>
      <c r="J140">
        <v>106.3</v>
      </c>
      <c r="K140">
        <v>711.6</v>
      </c>
      <c r="L140">
        <v>400</v>
      </c>
      <c r="M140">
        <v>385</v>
      </c>
      <c r="N140">
        <v>525</v>
      </c>
      <c r="O140">
        <v>140</v>
      </c>
      <c r="P140">
        <v>317</v>
      </c>
      <c r="Q140">
        <v>551</v>
      </c>
      <c r="R140">
        <v>234</v>
      </c>
      <c r="S140">
        <v>282</v>
      </c>
      <c r="T140">
        <v>406</v>
      </c>
      <c r="U140">
        <v>411</v>
      </c>
      <c r="V140">
        <v>500</v>
      </c>
      <c r="W140">
        <v>2.79</v>
      </c>
    </row>
    <row r="141" spans="1:23" x14ac:dyDescent="0.25">
      <c r="A141" t="s">
        <v>33</v>
      </c>
      <c r="B141">
        <v>6</v>
      </c>
      <c r="C141">
        <v>11</v>
      </c>
      <c r="D141">
        <v>1995</v>
      </c>
      <c r="E141">
        <v>157.4</v>
      </c>
      <c r="F141">
        <v>6.9</v>
      </c>
      <c r="G141">
        <v>6</v>
      </c>
      <c r="H141">
        <v>0.9</v>
      </c>
      <c r="I141">
        <v>13</v>
      </c>
      <c r="J141">
        <v>66.7</v>
      </c>
      <c r="K141">
        <v>778.3</v>
      </c>
      <c r="L141">
        <v>415</v>
      </c>
      <c r="M141">
        <v>399</v>
      </c>
      <c r="N141">
        <v>522</v>
      </c>
      <c r="O141">
        <v>123</v>
      </c>
      <c r="P141">
        <v>329</v>
      </c>
      <c r="Q141">
        <v>530</v>
      </c>
      <c r="R141">
        <v>201</v>
      </c>
      <c r="S141">
        <v>282</v>
      </c>
      <c r="T141">
        <v>406</v>
      </c>
      <c r="U141">
        <v>411</v>
      </c>
      <c r="V141">
        <v>500</v>
      </c>
      <c r="W141">
        <v>2.79</v>
      </c>
    </row>
    <row r="142" spans="1:23" x14ac:dyDescent="0.25">
      <c r="A142" t="s">
        <v>33</v>
      </c>
      <c r="B142">
        <v>6</v>
      </c>
      <c r="C142">
        <v>12</v>
      </c>
      <c r="D142">
        <v>1996</v>
      </c>
      <c r="E142">
        <v>166.4</v>
      </c>
      <c r="F142">
        <v>9</v>
      </c>
      <c r="G142">
        <v>7.5</v>
      </c>
      <c r="H142">
        <v>1.5</v>
      </c>
      <c r="I142">
        <v>16</v>
      </c>
      <c r="J142">
        <v>91.6</v>
      </c>
      <c r="K142">
        <v>869.9</v>
      </c>
      <c r="L142">
        <v>396</v>
      </c>
      <c r="M142">
        <v>374</v>
      </c>
      <c r="N142">
        <v>510</v>
      </c>
      <c r="O142">
        <v>136</v>
      </c>
      <c r="P142">
        <v>321</v>
      </c>
      <c r="Q142">
        <v>520</v>
      </c>
      <c r="R142">
        <v>199</v>
      </c>
      <c r="S142">
        <v>282</v>
      </c>
      <c r="T142">
        <v>406</v>
      </c>
      <c r="U142">
        <v>411</v>
      </c>
      <c r="V142">
        <v>500</v>
      </c>
      <c r="W142">
        <v>2.79</v>
      </c>
    </row>
    <row r="143" spans="1:23" x14ac:dyDescent="0.25">
      <c r="A143" t="s">
        <v>33</v>
      </c>
      <c r="B143">
        <v>6</v>
      </c>
      <c r="C143">
        <v>13</v>
      </c>
      <c r="D143">
        <v>1997</v>
      </c>
      <c r="E143">
        <v>176.9</v>
      </c>
      <c r="F143">
        <v>10.5</v>
      </c>
      <c r="G143">
        <v>8.6999999999999993</v>
      </c>
      <c r="H143">
        <v>1.8</v>
      </c>
      <c r="I143">
        <v>17</v>
      </c>
      <c r="J143">
        <v>113.2</v>
      </c>
      <c r="K143">
        <v>983.1</v>
      </c>
      <c r="L143">
        <v>405</v>
      </c>
      <c r="M143">
        <v>379</v>
      </c>
      <c r="N143">
        <v>529</v>
      </c>
      <c r="O143">
        <v>150</v>
      </c>
      <c r="P143">
        <v>320</v>
      </c>
      <c r="Q143">
        <v>553</v>
      </c>
      <c r="R143">
        <v>233</v>
      </c>
      <c r="S143">
        <v>282</v>
      </c>
      <c r="T143">
        <v>406</v>
      </c>
      <c r="U143">
        <v>411</v>
      </c>
      <c r="V143">
        <v>500</v>
      </c>
      <c r="W143">
        <v>2.79</v>
      </c>
    </row>
    <row r="144" spans="1:23" x14ac:dyDescent="0.25">
      <c r="A144" t="s">
        <v>33</v>
      </c>
      <c r="B144">
        <v>6</v>
      </c>
      <c r="C144">
        <v>14</v>
      </c>
      <c r="D144">
        <v>1998</v>
      </c>
      <c r="E144">
        <v>186.5</v>
      </c>
      <c r="F144">
        <v>9.6</v>
      </c>
      <c r="G144">
        <v>7.8</v>
      </c>
      <c r="H144">
        <v>1.8</v>
      </c>
      <c r="I144">
        <v>18</v>
      </c>
      <c r="J144">
        <v>109.6</v>
      </c>
      <c r="K144">
        <v>1092.7</v>
      </c>
      <c r="L144">
        <v>422</v>
      </c>
      <c r="M144">
        <v>398</v>
      </c>
      <c r="N144">
        <v>529</v>
      </c>
      <c r="O144">
        <v>131</v>
      </c>
      <c r="P144">
        <v>322</v>
      </c>
      <c r="Q144">
        <v>543</v>
      </c>
      <c r="R144">
        <v>221</v>
      </c>
      <c r="S144">
        <v>282</v>
      </c>
      <c r="T144">
        <v>406</v>
      </c>
      <c r="U144">
        <v>411</v>
      </c>
      <c r="V144">
        <v>500</v>
      </c>
      <c r="W144">
        <v>2.79</v>
      </c>
    </row>
    <row r="145" spans="1:23" x14ac:dyDescent="0.25">
      <c r="A145" t="s">
        <v>33</v>
      </c>
      <c r="B145">
        <v>6</v>
      </c>
      <c r="C145">
        <v>15</v>
      </c>
      <c r="D145">
        <v>1999</v>
      </c>
      <c r="E145">
        <v>198.5</v>
      </c>
      <c r="F145">
        <v>12</v>
      </c>
      <c r="G145">
        <v>10.5</v>
      </c>
      <c r="H145">
        <v>1.5</v>
      </c>
      <c r="I145">
        <v>12</v>
      </c>
      <c r="J145">
        <v>145.1</v>
      </c>
      <c r="K145">
        <v>1237.9000000000001</v>
      </c>
      <c r="L145">
        <v>402</v>
      </c>
      <c r="M145">
        <v>383</v>
      </c>
      <c r="N145">
        <v>541</v>
      </c>
      <c r="O145">
        <v>158</v>
      </c>
      <c r="P145">
        <v>338</v>
      </c>
      <c r="Q145">
        <v>547</v>
      </c>
      <c r="R145">
        <v>209</v>
      </c>
      <c r="S145">
        <v>282</v>
      </c>
      <c r="T145">
        <v>406</v>
      </c>
      <c r="U145">
        <v>411</v>
      </c>
      <c r="V145">
        <v>500</v>
      </c>
      <c r="W145">
        <v>2.79</v>
      </c>
    </row>
    <row r="146" spans="1:23" x14ac:dyDescent="0.25">
      <c r="A146" t="s">
        <v>33</v>
      </c>
      <c r="B146">
        <v>6</v>
      </c>
      <c r="C146">
        <v>16</v>
      </c>
      <c r="D146">
        <v>2000</v>
      </c>
      <c r="E146">
        <v>209.3</v>
      </c>
      <c r="F146">
        <v>10.8</v>
      </c>
      <c r="G146">
        <v>9.6</v>
      </c>
      <c r="H146">
        <v>1.2</v>
      </c>
      <c r="I146">
        <v>11</v>
      </c>
      <c r="J146">
        <v>138.4</v>
      </c>
      <c r="K146">
        <v>1376.2</v>
      </c>
      <c r="L146">
        <v>405</v>
      </c>
      <c r="M146">
        <v>387</v>
      </c>
      <c r="N146">
        <v>550</v>
      </c>
      <c r="O146">
        <v>163</v>
      </c>
      <c r="P146">
        <v>298</v>
      </c>
      <c r="Q146">
        <v>569</v>
      </c>
      <c r="R146">
        <v>271</v>
      </c>
      <c r="S146">
        <v>282</v>
      </c>
      <c r="T146">
        <v>406</v>
      </c>
      <c r="U146">
        <v>411</v>
      </c>
      <c r="V146">
        <v>500</v>
      </c>
      <c r="W146">
        <v>2.79</v>
      </c>
    </row>
    <row r="147" spans="1:23" x14ac:dyDescent="0.25">
      <c r="A147" t="s">
        <v>33</v>
      </c>
      <c r="B147">
        <v>6</v>
      </c>
      <c r="C147">
        <v>17</v>
      </c>
      <c r="D147">
        <v>2001</v>
      </c>
      <c r="E147">
        <v>219.8</v>
      </c>
      <c r="F147">
        <v>10.5</v>
      </c>
      <c r="G147">
        <v>8.6999999999999993</v>
      </c>
      <c r="H147">
        <v>1.8</v>
      </c>
      <c r="I147">
        <v>17</v>
      </c>
      <c r="J147">
        <v>141.5</v>
      </c>
      <c r="K147">
        <v>1517.8</v>
      </c>
      <c r="L147">
        <v>416</v>
      </c>
      <c r="M147">
        <v>391</v>
      </c>
      <c r="N147">
        <v>541</v>
      </c>
      <c r="O147">
        <v>150</v>
      </c>
      <c r="P147">
        <v>341</v>
      </c>
      <c r="Q147">
        <v>573</v>
      </c>
      <c r="R147">
        <v>232</v>
      </c>
      <c r="S147">
        <v>282</v>
      </c>
      <c r="T147">
        <v>406</v>
      </c>
      <c r="U147">
        <v>411</v>
      </c>
      <c r="V147">
        <v>500</v>
      </c>
      <c r="W147">
        <v>2.79</v>
      </c>
    </row>
    <row r="148" spans="1:23" x14ac:dyDescent="0.25">
      <c r="A148" t="s">
        <v>33</v>
      </c>
      <c r="B148">
        <v>6</v>
      </c>
      <c r="C148">
        <v>18</v>
      </c>
      <c r="D148">
        <v>2002</v>
      </c>
      <c r="E148">
        <v>226.7</v>
      </c>
      <c r="F148">
        <v>6.9</v>
      </c>
      <c r="G148">
        <v>5.7</v>
      </c>
      <c r="H148">
        <v>1.2</v>
      </c>
      <c r="I148">
        <v>17</v>
      </c>
      <c r="J148">
        <v>96.8</v>
      </c>
      <c r="K148">
        <v>1614.6</v>
      </c>
      <c r="L148">
        <v>428</v>
      </c>
      <c r="M148">
        <v>398</v>
      </c>
      <c r="N148">
        <v>574</v>
      </c>
      <c r="O148">
        <v>176</v>
      </c>
      <c r="P148">
        <v>315</v>
      </c>
      <c r="Q148">
        <v>596</v>
      </c>
      <c r="R148">
        <v>281</v>
      </c>
      <c r="S148">
        <v>282</v>
      </c>
      <c r="T148">
        <v>406</v>
      </c>
      <c r="U148">
        <v>411</v>
      </c>
      <c r="V148">
        <v>500</v>
      </c>
      <c r="W148">
        <v>2.79</v>
      </c>
    </row>
    <row r="149" spans="1:23" x14ac:dyDescent="0.25">
      <c r="A149" t="s">
        <v>33</v>
      </c>
      <c r="B149">
        <v>6</v>
      </c>
      <c r="C149">
        <v>19</v>
      </c>
      <c r="D149">
        <v>2003</v>
      </c>
      <c r="E149">
        <v>236.3</v>
      </c>
      <c r="F149">
        <v>9.6</v>
      </c>
      <c r="G149">
        <v>8.1</v>
      </c>
      <c r="H149">
        <v>1.5</v>
      </c>
      <c r="I149">
        <v>15</v>
      </c>
      <c r="J149">
        <v>139.6</v>
      </c>
      <c r="K149">
        <v>1754.2</v>
      </c>
      <c r="L149">
        <v>435</v>
      </c>
      <c r="M149">
        <v>412</v>
      </c>
      <c r="N149">
        <v>559</v>
      </c>
      <c r="O149">
        <v>147</v>
      </c>
      <c r="P149">
        <v>367</v>
      </c>
      <c r="Q149">
        <v>578</v>
      </c>
      <c r="R149">
        <v>211</v>
      </c>
      <c r="S149">
        <v>282</v>
      </c>
      <c r="T149">
        <v>406</v>
      </c>
      <c r="U149">
        <v>411</v>
      </c>
      <c r="V149">
        <v>500</v>
      </c>
      <c r="W149">
        <v>2.79</v>
      </c>
    </row>
    <row r="150" spans="1:23" x14ac:dyDescent="0.25">
      <c r="A150" t="s">
        <v>33</v>
      </c>
      <c r="B150">
        <v>6</v>
      </c>
      <c r="C150">
        <v>20</v>
      </c>
      <c r="D150">
        <v>2004</v>
      </c>
      <c r="E150">
        <v>245</v>
      </c>
      <c r="F150">
        <v>8.6999999999999993</v>
      </c>
      <c r="G150">
        <v>6.3</v>
      </c>
      <c r="H150">
        <v>2.4</v>
      </c>
      <c r="I150">
        <v>27</v>
      </c>
      <c r="J150">
        <v>131.5</v>
      </c>
      <c r="K150">
        <v>1885.7</v>
      </c>
      <c r="L150">
        <v>444</v>
      </c>
      <c r="M150">
        <v>401</v>
      </c>
      <c r="N150">
        <v>556</v>
      </c>
      <c r="O150">
        <v>155</v>
      </c>
      <c r="P150">
        <v>356</v>
      </c>
      <c r="Q150">
        <v>594</v>
      </c>
      <c r="R150">
        <v>238</v>
      </c>
      <c r="S150">
        <v>282</v>
      </c>
      <c r="T150">
        <v>406</v>
      </c>
      <c r="U150">
        <v>411</v>
      </c>
      <c r="V150">
        <v>500</v>
      </c>
      <c r="W150">
        <v>2.79</v>
      </c>
    </row>
    <row r="151" spans="1:23" x14ac:dyDescent="0.25">
      <c r="A151" t="s">
        <v>33</v>
      </c>
      <c r="B151">
        <v>6</v>
      </c>
      <c r="C151">
        <v>21</v>
      </c>
      <c r="D151">
        <v>2005</v>
      </c>
      <c r="E151">
        <v>251</v>
      </c>
      <c r="F151">
        <v>6</v>
      </c>
      <c r="G151">
        <v>4.8</v>
      </c>
      <c r="H151">
        <v>1.2</v>
      </c>
      <c r="I151">
        <v>20</v>
      </c>
      <c r="J151">
        <v>93.5</v>
      </c>
      <c r="K151">
        <v>1979.2</v>
      </c>
      <c r="L151">
        <v>446</v>
      </c>
      <c r="M151">
        <v>420</v>
      </c>
      <c r="N151">
        <v>553</v>
      </c>
      <c r="O151">
        <v>133</v>
      </c>
      <c r="P151">
        <v>376</v>
      </c>
      <c r="Q151">
        <v>601</v>
      </c>
      <c r="R151">
        <v>225</v>
      </c>
      <c r="S151">
        <v>282</v>
      </c>
      <c r="T151">
        <v>406</v>
      </c>
      <c r="U151">
        <v>411</v>
      </c>
      <c r="V151">
        <v>500</v>
      </c>
      <c r="W151">
        <v>2.79</v>
      </c>
    </row>
    <row r="152" spans="1:23" x14ac:dyDescent="0.25">
      <c r="A152" t="s">
        <v>33</v>
      </c>
      <c r="B152">
        <v>6</v>
      </c>
      <c r="C152">
        <v>22</v>
      </c>
      <c r="D152">
        <v>2006</v>
      </c>
      <c r="E152">
        <v>255.5</v>
      </c>
      <c r="F152">
        <v>4.5</v>
      </c>
      <c r="G152">
        <v>3</v>
      </c>
      <c r="H152">
        <v>1.5</v>
      </c>
      <c r="I152">
        <v>33</v>
      </c>
      <c r="J152">
        <v>71.599999999999994</v>
      </c>
      <c r="K152">
        <v>2050.8000000000002</v>
      </c>
      <c r="L152">
        <v>459</v>
      </c>
      <c r="M152">
        <v>417</v>
      </c>
      <c r="N152">
        <v>542</v>
      </c>
      <c r="O152">
        <v>125</v>
      </c>
      <c r="P152">
        <v>375</v>
      </c>
      <c r="Q152">
        <v>588</v>
      </c>
      <c r="R152">
        <v>213</v>
      </c>
      <c r="S152">
        <v>282</v>
      </c>
      <c r="T152">
        <v>406</v>
      </c>
      <c r="U152">
        <v>411</v>
      </c>
      <c r="V152">
        <v>500</v>
      </c>
      <c r="W152">
        <v>2.79</v>
      </c>
    </row>
    <row r="153" spans="1:23" x14ac:dyDescent="0.25">
      <c r="A153" t="s">
        <v>33</v>
      </c>
      <c r="B153">
        <v>6</v>
      </c>
      <c r="C153">
        <v>23</v>
      </c>
      <c r="D153">
        <v>2007</v>
      </c>
      <c r="E153">
        <v>259.10000000000002</v>
      </c>
      <c r="F153">
        <v>3.6</v>
      </c>
      <c r="G153">
        <v>1.8</v>
      </c>
      <c r="H153">
        <v>1.8</v>
      </c>
      <c r="I153">
        <v>50</v>
      </c>
      <c r="J153">
        <v>58.2</v>
      </c>
      <c r="K153">
        <v>2109</v>
      </c>
      <c r="L153">
        <v>488</v>
      </c>
      <c r="M153">
        <v>433</v>
      </c>
      <c r="N153">
        <v>542</v>
      </c>
      <c r="O153">
        <v>109</v>
      </c>
      <c r="P153">
        <v>384</v>
      </c>
      <c r="Q153">
        <v>579</v>
      </c>
      <c r="R153">
        <v>195</v>
      </c>
      <c r="S153">
        <v>282</v>
      </c>
      <c r="T153">
        <v>406</v>
      </c>
      <c r="U153">
        <v>411</v>
      </c>
      <c r="V153">
        <v>500</v>
      </c>
      <c r="W153">
        <v>2.79</v>
      </c>
    </row>
    <row r="154" spans="1:23" x14ac:dyDescent="0.25">
      <c r="A154" t="s">
        <v>33</v>
      </c>
      <c r="B154">
        <v>6</v>
      </c>
      <c r="C154">
        <v>24</v>
      </c>
      <c r="D154">
        <v>2008</v>
      </c>
      <c r="E154">
        <v>264.8</v>
      </c>
      <c r="F154">
        <v>5.7</v>
      </c>
      <c r="G154">
        <v>4.8</v>
      </c>
      <c r="H154">
        <v>0.9</v>
      </c>
      <c r="I154">
        <v>15</v>
      </c>
      <c r="J154">
        <v>93.8</v>
      </c>
      <c r="K154">
        <v>2202.9</v>
      </c>
      <c r="L154">
        <v>424</v>
      </c>
      <c r="M154">
        <v>407</v>
      </c>
      <c r="N154">
        <v>511</v>
      </c>
      <c r="O154">
        <v>104</v>
      </c>
      <c r="P154">
        <v>346</v>
      </c>
      <c r="Q154">
        <v>522</v>
      </c>
      <c r="R154">
        <v>176</v>
      </c>
      <c r="S154">
        <v>282</v>
      </c>
      <c r="T154">
        <v>406</v>
      </c>
      <c r="U154">
        <v>411</v>
      </c>
      <c r="V154">
        <v>500</v>
      </c>
      <c r="W154">
        <v>2.79</v>
      </c>
    </row>
    <row r="155" spans="1:23" x14ac:dyDescent="0.25">
      <c r="A155" t="s">
        <v>33</v>
      </c>
      <c r="B155">
        <v>6</v>
      </c>
      <c r="C155">
        <v>25</v>
      </c>
      <c r="D155">
        <v>2009</v>
      </c>
      <c r="E155">
        <v>273.8</v>
      </c>
      <c r="F155">
        <v>9</v>
      </c>
      <c r="G155">
        <v>7.2</v>
      </c>
      <c r="H155">
        <v>1.8</v>
      </c>
      <c r="I155">
        <v>20</v>
      </c>
      <c r="J155">
        <v>152.30000000000001</v>
      </c>
      <c r="K155">
        <v>2355.1</v>
      </c>
      <c r="L155">
        <v>431</v>
      </c>
      <c r="M155">
        <v>408</v>
      </c>
      <c r="N155">
        <v>521</v>
      </c>
      <c r="O155">
        <v>113</v>
      </c>
      <c r="P155">
        <v>323</v>
      </c>
      <c r="Q155">
        <v>554</v>
      </c>
      <c r="R155">
        <v>231</v>
      </c>
      <c r="S155">
        <v>282</v>
      </c>
      <c r="T155">
        <v>406</v>
      </c>
      <c r="U155">
        <v>411</v>
      </c>
      <c r="V155">
        <v>500</v>
      </c>
      <c r="W155">
        <v>2.79</v>
      </c>
    </row>
    <row r="156" spans="1:23" x14ac:dyDescent="0.25">
      <c r="A156" t="s">
        <v>33</v>
      </c>
      <c r="B156">
        <v>6</v>
      </c>
      <c r="C156">
        <v>26</v>
      </c>
      <c r="D156">
        <v>2010</v>
      </c>
      <c r="E156">
        <v>281</v>
      </c>
      <c r="F156">
        <v>7.2</v>
      </c>
      <c r="G156">
        <v>5.0999999999999996</v>
      </c>
      <c r="H156">
        <v>2.1</v>
      </c>
      <c r="I156">
        <v>29</v>
      </c>
      <c r="J156">
        <v>125.5</v>
      </c>
      <c r="K156">
        <v>2480.6</v>
      </c>
      <c r="L156">
        <v>435</v>
      </c>
      <c r="M156">
        <v>390</v>
      </c>
      <c r="N156">
        <v>545</v>
      </c>
      <c r="O156">
        <v>155</v>
      </c>
      <c r="P156">
        <v>310</v>
      </c>
      <c r="Q156">
        <v>577</v>
      </c>
      <c r="R156">
        <v>267</v>
      </c>
      <c r="S156">
        <v>282</v>
      </c>
      <c r="T156">
        <v>406</v>
      </c>
      <c r="U156">
        <v>411</v>
      </c>
      <c r="V156">
        <v>500</v>
      </c>
      <c r="W156">
        <v>2.79</v>
      </c>
    </row>
    <row r="157" spans="1:23" x14ac:dyDescent="0.25">
      <c r="A157" t="s">
        <v>33</v>
      </c>
      <c r="B157">
        <v>6</v>
      </c>
      <c r="C157">
        <v>27</v>
      </c>
      <c r="D157">
        <v>2011</v>
      </c>
      <c r="E157">
        <v>287.3</v>
      </c>
      <c r="F157">
        <v>6.3</v>
      </c>
      <c r="G157">
        <v>5.0999999999999996</v>
      </c>
      <c r="H157">
        <v>1.2</v>
      </c>
      <c r="I157">
        <v>19</v>
      </c>
      <c r="J157">
        <v>112.5</v>
      </c>
      <c r="K157">
        <v>2593.1</v>
      </c>
      <c r="L157">
        <v>409</v>
      </c>
      <c r="M157">
        <v>378</v>
      </c>
      <c r="N157">
        <v>540</v>
      </c>
      <c r="O157">
        <v>162</v>
      </c>
      <c r="P157">
        <v>315</v>
      </c>
      <c r="Q157">
        <v>579</v>
      </c>
      <c r="R157">
        <v>264</v>
      </c>
      <c r="S157">
        <v>282</v>
      </c>
      <c r="T157">
        <v>406</v>
      </c>
      <c r="U157">
        <v>411</v>
      </c>
      <c r="V157">
        <v>500</v>
      </c>
      <c r="W157">
        <v>2.79</v>
      </c>
    </row>
    <row r="158" spans="1:23" x14ac:dyDescent="0.25">
      <c r="A158" t="s">
        <v>33</v>
      </c>
      <c r="B158">
        <v>6</v>
      </c>
      <c r="C158">
        <v>28</v>
      </c>
      <c r="D158">
        <v>2012</v>
      </c>
      <c r="E158">
        <v>290</v>
      </c>
      <c r="F158">
        <v>2.7</v>
      </c>
      <c r="G158">
        <v>2.4</v>
      </c>
      <c r="H158">
        <v>0.3</v>
      </c>
      <c r="I158">
        <v>11</v>
      </c>
      <c r="J158">
        <v>49</v>
      </c>
      <c r="K158">
        <v>2642.1</v>
      </c>
      <c r="L158">
        <v>409</v>
      </c>
      <c r="M158">
        <v>393</v>
      </c>
      <c r="N158">
        <v>538</v>
      </c>
      <c r="O158">
        <v>145</v>
      </c>
      <c r="P158">
        <v>305</v>
      </c>
      <c r="Q158">
        <v>538</v>
      </c>
      <c r="R158">
        <v>233</v>
      </c>
      <c r="S158">
        <v>282</v>
      </c>
      <c r="T158">
        <v>406</v>
      </c>
      <c r="U158">
        <v>411</v>
      </c>
      <c r="V158">
        <v>500</v>
      </c>
      <c r="W158">
        <v>2.79</v>
      </c>
    </row>
    <row r="159" spans="1:23" x14ac:dyDescent="0.25">
      <c r="A159" t="s">
        <v>33</v>
      </c>
      <c r="B159">
        <v>7</v>
      </c>
      <c r="C159">
        <v>3</v>
      </c>
      <c r="D159">
        <v>1987</v>
      </c>
      <c r="E159">
        <v>25.6</v>
      </c>
      <c r="F159">
        <v>25.6</v>
      </c>
      <c r="G159">
        <v>18.600000000000001</v>
      </c>
      <c r="H159">
        <v>0</v>
      </c>
      <c r="I159">
        <v>0</v>
      </c>
      <c r="J159">
        <v>20.6</v>
      </c>
      <c r="K159">
        <v>20.6</v>
      </c>
      <c r="L159">
        <v>335</v>
      </c>
      <c r="M159">
        <v>335</v>
      </c>
      <c r="P159">
        <v>130</v>
      </c>
      <c r="Q159">
        <v>478</v>
      </c>
      <c r="R159">
        <v>348</v>
      </c>
      <c r="S159">
        <v>220.2</v>
      </c>
      <c r="T159">
        <v>418</v>
      </c>
      <c r="U159">
        <v>420</v>
      </c>
      <c r="V159">
        <v>500</v>
      </c>
      <c r="W159">
        <v>2.79</v>
      </c>
    </row>
    <row r="160" spans="1:23" x14ac:dyDescent="0.25">
      <c r="A160" t="s">
        <v>33</v>
      </c>
      <c r="B160">
        <v>7</v>
      </c>
      <c r="C160">
        <v>4</v>
      </c>
      <c r="D160">
        <v>1988</v>
      </c>
      <c r="E160">
        <v>47.8</v>
      </c>
      <c r="F160">
        <v>22.2</v>
      </c>
      <c r="G160">
        <v>22.2</v>
      </c>
      <c r="H160">
        <v>0</v>
      </c>
      <c r="I160">
        <v>0</v>
      </c>
      <c r="J160">
        <v>51.2</v>
      </c>
      <c r="K160">
        <v>71.8</v>
      </c>
      <c r="L160">
        <v>340</v>
      </c>
      <c r="M160">
        <v>340</v>
      </c>
      <c r="P160">
        <v>247</v>
      </c>
      <c r="Q160">
        <v>492</v>
      </c>
      <c r="R160">
        <v>245</v>
      </c>
      <c r="S160">
        <v>220.2</v>
      </c>
      <c r="T160">
        <v>418</v>
      </c>
      <c r="U160">
        <v>420</v>
      </c>
      <c r="V160">
        <v>500</v>
      </c>
      <c r="W160">
        <v>2.79</v>
      </c>
    </row>
    <row r="161" spans="1:23" x14ac:dyDescent="0.25">
      <c r="A161" t="s">
        <v>33</v>
      </c>
      <c r="B161">
        <v>7</v>
      </c>
      <c r="C161">
        <v>5</v>
      </c>
      <c r="D161">
        <v>1989</v>
      </c>
      <c r="E161">
        <v>58.9</v>
      </c>
      <c r="F161">
        <v>11.1</v>
      </c>
      <c r="G161">
        <v>10.5</v>
      </c>
      <c r="H161">
        <v>0.6</v>
      </c>
      <c r="I161">
        <v>5</v>
      </c>
      <c r="J161">
        <v>37.200000000000003</v>
      </c>
      <c r="K161">
        <v>109</v>
      </c>
      <c r="L161">
        <v>356</v>
      </c>
      <c r="M161">
        <v>347</v>
      </c>
      <c r="N161">
        <v>527</v>
      </c>
      <c r="O161">
        <v>180</v>
      </c>
      <c r="P161">
        <v>294</v>
      </c>
      <c r="Q161">
        <v>549</v>
      </c>
      <c r="R161">
        <v>255</v>
      </c>
      <c r="S161">
        <v>220.2</v>
      </c>
      <c r="T161">
        <v>418</v>
      </c>
      <c r="U161">
        <v>420</v>
      </c>
      <c r="V161">
        <v>500</v>
      </c>
      <c r="W161">
        <v>2.79</v>
      </c>
    </row>
    <row r="162" spans="1:23" x14ac:dyDescent="0.25">
      <c r="A162" t="s">
        <v>33</v>
      </c>
      <c r="B162">
        <v>7</v>
      </c>
      <c r="C162">
        <v>6</v>
      </c>
      <c r="D162">
        <v>1990</v>
      </c>
      <c r="E162">
        <v>69.7</v>
      </c>
      <c r="F162">
        <v>10.8</v>
      </c>
      <c r="G162">
        <v>9.9</v>
      </c>
      <c r="H162">
        <v>0.9</v>
      </c>
      <c r="I162">
        <v>8</v>
      </c>
      <c r="J162">
        <v>43.6</v>
      </c>
      <c r="K162">
        <v>152.6</v>
      </c>
      <c r="L162">
        <v>360</v>
      </c>
      <c r="M162">
        <v>343</v>
      </c>
      <c r="N162">
        <v>553</v>
      </c>
      <c r="O162">
        <v>210</v>
      </c>
      <c r="P162">
        <v>278</v>
      </c>
      <c r="Q162">
        <v>566</v>
      </c>
      <c r="R162">
        <v>288</v>
      </c>
      <c r="S162">
        <v>220.2</v>
      </c>
      <c r="T162">
        <v>418</v>
      </c>
      <c r="U162">
        <v>420</v>
      </c>
      <c r="V162">
        <v>500</v>
      </c>
      <c r="W162">
        <v>2.79</v>
      </c>
    </row>
    <row r="163" spans="1:23" x14ac:dyDescent="0.25">
      <c r="A163" t="s">
        <v>33</v>
      </c>
      <c r="B163">
        <v>7</v>
      </c>
      <c r="C163">
        <v>7</v>
      </c>
      <c r="D163">
        <v>1991</v>
      </c>
      <c r="E163">
        <v>81.400000000000006</v>
      </c>
      <c r="F163">
        <v>11.7</v>
      </c>
      <c r="G163">
        <v>10.199999999999999</v>
      </c>
      <c r="H163">
        <v>1.5</v>
      </c>
      <c r="I163">
        <v>12</v>
      </c>
      <c r="J163">
        <v>55.5</v>
      </c>
      <c r="K163">
        <v>208.2</v>
      </c>
      <c r="L163">
        <v>389</v>
      </c>
      <c r="M163">
        <v>370</v>
      </c>
      <c r="N163">
        <v>515</v>
      </c>
      <c r="O163">
        <v>145</v>
      </c>
      <c r="P163">
        <v>304</v>
      </c>
      <c r="Q163">
        <v>531</v>
      </c>
      <c r="R163">
        <v>227</v>
      </c>
      <c r="S163">
        <v>220.2</v>
      </c>
      <c r="T163">
        <v>418</v>
      </c>
      <c r="U163">
        <v>420</v>
      </c>
      <c r="V163">
        <v>500</v>
      </c>
      <c r="W163">
        <v>2.79</v>
      </c>
    </row>
    <row r="164" spans="1:23" x14ac:dyDescent="0.25">
      <c r="A164" t="s">
        <v>33</v>
      </c>
      <c r="B164">
        <v>7</v>
      </c>
      <c r="C164">
        <v>8</v>
      </c>
      <c r="D164">
        <v>1992</v>
      </c>
      <c r="E164">
        <v>97.6</v>
      </c>
      <c r="F164">
        <v>16.2</v>
      </c>
      <c r="G164">
        <v>15.3</v>
      </c>
      <c r="H164">
        <v>0.9</v>
      </c>
      <c r="I164">
        <v>5</v>
      </c>
      <c r="J164">
        <v>91.1</v>
      </c>
      <c r="K164">
        <v>299.3</v>
      </c>
      <c r="L164">
        <v>375</v>
      </c>
      <c r="M164">
        <v>366</v>
      </c>
      <c r="N164">
        <v>529</v>
      </c>
      <c r="O164">
        <v>163</v>
      </c>
      <c r="P164">
        <v>313</v>
      </c>
      <c r="Q164">
        <v>554</v>
      </c>
      <c r="R164">
        <v>241</v>
      </c>
      <c r="S164">
        <v>220.2</v>
      </c>
      <c r="T164">
        <v>418</v>
      </c>
      <c r="U164">
        <v>420</v>
      </c>
      <c r="V164">
        <v>500</v>
      </c>
      <c r="W164">
        <v>2.79</v>
      </c>
    </row>
    <row r="165" spans="1:23" x14ac:dyDescent="0.25">
      <c r="A165" t="s">
        <v>33</v>
      </c>
      <c r="B165">
        <v>7</v>
      </c>
      <c r="C165">
        <v>9</v>
      </c>
      <c r="D165">
        <v>1993</v>
      </c>
      <c r="E165">
        <v>109.9</v>
      </c>
      <c r="F165">
        <v>12.3</v>
      </c>
      <c r="G165">
        <v>11.4</v>
      </c>
      <c r="H165">
        <v>0.9</v>
      </c>
      <c r="I165">
        <v>7</v>
      </c>
      <c r="J165">
        <v>80.2</v>
      </c>
      <c r="K165">
        <v>379.4</v>
      </c>
      <c r="L165">
        <v>390</v>
      </c>
      <c r="M165">
        <v>380</v>
      </c>
      <c r="N165">
        <v>520</v>
      </c>
      <c r="O165">
        <v>140</v>
      </c>
      <c r="P165">
        <v>311</v>
      </c>
      <c r="Q165">
        <v>539</v>
      </c>
      <c r="R165">
        <v>228</v>
      </c>
      <c r="S165">
        <v>220.2</v>
      </c>
      <c r="T165">
        <v>418</v>
      </c>
      <c r="U165">
        <v>420</v>
      </c>
      <c r="V165">
        <v>500</v>
      </c>
      <c r="W165">
        <v>2.79</v>
      </c>
    </row>
    <row r="166" spans="1:23" x14ac:dyDescent="0.25">
      <c r="A166" t="s">
        <v>33</v>
      </c>
      <c r="B166">
        <v>7</v>
      </c>
      <c r="C166">
        <v>10</v>
      </c>
      <c r="D166">
        <v>1994</v>
      </c>
      <c r="E166">
        <v>121.9</v>
      </c>
      <c r="F166">
        <v>12</v>
      </c>
      <c r="G166">
        <v>10.8</v>
      </c>
      <c r="H166">
        <v>1.2</v>
      </c>
      <c r="I166">
        <v>10</v>
      </c>
      <c r="J166">
        <v>87.4</v>
      </c>
      <c r="K166">
        <v>466.8</v>
      </c>
      <c r="L166">
        <v>401</v>
      </c>
      <c r="M166">
        <v>386</v>
      </c>
      <c r="N166">
        <v>529</v>
      </c>
      <c r="O166">
        <v>143</v>
      </c>
      <c r="P166">
        <v>301</v>
      </c>
      <c r="Q166">
        <v>545</v>
      </c>
      <c r="R166">
        <v>244</v>
      </c>
      <c r="S166">
        <v>220.2</v>
      </c>
      <c r="T166">
        <v>418</v>
      </c>
      <c r="U166">
        <v>420</v>
      </c>
      <c r="V166">
        <v>500</v>
      </c>
      <c r="W166">
        <v>2.79</v>
      </c>
    </row>
    <row r="167" spans="1:23" x14ac:dyDescent="0.25">
      <c r="A167" t="s">
        <v>33</v>
      </c>
      <c r="B167">
        <v>7</v>
      </c>
      <c r="C167">
        <v>11</v>
      </c>
      <c r="D167">
        <v>1995</v>
      </c>
      <c r="E167">
        <v>130.30000000000001</v>
      </c>
      <c r="F167">
        <v>8.4</v>
      </c>
      <c r="G167">
        <v>7.2</v>
      </c>
      <c r="H167">
        <v>1.2</v>
      </c>
      <c r="I167">
        <v>14</v>
      </c>
      <c r="J167">
        <v>66.599999999999994</v>
      </c>
      <c r="K167">
        <v>533.4</v>
      </c>
      <c r="L167">
        <v>408</v>
      </c>
      <c r="M167">
        <v>391</v>
      </c>
      <c r="N167">
        <v>509</v>
      </c>
      <c r="O167">
        <v>118</v>
      </c>
      <c r="P167">
        <v>313</v>
      </c>
      <c r="Q167">
        <v>523</v>
      </c>
      <c r="R167">
        <v>210</v>
      </c>
      <c r="S167">
        <v>220.2</v>
      </c>
      <c r="T167">
        <v>418</v>
      </c>
      <c r="U167">
        <v>420</v>
      </c>
      <c r="V167">
        <v>500</v>
      </c>
      <c r="W167">
        <v>2.79</v>
      </c>
    </row>
    <row r="168" spans="1:23" x14ac:dyDescent="0.25">
      <c r="A168" t="s">
        <v>33</v>
      </c>
      <c r="B168">
        <v>7</v>
      </c>
      <c r="C168">
        <v>12</v>
      </c>
      <c r="D168">
        <v>1996</v>
      </c>
      <c r="E168">
        <v>138.4</v>
      </c>
      <c r="F168">
        <v>8.1</v>
      </c>
      <c r="G168">
        <v>7.2</v>
      </c>
      <c r="H168">
        <v>0.9</v>
      </c>
      <c r="I168">
        <v>11</v>
      </c>
      <c r="J168">
        <v>68.400000000000006</v>
      </c>
      <c r="K168">
        <v>601.79999999999995</v>
      </c>
      <c r="L168">
        <v>401</v>
      </c>
      <c r="M168">
        <v>384</v>
      </c>
      <c r="N168">
        <v>536</v>
      </c>
      <c r="O168">
        <v>152</v>
      </c>
      <c r="P168">
        <v>339</v>
      </c>
      <c r="Q168">
        <v>550</v>
      </c>
      <c r="R168">
        <v>211</v>
      </c>
      <c r="S168">
        <v>220.2</v>
      </c>
      <c r="T168">
        <v>418</v>
      </c>
      <c r="U168">
        <v>420</v>
      </c>
      <c r="V168">
        <v>500</v>
      </c>
      <c r="W168">
        <v>2.79</v>
      </c>
    </row>
    <row r="169" spans="1:23" x14ac:dyDescent="0.25">
      <c r="A169" t="s">
        <v>33</v>
      </c>
      <c r="B169">
        <v>7</v>
      </c>
      <c r="C169">
        <v>13</v>
      </c>
      <c r="D169">
        <v>1997</v>
      </c>
      <c r="E169">
        <v>148.6</v>
      </c>
      <c r="F169">
        <v>10.199999999999999</v>
      </c>
      <c r="G169">
        <v>9</v>
      </c>
      <c r="H169">
        <v>1.2</v>
      </c>
      <c r="I169">
        <v>11</v>
      </c>
      <c r="J169">
        <v>92</v>
      </c>
      <c r="K169">
        <v>693.7</v>
      </c>
      <c r="L169">
        <v>406</v>
      </c>
      <c r="M169">
        <v>389</v>
      </c>
      <c r="N169">
        <v>531</v>
      </c>
      <c r="O169">
        <v>142</v>
      </c>
      <c r="P169">
        <v>325</v>
      </c>
      <c r="Q169">
        <v>549</v>
      </c>
      <c r="R169">
        <v>224</v>
      </c>
      <c r="S169">
        <v>220.2</v>
      </c>
      <c r="T169">
        <v>418</v>
      </c>
      <c r="U169">
        <v>420</v>
      </c>
      <c r="V169">
        <v>500</v>
      </c>
      <c r="W169">
        <v>2.79</v>
      </c>
    </row>
    <row r="170" spans="1:23" x14ac:dyDescent="0.25">
      <c r="A170" t="s">
        <v>33</v>
      </c>
      <c r="B170">
        <v>7</v>
      </c>
      <c r="C170">
        <v>14</v>
      </c>
      <c r="D170">
        <v>1998</v>
      </c>
      <c r="E170">
        <v>154.9</v>
      </c>
      <c r="F170">
        <v>6.3</v>
      </c>
      <c r="G170">
        <v>4.8</v>
      </c>
      <c r="H170">
        <v>1.5</v>
      </c>
      <c r="I170">
        <v>23</v>
      </c>
      <c r="J170">
        <v>60.1</v>
      </c>
      <c r="K170">
        <v>753.8</v>
      </c>
      <c r="L170">
        <v>420</v>
      </c>
      <c r="M170">
        <v>379</v>
      </c>
      <c r="N170">
        <v>552</v>
      </c>
      <c r="O170">
        <v>173</v>
      </c>
      <c r="P170">
        <v>322</v>
      </c>
      <c r="Q170">
        <v>585</v>
      </c>
      <c r="R170">
        <v>263</v>
      </c>
      <c r="S170">
        <v>220.2</v>
      </c>
      <c r="T170">
        <v>418</v>
      </c>
      <c r="U170">
        <v>420</v>
      </c>
      <c r="V170">
        <v>500</v>
      </c>
      <c r="W170">
        <v>2.79</v>
      </c>
    </row>
    <row r="171" spans="1:23" x14ac:dyDescent="0.25">
      <c r="A171" t="s">
        <v>33</v>
      </c>
      <c r="B171">
        <v>7</v>
      </c>
      <c r="C171">
        <v>15</v>
      </c>
      <c r="D171">
        <v>1999</v>
      </c>
      <c r="E171">
        <v>162.69999999999999</v>
      </c>
      <c r="F171">
        <v>7.8</v>
      </c>
      <c r="G171">
        <v>6.9</v>
      </c>
      <c r="H171">
        <v>0.9</v>
      </c>
      <c r="I171">
        <v>11</v>
      </c>
      <c r="J171">
        <v>77.8</v>
      </c>
      <c r="K171">
        <v>831.6</v>
      </c>
      <c r="L171">
        <v>435</v>
      </c>
      <c r="M171">
        <v>422</v>
      </c>
      <c r="N171">
        <v>537</v>
      </c>
      <c r="O171">
        <v>115</v>
      </c>
      <c r="P171">
        <v>351</v>
      </c>
      <c r="Q171">
        <v>569</v>
      </c>
      <c r="R171">
        <v>218</v>
      </c>
      <c r="S171">
        <v>220.2</v>
      </c>
      <c r="T171">
        <v>418</v>
      </c>
      <c r="U171">
        <v>420</v>
      </c>
      <c r="V171">
        <v>500</v>
      </c>
      <c r="W171">
        <v>2.79</v>
      </c>
    </row>
    <row r="172" spans="1:23" x14ac:dyDescent="0.25">
      <c r="A172" t="s">
        <v>33</v>
      </c>
      <c r="B172">
        <v>7</v>
      </c>
      <c r="C172">
        <v>16</v>
      </c>
      <c r="D172">
        <v>2000</v>
      </c>
      <c r="E172">
        <v>169</v>
      </c>
      <c r="F172">
        <v>6.3</v>
      </c>
      <c r="G172">
        <v>6</v>
      </c>
      <c r="H172">
        <v>0.3</v>
      </c>
      <c r="I172">
        <v>4</v>
      </c>
      <c r="J172">
        <v>65.7</v>
      </c>
      <c r="K172">
        <v>897.3</v>
      </c>
      <c r="L172">
        <v>398</v>
      </c>
      <c r="M172">
        <v>390</v>
      </c>
      <c r="N172">
        <v>557</v>
      </c>
      <c r="O172">
        <v>167</v>
      </c>
      <c r="P172">
        <v>322</v>
      </c>
      <c r="Q172">
        <v>557</v>
      </c>
      <c r="R172">
        <v>235</v>
      </c>
      <c r="S172">
        <v>220.2</v>
      </c>
      <c r="T172">
        <v>418</v>
      </c>
      <c r="U172">
        <v>420</v>
      </c>
      <c r="V172">
        <v>500</v>
      </c>
      <c r="W172">
        <v>2.79</v>
      </c>
    </row>
    <row r="173" spans="1:23" x14ac:dyDescent="0.25">
      <c r="A173" t="s">
        <v>33</v>
      </c>
      <c r="B173">
        <v>7</v>
      </c>
      <c r="C173">
        <v>17</v>
      </c>
      <c r="D173">
        <v>2001</v>
      </c>
      <c r="E173">
        <v>173.8</v>
      </c>
      <c r="F173">
        <v>4.8</v>
      </c>
      <c r="G173">
        <v>4.2</v>
      </c>
      <c r="H173">
        <v>0.6</v>
      </c>
      <c r="I173">
        <v>12</v>
      </c>
      <c r="J173">
        <v>51.7</v>
      </c>
      <c r="K173">
        <v>949</v>
      </c>
      <c r="L173">
        <v>423</v>
      </c>
      <c r="M173">
        <v>406</v>
      </c>
      <c r="N173">
        <v>543</v>
      </c>
      <c r="O173">
        <v>137</v>
      </c>
      <c r="P173">
        <v>347</v>
      </c>
      <c r="Q173">
        <v>574</v>
      </c>
      <c r="R173">
        <v>227</v>
      </c>
      <c r="S173">
        <v>220.2</v>
      </c>
      <c r="T173">
        <v>418</v>
      </c>
      <c r="U173">
        <v>420</v>
      </c>
      <c r="V173">
        <v>500</v>
      </c>
      <c r="W173">
        <v>2.79</v>
      </c>
    </row>
    <row r="174" spans="1:23" x14ac:dyDescent="0.25">
      <c r="A174" t="s">
        <v>33</v>
      </c>
      <c r="B174">
        <v>7</v>
      </c>
      <c r="C174">
        <v>18</v>
      </c>
      <c r="D174">
        <v>2002</v>
      </c>
      <c r="E174">
        <v>178.3</v>
      </c>
      <c r="F174">
        <v>4.5</v>
      </c>
      <c r="G174">
        <v>3.3</v>
      </c>
      <c r="H174">
        <v>1.2</v>
      </c>
      <c r="I174">
        <v>26</v>
      </c>
      <c r="J174">
        <v>49.8</v>
      </c>
      <c r="K174">
        <v>998.7</v>
      </c>
      <c r="L174">
        <v>432</v>
      </c>
      <c r="M174">
        <v>386</v>
      </c>
      <c r="N174">
        <v>562</v>
      </c>
      <c r="O174">
        <v>176</v>
      </c>
      <c r="P174">
        <v>335</v>
      </c>
      <c r="Q174">
        <v>606</v>
      </c>
      <c r="R174">
        <v>271</v>
      </c>
      <c r="S174">
        <v>220.2</v>
      </c>
      <c r="T174">
        <v>418</v>
      </c>
      <c r="U174">
        <v>420</v>
      </c>
      <c r="V174">
        <v>500</v>
      </c>
      <c r="W174">
        <v>2.79</v>
      </c>
    </row>
    <row r="175" spans="1:23" x14ac:dyDescent="0.25">
      <c r="A175" t="s">
        <v>33</v>
      </c>
      <c r="B175">
        <v>7</v>
      </c>
      <c r="C175">
        <v>19</v>
      </c>
      <c r="D175">
        <v>2003</v>
      </c>
      <c r="E175">
        <v>184.3</v>
      </c>
      <c r="F175">
        <v>6</v>
      </c>
      <c r="G175">
        <v>4.8</v>
      </c>
      <c r="H175">
        <v>1.2</v>
      </c>
      <c r="I175">
        <v>20</v>
      </c>
      <c r="J175">
        <v>68.3</v>
      </c>
      <c r="K175">
        <v>1067.0999999999999</v>
      </c>
      <c r="L175">
        <v>440</v>
      </c>
      <c r="M175">
        <v>415</v>
      </c>
      <c r="N175">
        <v>541</v>
      </c>
      <c r="O175">
        <v>126</v>
      </c>
      <c r="P175">
        <v>377</v>
      </c>
      <c r="Q175">
        <v>563</v>
      </c>
      <c r="R175">
        <v>186</v>
      </c>
      <c r="S175">
        <v>220.2</v>
      </c>
      <c r="T175">
        <v>418</v>
      </c>
      <c r="U175">
        <v>420</v>
      </c>
      <c r="V175">
        <v>500</v>
      </c>
      <c r="W175">
        <v>2.79</v>
      </c>
    </row>
    <row r="176" spans="1:23" x14ac:dyDescent="0.25">
      <c r="A176" t="s">
        <v>33</v>
      </c>
      <c r="B176">
        <v>7</v>
      </c>
      <c r="C176">
        <v>20</v>
      </c>
      <c r="D176">
        <v>2004</v>
      </c>
      <c r="E176">
        <v>191.5</v>
      </c>
      <c r="F176">
        <v>7.2</v>
      </c>
      <c r="G176">
        <v>6</v>
      </c>
      <c r="H176">
        <v>1.2</v>
      </c>
      <c r="I176">
        <v>16</v>
      </c>
      <c r="J176">
        <v>85</v>
      </c>
      <c r="K176">
        <v>1152.0999999999999</v>
      </c>
      <c r="L176">
        <v>433</v>
      </c>
      <c r="M176">
        <v>407</v>
      </c>
      <c r="N176">
        <v>562</v>
      </c>
      <c r="O176">
        <v>155</v>
      </c>
      <c r="P176">
        <v>342</v>
      </c>
      <c r="Q176">
        <v>597</v>
      </c>
      <c r="R176">
        <v>255</v>
      </c>
      <c r="S176">
        <v>220.2</v>
      </c>
      <c r="T176">
        <v>418</v>
      </c>
      <c r="U176">
        <v>420</v>
      </c>
      <c r="V176">
        <v>500</v>
      </c>
      <c r="W176">
        <v>2.79</v>
      </c>
    </row>
    <row r="177" spans="1:23" x14ac:dyDescent="0.25">
      <c r="A177" t="s">
        <v>33</v>
      </c>
      <c r="B177">
        <v>7</v>
      </c>
      <c r="C177">
        <v>21</v>
      </c>
      <c r="D177">
        <v>2005</v>
      </c>
      <c r="E177">
        <v>195.4</v>
      </c>
      <c r="F177">
        <v>3.9</v>
      </c>
      <c r="G177">
        <v>3.3</v>
      </c>
      <c r="H177">
        <v>0.6</v>
      </c>
      <c r="I177">
        <v>15</v>
      </c>
      <c r="J177">
        <v>47.4</v>
      </c>
      <c r="K177">
        <v>1199.5</v>
      </c>
      <c r="L177">
        <v>447</v>
      </c>
      <c r="M177">
        <v>433</v>
      </c>
      <c r="N177">
        <v>526</v>
      </c>
      <c r="O177">
        <v>93</v>
      </c>
      <c r="P177">
        <v>378</v>
      </c>
      <c r="Q177">
        <v>540</v>
      </c>
      <c r="R177">
        <v>162</v>
      </c>
      <c r="S177">
        <v>220.2</v>
      </c>
      <c r="T177">
        <v>418</v>
      </c>
      <c r="U177">
        <v>420</v>
      </c>
      <c r="V177">
        <v>500</v>
      </c>
      <c r="W177">
        <v>2.79</v>
      </c>
    </row>
    <row r="178" spans="1:23" x14ac:dyDescent="0.25">
      <c r="A178" t="s">
        <v>33</v>
      </c>
      <c r="B178">
        <v>7</v>
      </c>
      <c r="C178">
        <v>22</v>
      </c>
      <c r="D178">
        <v>2006</v>
      </c>
      <c r="E178">
        <v>199.6</v>
      </c>
      <c r="F178">
        <v>4.2</v>
      </c>
      <c r="G178">
        <v>2.4</v>
      </c>
      <c r="H178">
        <v>1.8</v>
      </c>
      <c r="I178">
        <v>42</v>
      </c>
      <c r="J178">
        <v>52.1</v>
      </c>
      <c r="K178">
        <v>1251.5999999999999</v>
      </c>
      <c r="L178">
        <v>469</v>
      </c>
      <c r="M178">
        <v>411</v>
      </c>
      <c r="N178">
        <v>546</v>
      </c>
      <c r="O178">
        <v>135</v>
      </c>
      <c r="P178">
        <v>355</v>
      </c>
      <c r="Q178">
        <v>571</v>
      </c>
      <c r="R178">
        <v>216</v>
      </c>
      <c r="S178">
        <v>220.2</v>
      </c>
      <c r="T178">
        <v>418</v>
      </c>
      <c r="U178">
        <v>420</v>
      </c>
      <c r="V178">
        <v>500</v>
      </c>
      <c r="W178">
        <v>2.79</v>
      </c>
    </row>
    <row r="179" spans="1:23" x14ac:dyDescent="0.25">
      <c r="A179" t="s">
        <v>33</v>
      </c>
      <c r="B179">
        <v>7</v>
      </c>
      <c r="C179">
        <v>23</v>
      </c>
      <c r="D179">
        <v>2007</v>
      </c>
      <c r="E179">
        <v>207.7</v>
      </c>
      <c r="F179">
        <v>8.1</v>
      </c>
      <c r="G179">
        <v>2.1</v>
      </c>
      <c r="H179">
        <v>6</v>
      </c>
      <c r="I179">
        <v>74</v>
      </c>
      <c r="J179">
        <v>103.6</v>
      </c>
      <c r="K179">
        <v>1355.3</v>
      </c>
      <c r="L179">
        <v>512</v>
      </c>
      <c r="M179">
        <v>445</v>
      </c>
      <c r="N179">
        <v>536</v>
      </c>
      <c r="O179">
        <v>91</v>
      </c>
      <c r="P179">
        <v>391</v>
      </c>
      <c r="Q179">
        <v>586</v>
      </c>
      <c r="R179">
        <v>195</v>
      </c>
      <c r="S179">
        <v>220.2</v>
      </c>
      <c r="T179">
        <v>418</v>
      </c>
      <c r="U179">
        <v>420</v>
      </c>
      <c r="V179">
        <v>500</v>
      </c>
      <c r="W179">
        <v>2.79</v>
      </c>
    </row>
    <row r="180" spans="1:23" x14ac:dyDescent="0.25">
      <c r="A180" t="s">
        <v>33</v>
      </c>
      <c r="B180">
        <v>7</v>
      </c>
      <c r="C180">
        <v>24</v>
      </c>
      <c r="D180">
        <v>2008</v>
      </c>
      <c r="E180">
        <v>216.1</v>
      </c>
      <c r="F180">
        <v>8.4</v>
      </c>
      <c r="G180">
        <v>6.6</v>
      </c>
      <c r="H180">
        <v>1.8</v>
      </c>
      <c r="I180">
        <v>21</v>
      </c>
      <c r="J180">
        <v>111.8</v>
      </c>
      <c r="K180">
        <v>1467.1</v>
      </c>
      <c r="L180">
        <v>445</v>
      </c>
      <c r="M180">
        <v>420</v>
      </c>
      <c r="N180">
        <v>537</v>
      </c>
      <c r="O180">
        <v>117</v>
      </c>
      <c r="P180">
        <v>379</v>
      </c>
      <c r="Q180">
        <v>574</v>
      </c>
      <c r="R180">
        <v>195</v>
      </c>
      <c r="S180">
        <v>220.2</v>
      </c>
      <c r="T180">
        <v>418</v>
      </c>
      <c r="U180">
        <v>420</v>
      </c>
      <c r="V180">
        <v>500</v>
      </c>
      <c r="W180">
        <v>2.79</v>
      </c>
    </row>
    <row r="181" spans="1:23" x14ac:dyDescent="0.25">
      <c r="A181" t="s">
        <v>33</v>
      </c>
      <c r="B181">
        <v>7</v>
      </c>
      <c r="C181">
        <v>25</v>
      </c>
      <c r="D181">
        <v>2009</v>
      </c>
      <c r="E181">
        <v>220.6</v>
      </c>
      <c r="F181">
        <v>4.5</v>
      </c>
      <c r="G181">
        <v>3</v>
      </c>
      <c r="H181">
        <v>1.5</v>
      </c>
      <c r="I181">
        <v>33</v>
      </c>
      <c r="J181">
        <v>61.7</v>
      </c>
      <c r="K181">
        <v>1528.8</v>
      </c>
      <c r="L181">
        <v>452</v>
      </c>
      <c r="M181">
        <v>404</v>
      </c>
      <c r="N181">
        <v>548</v>
      </c>
      <c r="O181">
        <v>144</v>
      </c>
      <c r="P181">
        <v>335</v>
      </c>
      <c r="Q181">
        <v>591</v>
      </c>
      <c r="R181">
        <v>256</v>
      </c>
      <c r="S181">
        <v>220.2</v>
      </c>
      <c r="T181">
        <v>418</v>
      </c>
      <c r="U181">
        <v>420</v>
      </c>
      <c r="V181">
        <v>500</v>
      </c>
      <c r="W181">
        <v>2.79</v>
      </c>
    </row>
    <row r="182" spans="1:23" x14ac:dyDescent="0.25">
      <c r="A182" t="s">
        <v>33</v>
      </c>
      <c r="B182">
        <v>7</v>
      </c>
      <c r="C182">
        <v>26</v>
      </c>
      <c r="D182">
        <v>2010</v>
      </c>
      <c r="E182">
        <v>223.3</v>
      </c>
      <c r="F182">
        <v>2.7</v>
      </c>
      <c r="G182">
        <v>2.4</v>
      </c>
      <c r="H182">
        <v>0.3</v>
      </c>
      <c r="I182">
        <v>11</v>
      </c>
      <c r="J182">
        <v>37.700000000000003</v>
      </c>
      <c r="K182">
        <v>1566.5</v>
      </c>
      <c r="L182">
        <v>435</v>
      </c>
      <c r="M182">
        <v>415</v>
      </c>
      <c r="N182">
        <v>596</v>
      </c>
      <c r="O182">
        <v>181</v>
      </c>
      <c r="P182">
        <v>348</v>
      </c>
      <c r="Q182">
        <v>596</v>
      </c>
      <c r="R182">
        <v>248</v>
      </c>
      <c r="S182">
        <v>220.2</v>
      </c>
      <c r="T182">
        <v>418</v>
      </c>
      <c r="U182">
        <v>420</v>
      </c>
      <c r="V182">
        <v>500</v>
      </c>
      <c r="W182">
        <v>2.79</v>
      </c>
    </row>
    <row r="183" spans="1:23" x14ac:dyDescent="0.25">
      <c r="A183" t="s">
        <v>33</v>
      </c>
      <c r="B183">
        <v>7</v>
      </c>
      <c r="C183">
        <v>27</v>
      </c>
      <c r="D183">
        <v>2011</v>
      </c>
      <c r="E183">
        <v>225.7</v>
      </c>
      <c r="F183">
        <v>2.4</v>
      </c>
      <c r="G183">
        <v>1.5</v>
      </c>
      <c r="H183">
        <v>0.9</v>
      </c>
      <c r="I183">
        <v>37</v>
      </c>
      <c r="J183">
        <v>33.9</v>
      </c>
      <c r="K183">
        <v>1600.3</v>
      </c>
      <c r="L183">
        <v>476</v>
      </c>
      <c r="M183">
        <v>436</v>
      </c>
      <c r="N183">
        <v>544</v>
      </c>
      <c r="O183">
        <v>108</v>
      </c>
      <c r="P183">
        <v>370</v>
      </c>
      <c r="Q183">
        <v>585</v>
      </c>
      <c r="R183">
        <v>215</v>
      </c>
      <c r="S183">
        <v>220.2</v>
      </c>
      <c r="T183">
        <v>418</v>
      </c>
      <c r="U183">
        <v>420</v>
      </c>
      <c r="V183">
        <v>500</v>
      </c>
      <c r="W183">
        <v>2.79</v>
      </c>
    </row>
    <row r="184" spans="1:23" x14ac:dyDescent="0.25">
      <c r="A184" t="s">
        <v>33</v>
      </c>
      <c r="B184">
        <v>7</v>
      </c>
      <c r="C184">
        <v>28</v>
      </c>
      <c r="D184">
        <v>2012</v>
      </c>
      <c r="E184">
        <v>227.2</v>
      </c>
      <c r="F184">
        <v>1.5</v>
      </c>
      <c r="G184">
        <v>0.9</v>
      </c>
      <c r="H184">
        <v>0.6</v>
      </c>
      <c r="I184">
        <v>40</v>
      </c>
      <c r="J184">
        <v>21.3</v>
      </c>
      <c r="K184">
        <v>1621.7</v>
      </c>
      <c r="L184">
        <v>511</v>
      </c>
      <c r="M184">
        <v>474</v>
      </c>
      <c r="N184">
        <v>568</v>
      </c>
      <c r="O184">
        <v>94</v>
      </c>
      <c r="P184">
        <v>452</v>
      </c>
      <c r="Q184">
        <v>586</v>
      </c>
      <c r="R184">
        <v>134</v>
      </c>
      <c r="S184">
        <v>220.2</v>
      </c>
      <c r="T184">
        <v>418</v>
      </c>
      <c r="U184">
        <v>420</v>
      </c>
      <c r="V184">
        <v>500</v>
      </c>
      <c r="W184">
        <v>2.79</v>
      </c>
    </row>
    <row r="185" spans="1:23" x14ac:dyDescent="0.25">
      <c r="A185" t="s">
        <v>33</v>
      </c>
      <c r="B185">
        <v>8</v>
      </c>
      <c r="C185">
        <v>1</v>
      </c>
      <c r="D185">
        <v>1985</v>
      </c>
      <c r="E185">
        <v>2.4</v>
      </c>
      <c r="F185">
        <v>2.4</v>
      </c>
      <c r="G185">
        <v>2.4</v>
      </c>
      <c r="H185">
        <v>0</v>
      </c>
      <c r="I185">
        <v>0</v>
      </c>
      <c r="J185">
        <v>0.2</v>
      </c>
      <c r="K185">
        <v>0.2</v>
      </c>
      <c r="L185">
        <v>412</v>
      </c>
      <c r="M185">
        <v>412</v>
      </c>
      <c r="P185">
        <v>349</v>
      </c>
      <c r="Q185">
        <v>440</v>
      </c>
      <c r="R185">
        <v>91</v>
      </c>
      <c r="S185">
        <v>222.3</v>
      </c>
      <c r="T185">
        <v>354</v>
      </c>
      <c r="U185">
        <v>355</v>
      </c>
      <c r="V185">
        <v>500</v>
      </c>
      <c r="W185">
        <v>2.79</v>
      </c>
    </row>
    <row r="186" spans="1:23" x14ac:dyDescent="0.25">
      <c r="A186" t="s">
        <v>33</v>
      </c>
      <c r="B186">
        <v>8</v>
      </c>
      <c r="C186">
        <v>2</v>
      </c>
      <c r="D186">
        <v>1986</v>
      </c>
      <c r="E186">
        <v>9.3000000000000007</v>
      </c>
      <c r="F186">
        <v>6.9</v>
      </c>
      <c r="G186">
        <v>6.9</v>
      </c>
      <c r="H186">
        <v>0</v>
      </c>
      <c r="I186">
        <v>0</v>
      </c>
      <c r="J186">
        <v>2.5</v>
      </c>
      <c r="K186">
        <v>2.7</v>
      </c>
      <c r="L186">
        <v>329</v>
      </c>
      <c r="M186">
        <v>329</v>
      </c>
      <c r="P186">
        <v>273</v>
      </c>
      <c r="Q186">
        <v>435</v>
      </c>
      <c r="R186">
        <v>162</v>
      </c>
      <c r="S186">
        <v>222.3</v>
      </c>
      <c r="T186">
        <v>354</v>
      </c>
      <c r="U186">
        <v>355</v>
      </c>
      <c r="V186">
        <v>500</v>
      </c>
      <c r="W186">
        <v>2.79</v>
      </c>
    </row>
    <row r="187" spans="1:23" x14ac:dyDescent="0.25">
      <c r="A187" t="s">
        <v>33</v>
      </c>
      <c r="B187">
        <v>8</v>
      </c>
      <c r="C187">
        <v>3</v>
      </c>
      <c r="D187">
        <v>1987</v>
      </c>
      <c r="E187">
        <v>24.6</v>
      </c>
      <c r="F187">
        <v>15.3</v>
      </c>
      <c r="G187">
        <v>15.3</v>
      </c>
      <c r="H187">
        <v>0</v>
      </c>
      <c r="I187">
        <v>0</v>
      </c>
      <c r="J187">
        <v>16.3</v>
      </c>
      <c r="K187">
        <v>19</v>
      </c>
      <c r="L187">
        <v>291</v>
      </c>
      <c r="M187">
        <v>291</v>
      </c>
      <c r="P187">
        <v>238</v>
      </c>
      <c r="Q187">
        <v>430</v>
      </c>
      <c r="R187">
        <v>192</v>
      </c>
      <c r="S187">
        <v>222.3</v>
      </c>
      <c r="T187">
        <v>354</v>
      </c>
      <c r="U187">
        <v>355</v>
      </c>
      <c r="V187">
        <v>500</v>
      </c>
      <c r="W187">
        <v>2.79</v>
      </c>
    </row>
    <row r="188" spans="1:23" x14ac:dyDescent="0.25">
      <c r="A188" t="s">
        <v>33</v>
      </c>
      <c r="B188">
        <v>8</v>
      </c>
      <c r="C188">
        <v>4</v>
      </c>
      <c r="D188">
        <v>1988</v>
      </c>
      <c r="E188">
        <v>43.8</v>
      </c>
      <c r="F188">
        <v>19.2</v>
      </c>
      <c r="G188">
        <v>19.2</v>
      </c>
      <c r="H188">
        <v>0</v>
      </c>
      <c r="I188">
        <v>0</v>
      </c>
      <c r="J188">
        <v>41.3</v>
      </c>
      <c r="K188">
        <v>60.3</v>
      </c>
      <c r="L188">
        <v>307</v>
      </c>
      <c r="M188">
        <v>307</v>
      </c>
      <c r="P188">
        <v>233</v>
      </c>
      <c r="Q188">
        <v>430</v>
      </c>
      <c r="R188">
        <v>197</v>
      </c>
      <c r="S188">
        <v>222.3</v>
      </c>
      <c r="T188">
        <v>354</v>
      </c>
      <c r="U188">
        <v>355</v>
      </c>
      <c r="V188">
        <v>500</v>
      </c>
      <c r="W188">
        <v>2.79</v>
      </c>
    </row>
    <row r="189" spans="1:23" x14ac:dyDescent="0.25">
      <c r="A189" t="s">
        <v>33</v>
      </c>
      <c r="B189">
        <v>8</v>
      </c>
      <c r="C189">
        <v>5</v>
      </c>
      <c r="D189">
        <v>1989</v>
      </c>
      <c r="E189">
        <v>61.8</v>
      </c>
      <c r="F189">
        <v>18</v>
      </c>
      <c r="G189">
        <v>18</v>
      </c>
      <c r="H189">
        <v>0</v>
      </c>
      <c r="I189">
        <v>0</v>
      </c>
      <c r="J189">
        <v>59.7</v>
      </c>
      <c r="K189">
        <v>120</v>
      </c>
      <c r="L189">
        <v>311</v>
      </c>
      <c r="M189">
        <v>311</v>
      </c>
      <c r="P189">
        <v>254</v>
      </c>
      <c r="Q189">
        <v>459</v>
      </c>
      <c r="R189">
        <v>205</v>
      </c>
      <c r="S189">
        <v>222.3</v>
      </c>
      <c r="T189">
        <v>354</v>
      </c>
      <c r="U189">
        <v>355</v>
      </c>
      <c r="V189">
        <v>500</v>
      </c>
      <c r="W189">
        <v>2.79</v>
      </c>
    </row>
    <row r="190" spans="1:23" x14ac:dyDescent="0.25">
      <c r="A190" t="s">
        <v>33</v>
      </c>
      <c r="B190">
        <v>8</v>
      </c>
      <c r="C190">
        <v>6</v>
      </c>
      <c r="D190">
        <v>1990</v>
      </c>
      <c r="E190">
        <v>77.7</v>
      </c>
      <c r="F190">
        <v>15.9</v>
      </c>
      <c r="G190">
        <v>15.6</v>
      </c>
      <c r="H190">
        <v>0.3</v>
      </c>
      <c r="I190">
        <v>1</v>
      </c>
      <c r="J190">
        <v>69.7</v>
      </c>
      <c r="K190">
        <v>189.7</v>
      </c>
      <c r="L190">
        <v>310</v>
      </c>
      <c r="M190">
        <v>306</v>
      </c>
      <c r="N190">
        <v>509</v>
      </c>
      <c r="O190">
        <v>203</v>
      </c>
      <c r="P190">
        <v>236</v>
      </c>
      <c r="Q190">
        <v>509</v>
      </c>
      <c r="R190">
        <v>273</v>
      </c>
      <c r="S190">
        <v>222.3</v>
      </c>
      <c r="T190">
        <v>354</v>
      </c>
      <c r="U190">
        <v>355</v>
      </c>
      <c r="V190">
        <v>500</v>
      </c>
      <c r="W190">
        <v>2.79</v>
      </c>
    </row>
    <row r="191" spans="1:23" x14ac:dyDescent="0.25">
      <c r="A191" t="s">
        <v>33</v>
      </c>
      <c r="B191">
        <v>8</v>
      </c>
      <c r="C191">
        <v>7</v>
      </c>
      <c r="D191">
        <v>1991</v>
      </c>
      <c r="E191">
        <v>88.8</v>
      </c>
      <c r="F191">
        <v>11.1</v>
      </c>
      <c r="G191">
        <v>9.6</v>
      </c>
      <c r="H191">
        <v>1.5</v>
      </c>
      <c r="I191">
        <v>13</v>
      </c>
      <c r="J191">
        <v>58.1</v>
      </c>
      <c r="K191">
        <v>247.7</v>
      </c>
      <c r="L191">
        <v>374</v>
      </c>
      <c r="M191">
        <v>351</v>
      </c>
      <c r="N191">
        <v>528</v>
      </c>
      <c r="O191">
        <v>177</v>
      </c>
      <c r="P191">
        <v>234</v>
      </c>
      <c r="Q191">
        <v>544</v>
      </c>
      <c r="R191">
        <v>310</v>
      </c>
      <c r="S191">
        <v>222.3</v>
      </c>
      <c r="T191">
        <v>354</v>
      </c>
      <c r="U191">
        <v>355</v>
      </c>
      <c r="V191">
        <v>500</v>
      </c>
      <c r="W191">
        <v>2.79</v>
      </c>
    </row>
    <row r="192" spans="1:23" x14ac:dyDescent="0.25">
      <c r="A192" t="s">
        <v>33</v>
      </c>
      <c r="B192">
        <v>8</v>
      </c>
      <c r="C192">
        <v>8</v>
      </c>
      <c r="D192">
        <v>1992</v>
      </c>
      <c r="E192">
        <v>106.2</v>
      </c>
      <c r="F192">
        <v>17.399999999999999</v>
      </c>
      <c r="G192">
        <v>15.9</v>
      </c>
      <c r="H192">
        <v>1.5</v>
      </c>
      <c r="I192">
        <v>8</v>
      </c>
      <c r="J192">
        <v>106.6</v>
      </c>
      <c r="K192">
        <v>354.3</v>
      </c>
      <c r="L192">
        <v>376</v>
      </c>
      <c r="M192">
        <v>364</v>
      </c>
      <c r="N192">
        <v>511</v>
      </c>
      <c r="O192">
        <v>147</v>
      </c>
      <c r="P192">
        <v>283</v>
      </c>
      <c r="Q192">
        <v>519</v>
      </c>
      <c r="R192">
        <v>236</v>
      </c>
      <c r="S192">
        <v>222.3</v>
      </c>
      <c r="T192">
        <v>354</v>
      </c>
      <c r="U192">
        <v>355</v>
      </c>
      <c r="V192">
        <v>500</v>
      </c>
      <c r="W192">
        <v>2.79</v>
      </c>
    </row>
    <row r="193" spans="1:23" x14ac:dyDescent="0.25">
      <c r="A193" t="s">
        <v>33</v>
      </c>
      <c r="B193">
        <v>8</v>
      </c>
      <c r="C193">
        <v>9</v>
      </c>
      <c r="D193">
        <v>1993</v>
      </c>
      <c r="E193">
        <v>119.1</v>
      </c>
      <c r="F193">
        <v>12.9</v>
      </c>
      <c r="G193">
        <v>12</v>
      </c>
      <c r="H193">
        <v>0.9</v>
      </c>
      <c r="I193">
        <v>6</v>
      </c>
      <c r="J193">
        <v>91.3</v>
      </c>
      <c r="K193">
        <v>445.6</v>
      </c>
      <c r="L193">
        <v>371</v>
      </c>
      <c r="M193">
        <v>360</v>
      </c>
      <c r="N193">
        <v>519</v>
      </c>
      <c r="O193">
        <v>159</v>
      </c>
      <c r="P193">
        <v>296</v>
      </c>
      <c r="Q193">
        <v>524</v>
      </c>
      <c r="R193">
        <v>228</v>
      </c>
      <c r="S193">
        <v>222.3</v>
      </c>
      <c r="T193">
        <v>354</v>
      </c>
      <c r="U193">
        <v>355</v>
      </c>
      <c r="V193">
        <v>500</v>
      </c>
      <c r="W193">
        <v>2.79</v>
      </c>
    </row>
    <row r="194" spans="1:23" x14ac:dyDescent="0.25">
      <c r="A194" t="s">
        <v>33</v>
      </c>
      <c r="B194">
        <v>8</v>
      </c>
      <c r="C194">
        <v>10</v>
      </c>
      <c r="D194">
        <v>1994</v>
      </c>
      <c r="E194">
        <v>131.1</v>
      </c>
      <c r="F194">
        <v>12</v>
      </c>
      <c r="G194">
        <v>11.1</v>
      </c>
      <c r="H194">
        <v>0.9</v>
      </c>
      <c r="I194">
        <v>7</v>
      </c>
      <c r="J194">
        <v>94.3</v>
      </c>
      <c r="K194">
        <v>540</v>
      </c>
      <c r="L194">
        <v>370</v>
      </c>
      <c r="M194">
        <v>359</v>
      </c>
      <c r="N194">
        <v>510</v>
      </c>
      <c r="O194">
        <v>151</v>
      </c>
      <c r="P194">
        <v>288</v>
      </c>
      <c r="Q194">
        <v>530</v>
      </c>
      <c r="R194">
        <v>242</v>
      </c>
      <c r="S194">
        <v>222.3</v>
      </c>
      <c r="T194">
        <v>354</v>
      </c>
      <c r="U194">
        <v>355</v>
      </c>
      <c r="V194">
        <v>500</v>
      </c>
      <c r="W194">
        <v>2.79</v>
      </c>
    </row>
    <row r="195" spans="1:23" x14ac:dyDescent="0.25">
      <c r="A195" t="s">
        <v>33</v>
      </c>
      <c r="B195">
        <v>8</v>
      </c>
      <c r="C195">
        <v>11</v>
      </c>
      <c r="D195">
        <v>1995</v>
      </c>
      <c r="E195">
        <v>142.19999999999999</v>
      </c>
      <c r="F195">
        <v>11.1</v>
      </c>
      <c r="G195">
        <v>11.1</v>
      </c>
      <c r="H195">
        <v>0</v>
      </c>
      <c r="I195">
        <v>0</v>
      </c>
      <c r="J195">
        <v>95.3</v>
      </c>
      <c r="K195">
        <v>635.29999999999995</v>
      </c>
      <c r="L195">
        <v>355</v>
      </c>
      <c r="M195">
        <v>355</v>
      </c>
      <c r="P195">
        <v>270</v>
      </c>
      <c r="Q195">
        <v>498</v>
      </c>
      <c r="R195">
        <v>228</v>
      </c>
      <c r="S195">
        <v>222.3</v>
      </c>
      <c r="T195">
        <v>354</v>
      </c>
      <c r="U195">
        <v>355</v>
      </c>
      <c r="V195">
        <v>500</v>
      </c>
      <c r="W195">
        <v>2.79</v>
      </c>
    </row>
    <row r="196" spans="1:23" x14ac:dyDescent="0.25">
      <c r="A196" t="s">
        <v>33</v>
      </c>
      <c r="B196">
        <v>8</v>
      </c>
      <c r="C196">
        <v>12</v>
      </c>
      <c r="D196">
        <v>1996</v>
      </c>
      <c r="E196">
        <v>152.4</v>
      </c>
      <c r="F196">
        <v>10.199999999999999</v>
      </c>
      <c r="G196">
        <v>9</v>
      </c>
      <c r="H196">
        <v>1.2</v>
      </c>
      <c r="I196">
        <v>11</v>
      </c>
      <c r="J196">
        <v>94.4</v>
      </c>
      <c r="K196">
        <v>729.7</v>
      </c>
      <c r="L196">
        <v>353</v>
      </c>
      <c r="M196">
        <v>331</v>
      </c>
      <c r="N196">
        <v>514</v>
      </c>
      <c r="O196">
        <v>183</v>
      </c>
      <c r="P196">
        <v>240</v>
      </c>
      <c r="Q196">
        <v>527</v>
      </c>
      <c r="R196">
        <v>287</v>
      </c>
      <c r="S196">
        <v>222.3</v>
      </c>
      <c r="T196">
        <v>354</v>
      </c>
      <c r="U196">
        <v>355</v>
      </c>
      <c r="V196">
        <v>500</v>
      </c>
      <c r="W196">
        <v>2.79</v>
      </c>
    </row>
    <row r="197" spans="1:23" x14ac:dyDescent="0.25">
      <c r="A197" t="s">
        <v>33</v>
      </c>
      <c r="B197">
        <v>8</v>
      </c>
      <c r="C197">
        <v>13</v>
      </c>
      <c r="D197">
        <v>1997</v>
      </c>
      <c r="E197">
        <v>163.19999999999999</v>
      </c>
      <c r="F197">
        <v>10.8</v>
      </c>
      <c r="G197">
        <v>10.199999999999999</v>
      </c>
      <c r="H197">
        <v>0.6</v>
      </c>
      <c r="I197">
        <v>5</v>
      </c>
      <c r="J197">
        <v>107.1</v>
      </c>
      <c r="K197">
        <v>836.7</v>
      </c>
      <c r="L197">
        <v>365</v>
      </c>
      <c r="M197">
        <v>355</v>
      </c>
      <c r="N197">
        <v>534</v>
      </c>
      <c r="O197">
        <v>179</v>
      </c>
      <c r="P197">
        <v>273</v>
      </c>
      <c r="Q197">
        <v>536</v>
      </c>
      <c r="R197">
        <v>263</v>
      </c>
      <c r="S197">
        <v>222.3</v>
      </c>
      <c r="T197">
        <v>354</v>
      </c>
      <c r="U197">
        <v>355</v>
      </c>
      <c r="V197">
        <v>500</v>
      </c>
      <c r="W197">
        <v>2.79</v>
      </c>
    </row>
    <row r="198" spans="1:23" x14ac:dyDescent="0.25">
      <c r="A198" t="s">
        <v>33</v>
      </c>
      <c r="B198">
        <v>8</v>
      </c>
      <c r="C198">
        <v>14</v>
      </c>
      <c r="D198">
        <v>1998</v>
      </c>
      <c r="E198">
        <v>169.8</v>
      </c>
      <c r="F198">
        <v>6.6</v>
      </c>
      <c r="G198">
        <v>5.4</v>
      </c>
      <c r="H198">
        <v>1.2</v>
      </c>
      <c r="I198">
        <v>18</v>
      </c>
      <c r="J198">
        <v>69</v>
      </c>
      <c r="K198">
        <v>905.8</v>
      </c>
      <c r="L198">
        <v>378</v>
      </c>
      <c r="M198">
        <v>343</v>
      </c>
      <c r="N198">
        <v>534</v>
      </c>
      <c r="O198">
        <v>191</v>
      </c>
      <c r="P198">
        <v>276</v>
      </c>
      <c r="Q198">
        <v>554</v>
      </c>
      <c r="R198">
        <v>278</v>
      </c>
      <c r="S198">
        <v>222.3</v>
      </c>
      <c r="T198">
        <v>354</v>
      </c>
      <c r="U198">
        <v>355</v>
      </c>
      <c r="V198">
        <v>500</v>
      </c>
      <c r="W198">
        <v>2.79</v>
      </c>
    </row>
    <row r="199" spans="1:23" x14ac:dyDescent="0.25">
      <c r="A199" t="s">
        <v>33</v>
      </c>
      <c r="B199">
        <v>8</v>
      </c>
      <c r="C199">
        <v>15</v>
      </c>
      <c r="D199">
        <v>1999</v>
      </c>
      <c r="E199">
        <v>178.8</v>
      </c>
      <c r="F199">
        <v>9</v>
      </c>
      <c r="G199">
        <v>9</v>
      </c>
      <c r="H199">
        <v>0</v>
      </c>
      <c r="I199">
        <v>0</v>
      </c>
      <c r="J199">
        <v>98.6</v>
      </c>
      <c r="K199">
        <v>1004.3</v>
      </c>
      <c r="L199">
        <v>361</v>
      </c>
      <c r="M199">
        <v>361</v>
      </c>
      <c r="P199">
        <v>301</v>
      </c>
      <c r="Q199">
        <v>485</v>
      </c>
      <c r="R199">
        <v>184</v>
      </c>
      <c r="S199">
        <v>222.3</v>
      </c>
      <c r="T199">
        <v>354</v>
      </c>
      <c r="U199">
        <v>355</v>
      </c>
      <c r="V199">
        <v>500</v>
      </c>
      <c r="W199">
        <v>2.79</v>
      </c>
    </row>
    <row r="200" spans="1:23" x14ac:dyDescent="0.25">
      <c r="A200" t="s">
        <v>33</v>
      </c>
      <c r="B200">
        <v>8</v>
      </c>
      <c r="C200">
        <v>16</v>
      </c>
      <c r="D200">
        <v>2000</v>
      </c>
      <c r="E200">
        <v>185.1</v>
      </c>
      <c r="F200">
        <v>6.3</v>
      </c>
      <c r="G200">
        <v>6.3</v>
      </c>
      <c r="H200">
        <v>0</v>
      </c>
      <c r="I200">
        <v>0</v>
      </c>
      <c r="J200">
        <v>72</v>
      </c>
      <c r="K200">
        <v>1076.4000000000001</v>
      </c>
      <c r="L200">
        <v>337</v>
      </c>
      <c r="M200">
        <v>337</v>
      </c>
      <c r="P200">
        <v>276</v>
      </c>
      <c r="Q200">
        <v>469</v>
      </c>
      <c r="R200">
        <v>193</v>
      </c>
      <c r="S200">
        <v>222.3</v>
      </c>
      <c r="T200">
        <v>354</v>
      </c>
      <c r="U200">
        <v>355</v>
      </c>
      <c r="V200">
        <v>500</v>
      </c>
      <c r="W200">
        <v>2.79</v>
      </c>
    </row>
    <row r="201" spans="1:23" x14ac:dyDescent="0.25">
      <c r="A201" t="s">
        <v>33</v>
      </c>
      <c r="B201">
        <v>8</v>
      </c>
      <c r="C201">
        <v>17</v>
      </c>
      <c r="D201">
        <v>2001</v>
      </c>
      <c r="E201">
        <v>189.6</v>
      </c>
      <c r="F201">
        <v>4.5</v>
      </c>
      <c r="G201">
        <v>4.5</v>
      </c>
      <c r="H201">
        <v>0</v>
      </c>
      <c r="I201">
        <v>0</v>
      </c>
      <c r="J201">
        <v>53</v>
      </c>
      <c r="K201">
        <v>1129.3</v>
      </c>
      <c r="L201">
        <v>336</v>
      </c>
      <c r="M201">
        <v>336</v>
      </c>
      <c r="P201">
        <v>283</v>
      </c>
      <c r="Q201">
        <v>498</v>
      </c>
      <c r="R201">
        <v>215</v>
      </c>
      <c r="S201">
        <v>222.3</v>
      </c>
      <c r="T201">
        <v>354</v>
      </c>
      <c r="U201">
        <v>355</v>
      </c>
      <c r="V201">
        <v>500</v>
      </c>
      <c r="W201">
        <v>2.79</v>
      </c>
    </row>
    <row r="202" spans="1:23" x14ac:dyDescent="0.25">
      <c r="A202" t="s">
        <v>33</v>
      </c>
      <c r="B202">
        <v>8</v>
      </c>
      <c r="C202">
        <v>18</v>
      </c>
      <c r="D202">
        <v>2002</v>
      </c>
      <c r="E202">
        <v>193.2</v>
      </c>
      <c r="F202">
        <v>3.6</v>
      </c>
      <c r="G202">
        <v>3.3</v>
      </c>
      <c r="H202">
        <v>0.3</v>
      </c>
      <c r="I202">
        <v>8</v>
      </c>
      <c r="J202">
        <v>43.3</v>
      </c>
      <c r="K202">
        <v>1172.5999999999999</v>
      </c>
      <c r="L202">
        <v>357</v>
      </c>
      <c r="M202">
        <v>342</v>
      </c>
      <c r="N202">
        <v>525</v>
      </c>
      <c r="O202">
        <v>183</v>
      </c>
      <c r="P202">
        <v>286</v>
      </c>
      <c r="Q202">
        <v>525</v>
      </c>
      <c r="R202">
        <v>239</v>
      </c>
      <c r="S202">
        <v>222.3</v>
      </c>
      <c r="T202">
        <v>354</v>
      </c>
      <c r="U202">
        <v>355</v>
      </c>
      <c r="V202">
        <v>500</v>
      </c>
      <c r="W202">
        <v>2.79</v>
      </c>
    </row>
    <row r="203" spans="1:23" x14ac:dyDescent="0.25">
      <c r="A203" t="s">
        <v>33</v>
      </c>
      <c r="B203">
        <v>8</v>
      </c>
      <c r="C203">
        <v>19</v>
      </c>
      <c r="D203">
        <v>2003</v>
      </c>
      <c r="E203">
        <v>196.8</v>
      </c>
      <c r="F203">
        <v>3.6</v>
      </c>
      <c r="G203">
        <v>3.6</v>
      </c>
      <c r="H203">
        <v>0</v>
      </c>
      <c r="I203">
        <v>0</v>
      </c>
      <c r="J203">
        <v>44.1</v>
      </c>
      <c r="K203">
        <v>1216.7</v>
      </c>
      <c r="L203">
        <v>329</v>
      </c>
      <c r="M203">
        <v>329</v>
      </c>
      <c r="P203">
        <v>291</v>
      </c>
      <c r="Q203">
        <v>429</v>
      </c>
      <c r="R203">
        <v>138</v>
      </c>
      <c r="S203">
        <v>222.3</v>
      </c>
      <c r="T203">
        <v>354</v>
      </c>
      <c r="U203">
        <v>355</v>
      </c>
      <c r="V203">
        <v>500</v>
      </c>
      <c r="W203">
        <v>2.79</v>
      </c>
    </row>
    <row r="204" spans="1:23" x14ac:dyDescent="0.25">
      <c r="A204" t="s">
        <v>33</v>
      </c>
      <c r="B204">
        <v>8</v>
      </c>
      <c r="C204">
        <v>20</v>
      </c>
      <c r="D204">
        <v>2004</v>
      </c>
      <c r="E204">
        <v>200.1</v>
      </c>
      <c r="F204">
        <v>3.3</v>
      </c>
      <c r="G204">
        <v>3.3</v>
      </c>
      <c r="H204">
        <v>0</v>
      </c>
      <c r="I204">
        <v>0</v>
      </c>
      <c r="J204">
        <v>41.1</v>
      </c>
      <c r="K204">
        <v>1257.9000000000001</v>
      </c>
      <c r="L204">
        <v>329</v>
      </c>
      <c r="M204">
        <v>329</v>
      </c>
      <c r="P204">
        <v>286</v>
      </c>
      <c r="Q204">
        <v>496</v>
      </c>
      <c r="R204">
        <v>210</v>
      </c>
      <c r="S204">
        <v>222.3</v>
      </c>
      <c r="T204">
        <v>354</v>
      </c>
      <c r="U204">
        <v>355</v>
      </c>
      <c r="V204">
        <v>500</v>
      </c>
      <c r="W204">
        <v>2.79</v>
      </c>
    </row>
    <row r="205" spans="1:23" x14ac:dyDescent="0.25">
      <c r="A205" t="s">
        <v>33</v>
      </c>
      <c r="B205">
        <v>8</v>
      </c>
      <c r="C205">
        <v>21</v>
      </c>
      <c r="D205">
        <v>2005</v>
      </c>
      <c r="E205">
        <v>203.4</v>
      </c>
      <c r="F205">
        <v>3.3</v>
      </c>
      <c r="G205">
        <v>3.3</v>
      </c>
      <c r="H205">
        <v>0</v>
      </c>
      <c r="I205">
        <v>0</v>
      </c>
      <c r="J205">
        <v>41.8</v>
      </c>
      <c r="K205">
        <v>1299.7</v>
      </c>
      <c r="L205">
        <v>324</v>
      </c>
      <c r="M205">
        <v>324</v>
      </c>
      <c r="P205">
        <v>275</v>
      </c>
      <c r="Q205">
        <v>417</v>
      </c>
      <c r="R205">
        <v>142</v>
      </c>
      <c r="S205">
        <v>222.3</v>
      </c>
      <c r="T205">
        <v>354</v>
      </c>
      <c r="U205">
        <v>355</v>
      </c>
      <c r="V205">
        <v>500</v>
      </c>
      <c r="W205">
        <v>2.79</v>
      </c>
    </row>
    <row r="206" spans="1:23" x14ac:dyDescent="0.25">
      <c r="A206" t="s">
        <v>33</v>
      </c>
      <c r="B206">
        <v>8</v>
      </c>
      <c r="C206">
        <v>22</v>
      </c>
      <c r="D206">
        <v>2006</v>
      </c>
      <c r="E206">
        <v>205.5</v>
      </c>
      <c r="F206">
        <v>2.1</v>
      </c>
      <c r="G206">
        <v>2.1</v>
      </c>
      <c r="H206">
        <v>0</v>
      </c>
      <c r="I206">
        <v>0</v>
      </c>
      <c r="J206">
        <v>27</v>
      </c>
      <c r="K206">
        <v>1326.7</v>
      </c>
      <c r="L206">
        <v>357</v>
      </c>
      <c r="M206">
        <v>357</v>
      </c>
      <c r="P206">
        <v>277</v>
      </c>
      <c r="Q206">
        <v>462</v>
      </c>
      <c r="R206">
        <v>185</v>
      </c>
      <c r="S206">
        <v>222.3</v>
      </c>
      <c r="T206">
        <v>354</v>
      </c>
      <c r="U206">
        <v>355</v>
      </c>
      <c r="V206">
        <v>500</v>
      </c>
      <c r="W206">
        <v>2.79</v>
      </c>
    </row>
    <row r="207" spans="1:23" x14ac:dyDescent="0.25">
      <c r="A207" t="s">
        <v>33</v>
      </c>
      <c r="B207">
        <v>8</v>
      </c>
      <c r="C207">
        <v>23</v>
      </c>
      <c r="D207">
        <v>2007</v>
      </c>
      <c r="E207">
        <v>207.3</v>
      </c>
      <c r="F207">
        <v>1.8</v>
      </c>
      <c r="G207">
        <v>1.8</v>
      </c>
      <c r="H207">
        <v>0</v>
      </c>
      <c r="I207">
        <v>0</v>
      </c>
      <c r="J207">
        <v>23.3</v>
      </c>
      <c r="K207">
        <v>1350</v>
      </c>
      <c r="L207">
        <v>355</v>
      </c>
      <c r="M207">
        <v>355</v>
      </c>
      <c r="P207">
        <v>306</v>
      </c>
      <c r="Q207">
        <v>445</v>
      </c>
      <c r="R207">
        <v>139</v>
      </c>
      <c r="S207">
        <v>222.3</v>
      </c>
      <c r="T207">
        <v>354</v>
      </c>
      <c r="U207">
        <v>355</v>
      </c>
      <c r="V207">
        <v>500</v>
      </c>
      <c r="W207">
        <v>2.79</v>
      </c>
    </row>
    <row r="208" spans="1:23" x14ac:dyDescent="0.25">
      <c r="A208" t="s">
        <v>33</v>
      </c>
      <c r="B208">
        <v>8</v>
      </c>
      <c r="C208">
        <v>24</v>
      </c>
      <c r="D208">
        <v>2008</v>
      </c>
      <c r="E208">
        <v>208.8</v>
      </c>
      <c r="F208">
        <v>1.5</v>
      </c>
      <c r="G208">
        <v>1.5</v>
      </c>
      <c r="H208">
        <v>0</v>
      </c>
      <c r="I208">
        <v>0</v>
      </c>
      <c r="J208">
        <v>19.600000000000001</v>
      </c>
      <c r="K208">
        <v>1369.7</v>
      </c>
      <c r="L208">
        <v>374</v>
      </c>
      <c r="M208">
        <v>374</v>
      </c>
      <c r="P208">
        <v>318</v>
      </c>
      <c r="Q208">
        <v>497</v>
      </c>
      <c r="R208">
        <v>179</v>
      </c>
      <c r="S208">
        <v>222.3</v>
      </c>
      <c r="T208">
        <v>354</v>
      </c>
      <c r="U208">
        <v>355</v>
      </c>
      <c r="V208">
        <v>500</v>
      </c>
      <c r="W208">
        <v>2.79</v>
      </c>
    </row>
    <row r="209" spans="1:23" x14ac:dyDescent="0.25">
      <c r="A209" t="s">
        <v>33</v>
      </c>
      <c r="B209">
        <v>8</v>
      </c>
      <c r="C209">
        <v>25</v>
      </c>
      <c r="D209">
        <v>2009</v>
      </c>
      <c r="E209">
        <v>210.9</v>
      </c>
      <c r="F209">
        <v>2.1</v>
      </c>
      <c r="G209">
        <v>1.8</v>
      </c>
      <c r="H209">
        <v>0.3</v>
      </c>
      <c r="I209">
        <v>14</v>
      </c>
      <c r="J209">
        <v>27.7</v>
      </c>
      <c r="K209">
        <v>1397.3</v>
      </c>
      <c r="L209">
        <v>416</v>
      </c>
      <c r="M209">
        <v>398</v>
      </c>
      <c r="N209">
        <v>523</v>
      </c>
      <c r="O209">
        <v>125</v>
      </c>
      <c r="P209">
        <v>319</v>
      </c>
      <c r="Q209">
        <v>523</v>
      </c>
      <c r="R209">
        <v>204</v>
      </c>
      <c r="S209">
        <v>222.3</v>
      </c>
      <c r="T209">
        <v>354</v>
      </c>
      <c r="U209">
        <v>355</v>
      </c>
      <c r="V209">
        <v>500</v>
      </c>
      <c r="W209">
        <v>2.79</v>
      </c>
    </row>
    <row r="210" spans="1:23" x14ac:dyDescent="0.25">
      <c r="A210" t="s">
        <v>33</v>
      </c>
      <c r="B210">
        <v>8</v>
      </c>
      <c r="C210">
        <v>26</v>
      </c>
      <c r="D210">
        <v>2010</v>
      </c>
      <c r="E210">
        <v>213.6</v>
      </c>
      <c r="F210">
        <v>2.7</v>
      </c>
      <c r="G210">
        <v>2.4</v>
      </c>
      <c r="H210">
        <v>0.3</v>
      </c>
      <c r="I210">
        <v>11</v>
      </c>
      <c r="J210">
        <v>36</v>
      </c>
      <c r="K210">
        <v>1433.4</v>
      </c>
      <c r="L210">
        <v>398</v>
      </c>
      <c r="M210">
        <v>384</v>
      </c>
      <c r="N210">
        <v>511</v>
      </c>
      <c r="O210">
        <v>127</v>
      </c>
      <c r="P210">
        <v>293</v>
      </c>
      <c r="Q210">
        <v>511</v>
      </c>
      <c r="R210">
        <v>218</v>
      </c>
      <c r="S210">
        <v>222.3</v>
      </c>
      <c r="T210">
        <v>354</v>
      </c>
      <c r="U210">
        <v>355</v>
      </c>
      <c r="V210">
        <v>500</v>
      </c>
      <c r="W210">
        <v>2.79</v>
      </c>
    </row>
    <row r="211" spans="1:23" x14ac:dyDescent="0.25">
      <c r="A211" t="s">
        <v>33</v>
      </c>
      <c r="B211">
        <v>8</v>
      </c>
      <c r="C211">
        <v>27</v>
      </c>
      <c r="D211">
        <v>2011</v>
      </c>
      <c r="E211">
        <v>217.2</v>
      </c>
      <c r="F211">
        <v>3.6</v>
      </c>
      <c r="G211">
        <v>3.3</v>
      </c>
      <c r="H211">
        <v>0.3</v>
      </c>
      <c r="I211">
        <v>8</v>
      </c>
      <c r="J211">
        <v>48.7</v>
      </c>
      <c r="K211">
        <v>1482.1</v>
      </c>
      <c r="L211">
        <v>393</v>
      </c>
      <c r="M211">
        <v>382</v>
      </c>
      <c r="N211">
        <v>508</v>
      </c>
      <c r="O211">
        <v>126</v>
      </c>
      <c r="P211">
        <v>302</v>
      </c>
      <c r="Q211">
        <v>508</v>
      </c>
      <c r="R211">
        <v>206</v>
      </c>
      <c r="S211">
        <v>222.3</v>
      </c>
      <c r="T211">
        <v>354</v>
      </c>
      <c r="U211">
        <v>355</v>
      </c>
      <c r="V211">
        <v>500</v>
      </c>
      <c r="W211">
        <v>2.79</v>
      </c>
    </row>
    <row r="212" spans="1:23" x14ac:dyDescent="0.25">
      <c r="A212" t="s">
        <v>33</v>
      </c>
      <c r="B212">
        <v>8</v>
      </c>
      <c r="C212">
        <v>28</v>
      </c>
      <c r="D212">
        <v>2012</v>
      </c>
      <c r="E212">
        <v>222.3</v>
      </c>
      <c r="F212">
        <v>5.0999999999999996</v>
      </c>
      <c r="G212">
        <v>5.0999999999999996</v>
      </c>
      <c r="H212">
        <v>0</v>
      </c>
      <c r="I212">
        <v>0</v>
      </c>
      <c r="J212">
        <v>70.400000000000006</v>
      </c>
      <c r="K212">
        <v>1552.5</v>
      </c>
      <c r="L212">
        <v>368</v>
      </c>
      <c r="M212">
        <v>368</v>
      </c>
      <c r="P212">
        <v>242</v>
      </c>
      <c r="Q212">
        <v>476</v>
      </c>
      <c r="R212">
        <v>234</v>
      </c>
      <c r="S212">
        <v>222.3</v>
      </c>
      <c r="T212">
        <v>354</v>
      </c>
      <c r="U212">
        <v>355</v>
      </c>
      <c r="V212">
        <v>500</v>
      </c>
      <c r="W212">
        <v>2.79</v>
      </c>
    </row>
    <row r="213" spans="1:23" x14ac:dyDescent="0.25">
      <c r="A213" t="s">
        <v>33</v>
      </c>
      <c r="B213">
        <v>10</v>
      </c>
      <c r="C213">
        <v>1</v>
      </c>
      <c r="D213">
        <v>1985</v>
      </c>
      <c r="E213">
        <v>4.2</v>
      </c>
      <c r="F213">
        <v>4.2</v>
      </c>
      <c r="G213">
        <v>4.2</v>
      </c>
      <c r="H213">
        <v>0</v>
      </c>
      <c r="I213">
        <v>0</v>
      </c>
      <c r="J213">
        <v>0.6</v>
      </c>
      <c r="K213">
        <v>0.6</v>
      </c>
      <c r="L213">
        <v>343</v>
      </c>
      <c r="M213">
        <v>343</v>
      </c>
      <c r="P213">
        <v>265</v>
      </c>
      <c r="Q213">
        <v>444</v>
      </c>
      <c r="R213">
        <v>179</v>
      </c>
      <c r="S213">
        <v>188.1</v>
      </c>
      <c r="T213">
        <v>437</v>
      </c>
      <c r="U213">
        <v>439</v>
      </c>
      <c r="V213">
        <v>500</v>
      </c>
      <c r="W213">
        <v>2.79</v>
      </c>
    </row>
    <row r="214" spans="1:23" x14ac:dyDescent="0.25">
      <c r="A214" t="s">
        <v>33</v>
      </c>
      <c r="B214">
        <v>10</v>
      </c>
      <c r="C214">
        <v>2</v>
      </c>
      <c r="D214">
        <v>1986</v>
      </c>
      <c r="E214">
        <v>11.1</v>
      </c>
      <c r="F214">
        <v>6.9</v>
      </c>
      <c r="G214">
        <v>6.9</v>
      </c>
      <c r="H214">
        <v>0</v>
      </c>
      <c r="I214">
        <v>0</v>
      </c>
      <c r="J214">
        <v>3.3</v>
      </c>
      <c r="K214">
        <v>3.9</v>
      </c>
      <c r="L214">
        <v>387</v>
      </c>
      <c r="M214">
        <v>387</v>
      </c>
      <c r="P214">
        <v>337</v>
      </c>
      <c r="Q214">
        <v>452</v>
      </c>
      <c r="R214">
        <v>115</v>
      </c>
      <c r="S214">
        <v>188.1</v>
      </c>
      <c r="T214">
        <v>437</v>
      </c>
      <c r="U214">
        <v>439</v>
      </c>
      <c r="V214">
        <v>500</v>
      </c>
      <c r="W214">
        <v>2.79</v>
      </c>
    </row>
    <row r="215" spans="1:23" x14ac:dyDescent="0.25">
      <c r="A215" t="s">
        <v>33</v>
      </c>
      <c r="B215">
        <v>10</v>
      </c>
      <c r="C215">
        <v>3</v>
      </c>
      <c r="D215">
        <v>1987</v>
      </c>
      <c r="E215">
        <v>22.5</v>
      </c>
      <c r="F215">
        <v>11.4</v>
      </c>
      <c r="G215">
        <v>11.4</v>
      </c>
      <c r="H215">
        <v>0</v>
      </c>
      <c r="I215">
        <v>0</v>
      </c>
      <c r="J215">
        <v>12</v>
      </c>
      <c r="K215">
        <v>15.9</v>
      </c>
      <c r="L215">
        <v>329</v>
      </c>
      <c r="M215">
        <v>329</v>
      </c>
      <c r="P215">
        <v>276</v>
      </c>
      <c r="Q215">
        <v>419</v>
      </c>
      <c r="R215">
        <v>143</v>
      </c>
      <c r="S215">
        <v>188.1</v>
      </c>
      <c r="T215">
        <v>437</v>
      </c>
      <c r="U215">
        <v>439</v>
      </c>
      <c r="V215">
        <v>500</v>
      </c>
      <c r="W215">
        <v>2.79</v>
      </c>
    </row>
    <row r="216" spans="1:23" x14ac:dyDescent="0.25">
      <c r="A216" t="s">
        <v>33</v>
      </c>
      <c r="B216">
        <v>10</v>
      </c>
      <c r="C216">
        <v>4</v>
      </c>
      <c r="D216">
        <v>1988</v>
      </c>
      <c r="E216">
        <v>30.9</v>
      </c>
      <c r="F216">
        <v>8.4</v>
      </c>
      <c r="G216">
        <v>7.8</v>
      </c>
      <c r="H216">
        <v>0.6</v>
      </c>
      <c r="I216">
        <v>7</v>
      </c>
      <c r="J216">
        <v>14.1</v>
      </c>
      <c r="K216">
        <v>30</v>
      </c>
      <c r="L216">
        <v>401</v>
      </c>
      <c r="M216">
        <v>393</v>
      </c>
      <c r="N216">
        <v>505</v>
      </c>
      <c r="O216">
        <v>112</v>
      </c>
      <c r="P216">
        <v>313</v>
      </c>
      <c r="Q216">
        <v>511</v>
      </c>
      <c r="R216">
        <v>198</v>
      </c>
      <c r="S216">
        <v>188.1</v>
      </c>
      <c r="T216">
        <v>437</v>
      </c>
      <c r="U216">
        <v>439</v>
      </c>
      <c r="V216">
        <v>500</v>
      </c>
      <c r="W216">
        <v>2.79</v>
      </c>
    </row>
    <row r="217" spans="1:23" x14ac:dyDescent="0.25">
      <c r="A217" t="s">
        <v>33</v>
      </c>
      <c r="B217">
        <v>10</v>
      </c>
      <c r="C217">
        <v>5</v>
      </c>
      <c r="D217">
        <v>1989</v>
      </c>
      <c r="E217">
        <v>51.6</v>
      </c>
      <c r="F217">
        <v>20.7</v>
      </c>
      <c r="G217">
        <v>19.5</v>
      </c>
      <c r="H217">
        <v>1.2</v>
      </c>
      <c r="I217">
        <v>5</v>
      </c>
      <c r="J217">
        <v>53.7</v>
      </c>
      <c r="K217">
        <v>83.6</v>
      </c>
      <c r="L217">
        <v>383</v>
      </c>
      <c r="M217">
        <v>375</v>
      </c>
      <c r="N217">
        <v>515</v>
      </c>
      <c r="O217">
        <v>140</v>
      </c>
      <c r="P217">
        <v>288</v>
      </c>
      <c r="Q217">
        <v>523</v>
      </c>
      <c r="R217">
        <v>235</v>
      </c>
      <c r="S217">
        <v>188.1</v>
      </c>
      <c r="T217">
        <v>437</v>
      </c>
      <c r="U217">
        <v>439</v>
      </c>
      <c r="V217">
        <v>500</v>
      </c>
      <c r="W217">
        <v>2.79</v>
      </c>
    </row>
    <row r="218" spans="1:23" x14ac:dyDescent="0.25">
      <c r="A218" t="s">
        <v>33</v>
      </c>
      <c r="B218">
        <v>10</v>
      </c>
      <c r="C218">
        <v>6</v>
      </c>
      <c r="D218">
        <v>1990</v>
      </c>
      <c r="E218">
        <v>63.9</v>
      </c>
      <c r="F218">
        <v>12.3</v>
      </c>
      <c r="G218">
        <v>11.1</v>
      </c>
      <c r="H218">
        <v>1.2</v>
      </c>
      <c r="I218">
        <v>9</v>
      </c>
      <c r="J218">
        <v>44.6</v>
      </c>
      <c r="K218">
        <v>128.30000000000001</v>
      </c>
      <c r="L218">
        <v>410</v>
      </c>
      <c r="M218">
        <v>399</v>
      </c>
      <c r="N218">
        <v>509</v>
      </c>
      <c r="O218">
        <v>110</v>
      </c>
      <c r="P218">
        <v>327</v>
      </c>
      <c r="Q218">
        <v>519</v>
      </c>
      <c r="R218">
        <v>192</v>
      </c>
      <c r="S218">
        <v>188.1</v>
      </c>
      <c r="T218">
        <v>437</v>
      </c>
      <c r="U218">
        <v>439</v>
      </c>
      <c r="V218">
        <v>500</v>
      </c>
      <c r="W218">
        <v>2.79</v>
      </c>
    </row>
    <row r="219" spans="1:23" x14ac:dyDescent="0.25">
      <c r="A219" t="s">
        <v>33</v>
      </c>
      <c r="B219">
        <v>10</v>
      </c>
      <c r="C219">
        <v>7</v>
      </c>
      <c r="D219">
        <v>1991</v>
      </c>
      <c r="E219">
        <v>77.099999999999994</v>
      </c>
      <c r="F219">
        <v>13.2</v>
      </c>
      <c r="G219">
        <v>11.4</v>
      </c>
      <c r="H219">
        <v>1.8</v>
      </c>
      <c r="I219">
        <v>13</v>
      </c>
      <c r="J219">
        <v>58.5</v>
      </c>
      <c r="K219">
        <v>186.7</v>
      </c>
      <c r="L219">
        <v>389</v>
      </c>
      <c r="M219">
        <v>366</v>
      </c>
      <c r="N219">
        <v>533</v>
      </c>
      <c r="O219">
        <v>167</v>
      </c>
      <c r="P219">
        <v>306</v>
      </c>
      <c r="Q219">
        <v>563</v>
      </c>
      <c r="R219">
        <v>257</v>
      </c>
      <c r="S219">
        <v>188.1</v>
      </c>
      <c r="T219">
        <v>437</v>
      </c>
      <c r="U219">
        <v>439</v>
      </c>
      <c r="V219">
        <v>500</v>
      </c>
      <c r="W219">
        <v>2.79</v>
      </c>
    </row>
    <row r="220" spans="1:23" x14ac:dyDescent="0.25">
      <c r="A220" t="s">
        <v>33</v>
      </c>
      <c r="B220">
        <v>10</v>
      </c>
      <c r="C220">
        <v>8</v>
      </c>
      <c r="D220">
        <v>1992</v>
      </c>
      <c r="E220">
        <v>91.2</v>
      </c>
      <c r="F220">
        <v>14.1</v>
      </c>
      <c r="G220">
        <v>12</v>
      </c>
      <c r="H220">
        <v>2.1</v>
      </c>
      <c r="I220">
        <v>14</v>
      </c>
      <c r="J220">
        <v>74.599999999999994</v>
      </c>
      <c r="K220">
        <v>261.3</v>
      </c>
      <c r="L220">
        <v>402</v>
      </c>
      <c r="M220">
        <v>378</v>
      </c>
      <c r="N220">
        <v>538</v>
      </c>
      <c r="O220">
        <v>160</v>
      </c>
      <c r="P220">
        <v>314</v>
      </c>
      <c r="Q220">
        <v>554</v>
      </c>
      <c r="R220">
        <v>240</v>
      </c>
      <c r="S220">
        <v>188.1</v>
      </c>
      <c r="T220">
        <v>437</v>
      </c>
      <c r="U220">
        <v>439</v>
      </c>
      <c r="V220">
        <v>500</v>
      </c>
      <c r="W220">
        <v>2.79</v>
      </c>
    </row>
    <row r="221" spans="1:23" x14ac:dyDescent="0.25">
      <c r="A221" t="s">
        <v>33</v>
      </c>
      <c r="B221">
        <v>10</v>
      </c>
      <c r="C221">
        <v>9</v>
      </c>
      <c r="D221">
        <v>1993</v>
      </c>
      <c r="E221">
        <v>107.7</v>
      </c>
      <c r="F221">
        <v>16.5</v>
      </c>
      <c r="G221">
        <v>13.5</v>
      </c>
      <c r="H221">
        <v>3</v>
      </c>
      <c r="I221">
        <v>18</v>
      </c>
      <c r="J221">
        <v>103.1</v>
      </c>
      <c r="K221">
        <v>364.4</v>
      </c>
      <c r="L221">
        <v>424</v>
      </c>
      <c r="M221">
        <v>400</v>
      </c>
      <c r="N221">
        <v>534</v>
      </c>
      <c r="O221">
        <v>134</v>
      </c>
      <c r="P221">
        <v>332</v>
      </c>
      <c r="Q221">
        <v>553</v>
      </c>
      <c r="R221">
        <v>221</v>
      </c>
      <c r="S221">
        <v>188.1</v>
      </c>
      <c r="T221">
        <v>437</v>
      </c>
      <c r="U221">
        <v>439</v>
      </c>
      <c r="V221">
        <v>500</v>
      </c>
      <c r="W221">
        <v>2.79</v>
      </c>
    </row>
    <row r="222" spans="1:23" x14ac:dyDescent="0.25">
      <c r="A222" t="s">
        <v>33</v>
      </c>
      <c r="B222">
        <v>10</v>
      </c>
      <c r="C222">
        <v>10</v>
      </c>
      <c r="D222">
        <v>1994</v>
      </c>
      <c r="E222">
        <v>118.2</v>
      </c>
      <c r="F222">
        <v>10.5</v>
      </c>
      <c r="G222">
        <v>9.3000000000000007</v>
      </c>
      <c r="H222">
        <v>1.2</v>
      </c>
      <c r="I222">
        <v>11</v>
      </c>
      <c r="J222">
        <v>74.5</v>
      </c>
      <c r="K222">
        <v>438.9</v>
      </c>
      <c r="L222">
        <v>404</v>
      </c>
      <c r="M222">
        <v>389</v>
      </c>
      <c r="N222">
        <v>524</v>
      </c>
      <c r="O222">
        <v>135</v>
      </c>
      <c r="P222">
        <v>325</v>
      </c>
      <c r="Q222">
        <v>537</v>
      </c>
      <c r="R222">
        <v>212</v>
      </c>
      <c r="S222">
        <v>188.1</v>
      </c>
      <c r="T222">
        <v>437</v>
      </c>
      <c r="U222">
        <v>439</v>
      </c>
      <c r="V222">
        <v>500</v>
      </c>
      <c r="W222">
        <v>2.79</v>
      </c>
    </row>
    <row r="223" spans="1:23" x14ac:dyDescent="0.25">
      <c r="A223" t="s">
        <v>33</v>
      </c>
      <c r="B223">
        <v>10</v>
      </c>
      <c r="C223">
        <v>11</v>
      </c>
      <c r="D223">
        <v>1995</v>
      </c>
      <c r="E223">
        <v>125.7</v>
      </c>
      <c r="F223">
        <v>7.5</v>
      </c>
      <c r="G223">
        <v>6.3</v>
      </c>
      <c r="H223">
        <v>1.2</v>
      </c>
      <c r="I223">
        <v>16</v>
      </c>
      <c r="J223">
        <v>57.5</v>
      </c>
      <c r="K223">
        <v>496.4</v>
      </c>
      <c r="L223">
        <v>411</v>
      </c>
      <c r="M223">
        <v>385</v>
      </c>
      <c r="N223">
        <v>552</v>
      </c>
      <c r="O223">
        <v>167</v>
      </c>
      <c r="P223">
        <v>313</v>
      </c>
      <c r="Q223">
        <v>576</v>
      </c>
      <c r="R223">
        <v>263</v>
      </c>
      <c r="S223">
        <v>188.1</v>
      </c>
      <c r="T223">
        <v>437</v>
      </c>
      <c r="U223">
        <v>439</v>
      </c>
      <c r="V223">
        <v>500</v>
      </c>
      <c r="W223">
        <v>2.79</v>
      </c>
    </row>
    <row r="224" spans="1:23" x14ac:dyDescent="0.25">
      <c r="A224" t="s">
        <v>33</v>
      </c>
      <c r="B224">
        <v>10</v>
      </c>
      <c r="C224">
        <v>12</v>
      </c>
      <c r="D224">
        <v>1996</v>
      </c>
      <c r="E224">
        <v>129.9</v>
      </c>
      <c r="F224">
        <v>4.2</v>
      </c>
      <c r="G224">
        <v>3.6</v>
      </c>
      <c r="H224">
        <v>0.6</v>
      </c>
      <c r="I224">
        <v>14</v>
      </c>
      <c r="J224">
        <v>33.700000000000003</v>
      </c>
      <c r="K224">
        <v>530.1</v>
      </c>
      <c r="L224">
        <v>424</v>
      </c>
      <c r="M224">
        <v>405</v>
      </c>
      <c r="N224">
        <v>535</v>
      </c>
      <c r="O224">
        <v>130</v>
      </c>
      <c r="P224">
        <v>340</v>
      </c>
      <c r="Q224">
        <v>566</v>
      </c>
      <c r="R224">
        <v>226</v>
      </c>
      <c r="S224">
        <v>188.1</v>
      </c>
      <c r="T224">
        <v>437</v>
      </c>
      <c r="U224">
        <v>439</v>
      </c>
      <c r="V224">
        <v>500</v>
      </c>
      <c r="W224">
        <v>2.79</v>
      </c>
    </row>
    <row r="225" spans="1:23" x14ac:dyDescent="0.25">
      <c r="A225" t="s">
        <v>33</v>
      </c>
      <c r="B225">
        <v>10</v>
      </c>
      <c r="C225">
        <v>13</v>
      </c>
      <c r="D225">
        <v>1997</v>
      </c>
      <c r="E225">
        <v>135.9</v>
      </c>
      <c r="F225">
        <v>6</v>
      </c>
      <c r="G225">
        <v>4.2</v>
      </c>
      <c r="H225">
        <v>1.8</v>
      </c>
      <c r="I225">
        <v>30</v>
      </c>
      <c r="J225">
        <v>50.1</v>
      </c>
      <c r="K225">
        <v>580.20000000000005</v>
      </c>
      <c r="L225">
        <v>444</v>
      </c>
      <c r="M225">
        <v>405</v>
      </c>
      <c r="N225">
        <v>535</v>
      </c>
      <c r="O225">
        <v>130</v>
      </c>
      <c r="P225">
        <v>375</v>
      </c>
      <c r="Q225">
        <v>580</v>
      </c>
      <c r="R225">
        <v>205</v>
      </c>
      <c r="S225">
        <v>188.1</v>
      </c>
      <c r="T225">
        <v>437</v>
      </c>
      <c r="U225">
        <v>439</v>
      </c>
      <c r="V225">
        <v>500</v>
      </c>
      <c r="W225">
        <v>2.79</v>
      </c>
    </row>
    <row r="226" spans="1:23" x14ac:dyDescent="0.25">
      <c r="A226" t="s">
        <v>33</v>
      </c>
      <c r="B226">
        <v>10</v>
      </c>
      <c r="C226">
        <v>14</v>
      </c>
      <c r="D226">
        <v>1998</v>
      </c>
      <c r="E226">
        <v>141.6</v>
      </c>
      <c r="F226">
        <v>5.7</v>
      </c>
      <c r="G226">
        <v>4.5</v>
      </c>
      <c r="H226">
        <v>1.2</v>
      </c>
      <c r="I226">
        <v>21</v>
      </c>
      <c r="J226">
        <v>49.7</v>
      </c>
      <c r="K226">
        <v>629.9</v>
      </c>
      <c r="L226">
        <v>455</v>
      </c>
      <c r="M226">
        <v>430</v>
      </c>
      <c r="N226">
        <v>549</v>
      </c>
      <c r="O226">
        <v>119</v>
      </c>
      <c r="P226">
        <v>367</v>
      </c>
      <c r="Q226">
        <v>601</v>
      </c>
      <c r="R226">
        <v>234</v>
      </c>
      <c r="S226">
        <v>188.1</v>
      </c>
      <c r="T226">
        <v>437</v>
      </c>
      <c r="U226">
        <v>439</v>
      </c>
      <c r="V226">
        <v>500</v>
      </c>
      <c r="W226">
        <v>2.79</v>
      </c>
    </row>
    <row r="227" spans="1:23" x14ac:dyDescent="0.25">
      <c r="A227" t="s">
        <v>33</v>
      </c>
      <c r="B227">
        <v>10</v>
      </c>
      <c r="C227">
        <v>15</v>
      </c>
      <c r="D227">
        <v>1999</v>
      </c>
      <c r="E227">
        <v>145.80000000000001</v>
      </c>
      <c r="F227">
        <v>4.2</v>
      </c>
      <c r="G227">
        <v>2.7</v>
      </c>
      <c r="H227">
        <v>1.5</v>
      </c>
      <c r="I227">
        <v>35</v>
      </c>
      <c r="J227">
        <v>37.9</v>
      </c>
      <c r="K227">
        <v>667.8</v>
      </c>
      <c r="L227">
        <v>471</v>
      </c>
      <c r="M227">
        <v>421</v>
      </c>
      <c r="N227">
        <v>559</v>
      </c>
      <c r="O227">
        <v>138</v>
      </c>
      <c r="P227">
        <v>387</v>
      </c>
      <c r="Q227">
        <v>596</v>
      </c>
      <c r="R227">
        <v>209</v>
      </c>
      <c r="S227">
        <v>188.1</v>
      </c>
      <c r="T227">
        <v>437</v>
      </c>
      <c r="U227">
        <v>439</v>
      </c>
      <c r="V227">
        <v>500</v>
      </c>
      <c r="W227">
        <v>2.79</v>
      </c>
    </row>
    <row r="228" spans="1:23" x14ac:dyDescent="0.25">
      <c r="A228" t="s">
        <v>33</v>
      </c>
      <c r="B228">
        <v>10</v>
      </c>
      <c r="C228">
        <v>16</v>
      </c>
      <c r="D228">
        <v>2000</v>
      </c>
      <c r="E228">
        <v>151.5</v>
      </c>
      <c r="F228">
        <v>5.7</v>
      </c>
      <c r="G228">
        <v>3.9</v>
      </c>
      <c r="H228">
        <v>1.8</v>
      </c>
      <c r="I228">
        <v>31</v>
      </c>
      <c r="J228">
        <v>53.2</v>
      </c>
      <c r="K228">
        <v>721.1</v>
      </c>
      <c r="L228">
        <v>482</v>
      </c>
      <c r="M228">
        <v>454</v>
      </c>
      <c r="N228">
        <v>543</v>
      </c>
      <c r="O228">
        <v>89</v>
      </c>
      <c r="P228">
        <v>424</v>
      </c>
      <c r="Q228">
        <v>573</v>
      </c>
      <c r="R228">
        <v>149</v>
      </c>
      <c r="S228">
        <v>188.1</v>
      </c>
      <c r="T228">
        <v>437</v>
      </c>
      <c r="U228">
        <v>439</v>
      </c>
      <c r="V228">
        <v>500</v>
      </c>
      <c r="W228">
        <v>2.79</v>
      </c>
    </row>
    <row r="229" spans="1:23" x14ac:dyDescent="0.25">
      <c r="A229" t="s">
        <v>33</v>
      </c>
      <c r="B229">
        <v>10</v>
      </c>
      <c r="C229">
        <v>17</v>
      </c>
      <c r="D229">
        <v>2001</v>
      </c>
      <c r="E229">
        <v>157.5</v>
      </c>
      <c r="F229">
        <v>6</v>
      </c>
      <c r="G229">
        <v>4.5</v>
      </c>
      <c r="H229">
        <v>1.5</v>
      </c>
      <c r="I229">
        <v>25</v>
      </c>
      <c r="J229">
        <v>58.2</v>
      </c>
      <c r="K229">
        <v>779.3</v>
      </c>
      <c r="L229">
        <v>458</v>
      </c>
      <c r="M229">
        <v>428</v>
      </c>
      <c r="N229">
        <v>550</v>
      </c>
      <c r="O229">
        <v>122</v>
      </c>
      <c r="P229">
        <v>381</v>
      </c>
      <c r="Q229">
        <v>596</v>
      </c>
      <c r="R229">
        <v>215</v>
      </c>
      <c r="S229">
        <v>188.1</v>
      </c>
      <c r="T229">
        <v>437</v>
      </c>
      <c r="U229">
        <v>439</v>
      </c>
      <c r="V229">
        <v>500</v>
      </c>
      <c r="W229">
        <v>2.79</v>
      </c>
    </row>
    <row r="230" spans="1:23" x14ac:dyDescent="0.25">
      <c r="A230" t="s">
        <v>33</v>
      </c>
      <c r="B230">
        <v>10</v>
      </c>
      <c r="C230">
        <v>18</v>
      </c>
      <c r="D230">
        <v>2002</v>
      </c>
      <c r="E230">
        <v>161.1</v>
      </c>
      <c r="F230">
        <v>3.6</v>
      </c>
      <c r="G230">
        <v>2.7</v>
      </c>
      <c r="H230">
        <v>0.9</v>
      </c>
      <c r="I230">
        <v>24</v>
      </c>
      <c r="J230">
        <v>36</v>
      </c>
      <c r="K230">
        <v>815.3</v>
      </c>
      <c r="L230">
        <v>471</v>
      </c>
      <c r="M230">
        <v>440</v>
      </c>
      <c r="N230">
        <v>563</v>
      </c>
      <c r="O230">
        <v>123</v>
      </c>
      <c r="P230">
        <v>398</v>
      </c>
      <c r="Q230">
        <v>591</v>
      </c>
      <c r="R230">
        <v>193</v>
      </c>
      <c r="S230">
        <v>188.1</v>
      </c>
      <c r="T230">
        <v>437</v>
      </c>
      <c r="U230">
        <v>439</v>
      </c>
      <c r="V230">
        <v>500</v>
      </c>
      <c r="W230">
        <v>2.79</v>
      </c>
    </row>
    <row r="231" spans="1:23" x14ac:dyDescent="0.25">
      <c r="A231" t="s">
        <v>33</v>
      </c>
      <c r="B231">
        <v>10</v>
      </c>
      <c r="C231">
        <v>19</v>
      </c>
      <c r="D231">
        <v>2003</v>
      </c>
      <c r="E231">
        <v>164.4</v>
      </c>
      <c r="F231">
        <v>3.3</v>
      </c>
      <c r="G231">
        <v>2.1</v>
      </c>
      <c r="H231">
        <v>1.2</v>
      </c>
      <c r="I231">
        <v>36</v>
      </c>
      <c r="J231">
        <v>33.700000000000003</v>
      </c>
      <c r="K231">
        <v>849.1</v>
      </c>
      <c r="L231">
        <v>470</v>
      </c>
      <c r="M231">
        <v>417</v>
      </c>
      <c r="N231">
        <v>561</v>
      </c>
      <c r="O231">
        <v>144</v>
      </c>
      <c r="P231">
        <v>381</v>
      </c>
      <c r="Q231">
        <v>597</v>
      </c>
      <c r="R231">
        <v>216</v>
      </c>
      <c r="S231">
        <v>188.1</v>
      </c>
      <c r="T231">
        <v>437</v>
      </c>
      <c r="U231">
        <v>439</v>
      </c>
      <c r="V231">
        <v>500</v>
      </c>
      <c r="W231">
        <v>2.79</v>
      </c>
    </row>
    <row r="232" spans="1:23" x14ac:dyDescent="0.25">
      <c r="A232" t="s">
        <v>33</v>
      </c>
      <c r="B232">
        <v>10</v>
      </c>
      <c r="C232">
        <v>20</v>
      </c>
      <c r="D232">
        <v>2004</v>
      </c>
      <c r="E232">
        <v>169.2</v>
      </c>
      <c r="F232">
        <v>4.8</v>
      </c>
      <c r="G232">
        <v>3.6</v>
      </c>
      <c r="H232">
        <v>1.2</v>
      </c>
      <c r="I232">
        <v>24</v>
      </c>
      <c r="J232">
        <v>50.3</v>
      </c>
      <c r="K232">
        <v>899.4</v>
      </c>
      <c r="L232">
        <v>447</v>
      </c>
      <c r="M232">
        <v>416</v>
      </c>
      <c r="N232">
        <v>541</v>
      </c>
      <c r="O232">
        <v>125</v>
      </c>
      <c r="P232">
        <v>371</v>
      </c>
      <c r="Q232">
        <v>572</v>
      </c>
      <c r="R232">
        <v>201</v>
      </c>
      <c r="S232">
        <v>188.1</v>
      </c>
      <c r="T232">
        <v>437</v>
      </c>
      <c r="U232">
        <v>439</v>
      </c>
      <c r="V232">
        <v>500</v>
      </c>
      <c r="W232">
        <v>2.79</v>
      </c>
    </row>
    <row r="233" spans="1:23" x14ac:dyDescent="0.25">
      <c r="A233" t="s">
        <v>33</v>
      </c>
      <c r="B233">
        <v>10</v>
      </c>
      <c r="C233">
        <v>21</v>
      </c>
      <c r="D233">
        <v>2005</v>
      </c>
      <c r="E233">
        <v>173.7</v>
      </c>
      <c r="F233">
        <v>4.5</v>
      </c>
      <c r="G233">
        <v>3.3</v>
      </c>
      <c r="H233">
        <v>1.2</v>
      </c>
      <c r="I233">
        <v>26</v>
      </c>
      <c r="J233">
        <v>48.5</v>
      </c>
      <c r="K233">
        <v>947.9</v>
      </c>
      <c r="L233">
        <v>476</v>
      </c>
      <c r="M233">
        <v>450</v>
      </c>
      <c r="N233">
        <v>548</v>
      </c>
      <c r="O233">
        <v>98</v>
      </c>
      <c r="P233">
        <v>413</v>
      </c>
      <c r="Q233">
        <v>564</v>
      </c>
      <c r="R233">
        <v>151</v>
      </c>
      <c r="S233">
        <v>188.1</v>
      </c>
      <c r="T233">
        <v>437</v>
      </c>
      <c r="U233">
        <v>439</v>
      </c>
      <c r="V233">
        <v>500</v>
      </c>
      <c r="W233">
        <v>2.79</v>
      </c>
    </row>
    <row r="234" spans="1:23" x14ac:dyDescent="0.25">
      <c r="A234" t="s">
        <v>33</v>
      </c>
      <c r="B234">
        <v>10</v>
      </c>
      <c r="C234">
        <v>22</v>
      </c>
      <c r="D234">
        <v>2006</v>
      </c>
      <c r="E234">
        <v>176.4</v>
      </c>
      <c r="F234">
        <v>2.7</v>
      </c>
      <c r="G234">
        <v>1.8</v>
      </c>
      <c r="H234">
        <v>0.9</v>
      </c>
      <c r="I234">
        <v>33</v>
      </c>
      <c r="J234">
        <v>29.7</v>
      </c>
      <c r="K234">
        <v>977.6</v>
      </c>
      <c r="L234">
        <v>482</v>
      </c>
      <c r="M234">
        <v>440</v>
      </c>
      <c r="N234">
        <v>566</v>
      </c>
      <c r="O234">
        <v>126</v>
      </c>
      <c r="P234">
        <v>396</v>
      </c>
      <c r="Q234">
        <v>605</v>
      </c>
      <c r="R234">
        <v>209</v>
      </c>
      <c r="S234">
        <v>188.1</v>
      </c>
      <c r="T234">
        <v>437</v>
      </c>
      <c r="U234">
        <v>439</v>
      </c>
      <c r="V234">
        <v>500</v>
      </c>
      <c r="W234">
        <v>2.79</v>
      </c>
    </row>
    <row r="235" spans="1:23" x14ac:dyDescent="0.25">
      <c r="A235" t="s">
        <v>33</v>
      </c>
      <c r="B235">
        <v>10</v>
      </c>
      <c r="C235">
        <v>23</v>
      </c>
      <c r="D235">
        <v>2007</v>
      </c>
      <c r="E235">
        <v>179.1</v>
      </c>
      <c r="F235">
        <v>2.7</v>
      </c>
      <c r="G235">
        <v>1.5</v>
      </c>
      <c r="H235">
        <v>1.2</v>
      </c>
      <c r="I235">
        <v>44</v>
      </c>
      <c r="J235">
        <v>30.2</v>
      </c>
      <c r="K235">
        <v>1007.7</v>
      </c>
      <c r="L235">
        <v>505</v>
      </c>
      <c r="M235">
        <v>460</v>
      </c>
      <c r="N235">
        <v>563</v>
      </c>
      <c r="O235">
        <v>103</v>
      </c>
      <c r="P235">
        <v>411</v>
      </c>
      <c r="Q235">
        <v>601</v>
      </c>
      <c r="R235">
        <v>190</v>
      </c>
      <c r="S235">
        <v>188.1</v>
      </c>
      <c r="T235">
        <v>437</v>
      </c>
      <c r="U235">
        <v>439</v>
      </c>
      <c r="V235">
        <v>500</v>
      </c>
      <c r="W235">
        <v>2.79</v>
      </c>
    </row>
    <row r="236" spans="1:23" x14ac:dyDescent="0.25">
      <c r="A236" t="s">
        <v>33</v>
      </c>
      <c r="B236">
        <v>10</v>
      </c>
      <c r="C236">
        <v>24</v>
      </c>
      <c r="D236">
        <v>2008</v>
      </c>
      <c r="E236">
        <v>182.1</v>
      </c>
      <c r="F236">
        <v>3</v>
      </c>
      <c r="G236">
        <v>1.8</v>
      </c>
      <c r="H236">
        <v>1.2</v>
      </c>
      <c r="I236">
        <v>40</v>
      </c>
      <c r="J236">
        <v>34</v>
      </c>
      <c r="K236">
        <v>1041.8</v>
      </c>
      <c r="L236">
        <v>491</v>
      </c>
      <c r="M236">
        <v>453</v>
      </c>
      <c r="N236">
        <v>547</v>
      </c>
      <c r="O236">
        <v>94</v>
      </c>
      <c r="P236">
        <v>423</v>
      </c>
      <c r="Q236">
        <v>584</v>
      </c>
      <c r="R236">
        <v>161</v>
      </c>
      <c r="S236">
        <v>188.1</v>
      </c>
      <c r="T236">
        <v>437</v>
      </c>
      <c r="U236">
        <v>439</v>
      </c>
      <c r="V236">
        <v>500</v>
      </c>
      <c r="W236">
        <v>2.79</v>
      </c>
    </row>
    <row r="237" spans="1:23" x14ac:dyDescent="0.25">
      <c r="A237" t="s">
        <v>33</v>
      </c>
      <c r="B237">
        <v>10</v>
      </c>
      <c r="C237">
        <v>25</v>
      </c>
      <c r="D237">
        <v>2009</v>
      </c>
      <c r="E237">
        <v>184.2</v>
      </c>
      <c r="F237">
        <v>2.1</v>
      </c>
      <c r="G237">
        <v>0.3</v>
      </c>
      <c r="H237">
        <v>1.8</v>
      </c>
      <c r="I237">
        <v>85</v>
      </c>
      <c r="J237">
        <v>24.2</v>
      </c>
      <c r="K237">
        <v>1065.9000000000001</v>
      </c>
      <c r="L237">
        <v>536</v>
      </c>
      <c r="M237">
        <v>455</v>
      </c>
      <c r="N237">
        <v>550</v>
      </c>
      <c r="O237">
        <v>95</v>
      </c>
      <c r="P237">
        <v>455</v>
      </c>
      <c r="Q237">
        <v>605</v>
      </c>
      <c r="R237">
        <v>150</v>
      </c>
      <c r="S237">
        <v>188.1</v>
      </c>
      <c r="T237">
        <v>437</v>
      </c>
      <c r="U237">
        <v>439</v>
      </c>
      <c r="V237">
        <v>500</v>
      </c>
      <c r="W237">
        <v>2.79</v>
      </c>
    </row>
    <row r="238" spans="1:23" x14ac:dyDescent="0.25">
      <c r="A238" t="s">
        <v>33</v>
      </c>
      <c r="B238">
        <v>10</v>
      </c>
      <c r="C238">
        <v>26</v>
      </c>
      <c r="D238">
        <v>2010</v>
      </c>
      <c r="E238">
        <v>188.1</v>
      </c>
      <c r="F238">
        <v>3.9</v>
      </c>
      <c r="G238">
        <v>2.4</v>
      </c>
      <c r="H238">
        <v>1.5</v>
      </c>
      <c r="I238">
        <v>38</v>
      </c>
      <c r="J238">
        <v>45.6</v>
      </c>
      <c r="K238">
        <v>1111.5</v>
      </c>
      <c r="L238">
        <v>475</v>
      </c>
      <c r="M238">
        <v>430</v>
      </c>
      <c r="N238">
        <v>547</v>
      </c>
      <c r="O238">
        <v>117</v>
      </c>
      <c r="P238">
        <v>278</v>
      </c>
      <c r="Q238">
        <v>554</v>
      </c>
      <c r="R238">
        <v>276</v>
      </c>
      <c r="S238">
        <v>188.1</v>
      </c>
      <c r="T238">
        <v>437</v>
      </c>
      <c r="U238">
        <v>439</v>
      </c>
      <c r="V238">
        <v>500</v>
      </c>
      <c r="W238">
        <v>2.79</v>
      </c>
    </row>
    <row r="239" spans="1:23" x14ac:dyDescent="0.25">
      <c r="A239" t="s">
        <v>33</v>
      </c>
      <c r="B239">
        <v>11</v>
      </c>
      <c r="C239">
        <v>4</v>
      </c>
      <c r="D239">
        <v>1989</v>
      </c>
      <c r="E239">
        <v>14.9</v>
      </c>
      <c r="F239">
        <v>14.9</v>
      </c>
      <c r="G239">
        <v>9.9</v>
      </c>
      <c r="H239">
        <v>0</v>
      </c>
      <c r="I239">
        <v>0</v>
      </c>
      <c r="J239">
        <v>7</v>
      </c>
      <c r="K239">
        <v>7</v>
      </c>
      <c r="L239">
        <v>374</v>
      </c>
      <c r="M239">
        <v>374</v>
      </c>
      <c r="P239">
        <v>327</v>
      </c>
      <c r="Q239">
        <v>423</v>
      </c>
      <c r="R239">
        <v>96</v>
      </c>
      <c r="S239">
        <v>108</v>
      </c>
      <c r="T239">
        <v>389</v>
      </c>
      <c r="U239">
        <v>391</v>
      </c>
      <c r="V239">
        <v>500</v>
      </c>
      <c r="W239">
        <v>2.79</v>
      </c>
    </row>
    <row r="240" spans="1:23" x14ac:dyDescent="0.25">
      <c r="A240" t="s">
        <v>33</v>
      </c>
      <c r="B240">
        <v>11</v>
      </c>
      <c r="C240">
        <v>5</v>
      </c>
      <c r="D240">
        <v>1990</v>
      </c>
      <c r="E240">
        <v>28.1</v>
      </c>
      <c r="F240">
        <v>13.2</v>
      </c>
      <c r="G240">
        <v>13.2</v>
      </c>
      <c r="H240">
        <v>0</v>
      </c>
      <c r="I240">
        <v>0</v>
      </c>
      <c r="J240">
        <v>17.8</v>
      </c>
      <c r="K240">
        <v>24.8</v>
      </c>
      <c r="L240">
        <v>334</v>
      </c>
      <c r="M240">
        <v>334</v>
      </c>
      <c r="P240">
        <v>280</v>
      </c>
      <c r="Q240">
        <v>488</v>
      </c>
      <c r="R240">
        <v>208</v>
      </c>
      <c r="S240">
        <v>108</v>
      </c>
      <c r="T240">
        <v>389</v>
      </c>
      <c r="U240">
        <v>391</v>
      </c>
      <c r="V240">
        <v>500</v>
      </c>
      <c r="W240">
        <v>2.79</v>
      </c>
    </row>
    <row r="241" spans="1:23" x14ac:dyDescent="0.25">
      <c r="A241" t="s">
        <v>33</v>
      </c>
      <c r="B241">
        <v>11</v>
      </c>
      <c r="C241">
        <v>6</v>
      </c>
      <c r="D241">
        <v>1991</v>
      </c>
      <c r="E241">
        <v>43.1</v>
      </c>
      <c r="F241">
        <v>15</v>
      </c>
      <c r="G241">
        <v>15</v>
      </c>
      <c r="H241">
        <v>0</v>
      </c>
      <c r="I241">
        <v>0</v>
      </c>
      <c r="J241">
        <v>33.6</v>
      </c>
      <c r="K241">
        <v>58.4</v>
      </c>
      <c r="L241">
        <v>356</v>
      </c>
      <c r="M241">
        <v>356</v>
      </c>
      <c r="P241">
        <v>288</v>
      </c>
      <c r="Q241">
        <v>484</v>
      </c>
      <c r="R241">
        <v>196</v>
      </c>
      <c r="S241">
        <v>108</v>
      </c>
      <c r="T241">
        <v>389</v>
      </c>
      <c r="U241">
        <v>391</v>
      </c>
      <c r="V241">
        <v>500</v>
      </c>
      <c r="W241">
        <v>2.79</v>
      </c>
    </row>
    <row r="242" spans="1:23" x14ac:dyDescent="0.25">
      <c r="A242" t="s">
        <v>33</v>
      </c>
      <c r="B242">
        <v>11</v>
      </c>
      <c r="C242">
        <v>7</v>
      </c>
      <c r="D242">
        <v>1992</v>
      </c>
      <c r="E242">
        <v>56</v>
      </c>
      <c r="F242">
        <v>12.9</v>
      </c>
      <c r="G242">
        <v>12.6</v>
      </c>
      <c r="H242">
        <v>0.3</v>
      </c>
      <c r="I242">
        <v>2</v>
      </c>
      <c r="J242">
        <v>40.200000000000003</v>
      </c>
      <c r="K242">
        <v>98.5</v>
      </c>
      <c r="L242">
        <v>385</v>
      </c>
      <c r="M242">
        <v>383</v>
      </c>
      <c r="N242">
        <v>502</v>
      </c>
      <c r="O242">
        <v>119</v>
      </c>
      <c r="P242">
        <v>327</v>
      </c>
      <c r="Q242">
        <v>502</v>
      </c>
      <c r="R242">
        <v>175</v>
      </c>
      <c r="S242">
        <v>108</v>
      </c>
      <c r="T242">
        <v>389</v>
      </c>
      <c r="U242">
        <v>391</v>
      </c>
      <c r="V242">
        <v>500</v>
      </c>
      <c r="W242">
        <v>2.79</v>
      </c>
    </row>
    <row r="243" spans="1:23" x14ac:dyDescent="0.25">
      <c r="A243" t="s">
        <v>33</v>
      </c>
      <c r="B243">
        <v>11</v>
      </c>
      <c r="C243">
        <v>8</v>
      </c>
      <c r="D243">
        <v>1993</v>
      </c>
      <c r="E243">
        <v>67.099999999999994</v>
      </c>
      <c r="F243">
        <v>11.1</v>
      </c>
      <c r="G243">
        <v>10.8</v>
      </c>
      <c r="H243">
        <v>0.3</v>
      </c>
      <c r="I243">
        <v>2</v>
      </c>
      <c r="J243">
        <v>42.9</v>
      </c>
      <c r="K243">
        <v>141.4</v>
      </c>
      <c r="L243">
        <v>371</v>
      </c>
      <c r="M243">
        <v>368</v>
      </c>
      <c r="N243">
        <v>503</v>
      </c>
      <c r="O243">
        <v>135</v>
      </c>
      <c r="P243">
        <v>324</v>
      </c>
      <c r="Q243">
        <v>503</v>
      </c>
      <c r="R243">
        <v>179</v>
      </c>
      <c r="S243">
        <v>108</v>
      </c>
      <c r="T243">
        <v>389</v>
      </c>
      <c r="U243">
        <v>391</v>
      </c>
      <c r="V243">
        <v>500</v>
      </c>
      <c r="W243">
        <v>2.79</v>
      </c>
    </row>
    <row r="244" spans="1:23" x14ac:dyDescent="0.25">
      <c r="A244" t="s">
        <v>33</v>
      </c>
      <c r="B244">
        <v>11</v>
      </c>
      <c r="C244">
        <v>9</v>
      </c>
      <c r="D244">
        <v>1994</v>
      </c>
      <c r="E244">
        <v>73.7</v>
      </c>
      <c r="F244">
        <v>6.6</v>
      </c>
      <c r="G244">
        <v>5.7</v>
      </c>
      <c r="H244">
        <v>0.9</v>
      </c>
      <c r="I244">
        <v>13</v>
      </c>
      <c r="J244">
        <v>29.2</v>
      </c>
      <c r="K244">
        <v>170.6</v>
      </c>
      <c r="L244">
        <v>441</v>
      </c>
      <c r="M244">
        <v>430</v>
      </c>
      <c r="N244">
        <v>512</v>
      </c>
      <c r="O244">
        <v>82</v>
      </c>
      <c r="P244">
        <v>384</v>
      </c>
      <c r="Q244">
        <v>520</v>
      </c>
      <c r="R244">
        <v>136</v>
      </c>
      <c r="S244">
        <v>108</v>
      </c>
      <c r="T244">
        <v>389</v>
      </c>
      <c r="U244">
        <v>391</v>
      </c>
      <c r="V244">
        <v>500</v>
      </c>
      <c r="W244">
        <v>2.79</v>
      </c>
    </row>
    <row r="245" spans="1:23" x14ac:dyDescent="0.25">
      <c r="A245" t="s">
        <v>33</v>
      </c>
      <c r="B245">
        <v>11</v>
      </c>
      <c r="C245">
        <v>10</v>
      </c>
      <c r="D245">
        <v>1995</v>
      </c>
      <c r="E245">
        <v>83.6</v>
      </c>
      <c r="F245">
        <v>9.9</v>
      </c>
      <c r="G245">
        <v>9.9</v>
      </c>
      <c r="H245">
        <v>0</v>
      </c>
      <c r="I245">
        <v>0</v>
      </c>
      <c r="J245">
        <v>48.9</v>
      </c>
      <c r="K245">
        <v>219.6</v>
      </c>
      <c r="L245">
        <v>382</v>
      </c>
      <c r="M245">
        <v>382</v>
      </c>
      <c r="P245">
        <v>315</v>
      </c>
      <c r="Q245">
        <v>491</v>
      </c>
      <c r="R245">
        <v>176</v>
      </c>
      <c r="S245">
        <v>108</v>
      </c>
      <c r="T245">
        <v>389</v>
      </c>
      <c r="U245">
        <v>391</v>
      </c>
      <c r="V245">
        <v>500</v>
      </c>
      <c r="W245">
        <v>2.79</v>
      </c>
    </row>
    <row r="246" spans="1:23" x14ac:dyDescent="0.25">
      <c r="A246" t="s">
        <v>33</v>
      </c>
      <c r="B246">
        <v>11</v>
      </c>
      <c r="C246">
        <v>11</v>
      </c>
      <c r="D246">
        <v>1996</v>
      </c>
      <c r="E246">
        <v>90.2</v>
      </c>
      <c r="F246">
        <v>6.6</v>
      </c>
      <c r="G246">
        <v>6.3</v>
      </c>
      <c r="H246">
        <v>0.3</v>
      </c>
      <c r="I246">
        <v>4</v>
      </c>
      <c r="J246">
        <v>36</v>
      </c>
      <c r="K246">
        <v>255.6</v>
      </c>
      <c r="L246">
        <v>369</v>
      </c>
      <c r="M246">
        <v>362</v>
      </c>
      <c r="N246">
        <v>514</v>
      </c>
      <c r="O246">
        <v>152</v>
      </c>
      <c r="P246">
        <v>288</v>
      </c>
      <c r="Q246">
        <v>514</v>
      </c>
      <c r="R246">
        <v>226</v>
      </c>
      <c r="S246">
        <v>108</v>
      </c>
      <c r="T246">
        <v>389</v>
      </c>
      <c r="U246">
        <v>391</v>
      </c>
      <c r="V246">
        <v>500</v>
      </c>
      <c r="W246">
        <v>2.79</v>
      </c>
    </row>
    <row r="247" spans="1:23" x14ac:dyDescent="0.25">
      <c r="A247" t="s">
        <v>33</v>
      </c>
      <c r="B247">
        <v>11</v>
      </c>
      <c r="C247">
        <v>12</v>
      </c>
      <c r="D247">
        <v>1997</v>
      </c>
      <c r="E247">
        <v>97.1</v>
      </c>
      <c r="F247">
        <v>6.9</v>
      </c>
      <c r="G247">
        <v>6</v>
      </c>
      <c r="H247">
        <v>0.9</v>
      </c>
      <c r="I247">
        <v>13</v>
      </c>
      <c r="J247">
        <v>40.6</v>
      </c>
      <c r="K247">
        <v>296.2</v>
      </c>
      <c r="L247">
        <v>393</v>
      </c>
      <c r="M247">
        <v>374</v>
      </c>
      <c r="N247">
        <v>518</v>
      </c>
      <c r="O247">
        <v>144</v>
      </c>
      <c r="P247">
        <v>327</v>
      </c>
      <c r="Q247">
        <v>532</v>
      </c>
      <c r="R247">
        <v>205</v>
      </c>
      <c r="S247">
        <v>108</v>
      </c>
      <c r="T247">
        <v>389</v>
      </c>
      <c r="U247">
        <v>391</v>
      </c>
      <c r="V247">
        <v>500</v>
      </c>
      <c r="W247">
        <v>2.79</v>
      </c>
    </row>
    <row r="248" spans="1:23" x14ac:dyDescent="0.25">
      <c r="A248" t="s">
        <v>33</v>
      </c>
      <c r="B248">
        <v>11</v>
      </c>
      <c r="C248">
        <v>13</v>
      </c>
      <c r="D248">
        <v>1998</v>
      </c>
      <c r="E248">
        <v>103.1</v>
      </c>
      <c r="F248">
        <v>6</v>
      </c>
      <c r="G248">
        <v>4.8</v>
      </c>
      <c r="H248">
        <v>1.2</v>
      </c>
      <c r="I248">
        <v>20</v>
      </c>
      <c r="J248">
        <v>37.700000000000003</v>
      </c>
      <c r="K248">
        <v>333.9</v>
      </c>
      <c r="L248">
        <v>423</v>
      </c>
      <c r="M248">
        <v>401</v>
      </c>
      <c r="N248">
        <v>512</v>
      </c>
      <c r="O248">
        <v>111</v>
      </c>
      <c r="P248">
        <v>325</v>
      </c>
      <c r="Q248">
        <v>525</v>
      </c>
      <c r="R248">
        <v>200</v>
      </c>
      <c r="S248">
        <v>108</v>
      </c>
      <c r="T248">
        <v>389</v>
      </c>
      <c r="U248">
        <v>391</v>
      </c>
      <c r="V248">
        <v>500</v>
      </c>
      <c r="W248">
        <v>2.79</v>
      </c>
    </row>
    <row r="249" spans="1:23" x14ac:dyDescent="0.25">
      <c r="A249" t="s">
        <v>33</v>
      </c>
      <c r="B249">
        <v>11</v>
      </c>
      <c r="C249">
        <v>14</v>
      </c>
      <c r="D249">
        <v>1999</v>
      </c>
      <c r="E249">
        <v>107.6</v>
      </c>
      <c r="F249">
        <v>4.5</v>
      </c>
      <c r="G249">
        <v>4.5</v>
      </c>
      <c r="H249">
        <v>0</v>
      </c>
      <c r="I249">
        <v>0</v>
      </c>
      <c r="J249">
        <v>29.8</v>
      </c>
      <c r="K249">
        <v>363.7</v>
      </c>
      <c r="L249">
        <v>398</v>
      </c>
      <c r="M249">
        <v>398</v>
      </c>
      <c r="P249">
        <v>336</v>
      </c>
      <c r="Q249">
        <v>497</v>
      </c>
      <c r="R249">
        <v>161</v>
      </c>
      <c r="S249">
        <v>108</v>
      </c>
      <c r="T249">
        <v>389</v>
      </c>
      <c r="U249">
        <v>391</v>
      </c>
      <c r="V249">
        <v>500</v>
      </c>
      <c r="W249">
        <v>2.79</v>
      </c>
    </row>
    <row r="250" spans="1:23" x14ac:dyDescent="0.25">
      <c r="A250" t="s">
        <v>33</v>
      </c>
      <c r="B250">
        <v>11</v>
      </c>
      <c r="C250">
        <v>15</v>
      </c>
      <c r="D250">
        <v>2000</v>
      </c>
      <c r="E250">
        <v>113</v>
      </c>
      <c r="F250">
        <v>5.4</v>
      </c>
      <c r="G250">
        <v>4.5</v>
      </c>
      <c r="H250">
        <v>0.9</v>
      </c>
      <c r="I250">
        <v>16</v>
      </c>
      <c r="J250">
        <v>37.4</v>
      </c>
      <c r="K250">
        <v>401.2</v>
      </c>
      <c r="L250">
        <v>444</v>
      </c>
      <c r="M250">
        <v>431</v>
      </c>
      <c r="N250">
        <v>514</v>
      </c>
      <c r="O250">
        <v>83</v>
      </c>
      <c r="P250">
        <v>296</v>
      </c>
      <c r="Q250">
        <v>535</v>
      </c>
      <c r="R250">
        <v>239</v>
      </c>
      <c r="S250">
        <v>108</v>
      </c>
      <c r="T250">
        <v>389</v>
      </c>
      <c r="U250">
        <v>391</v>
      </c>
      <c r="V250">
        <v>500</v>
      </c>
      <c r="W250">
        <v>2.79</v>
      </c>
    </row>
    <row r="251" spans="1:23" x14ac:dyDescent="0.25">
      <c r="A251" t="s">
        <v>33</v>
      </c>
      <c r="B251">
        <v>12</v>
      </c>
      <c r="C251">
        <v>3</v>
      </c>
      <c r="D251">
        <v>1987</v>
      </c>
      <c r="E251">
        <v>19.399999999999999</v>
      </c>
      <c r="F251">
        <v>19.399999999999999</v>
      </c>
      <c r="G251">
        <v>11.4</v>
      </c>
      <c r="H251">
        <v>0</v>
      </c>
      <c r="I251">
        <v>0</v>
      </c>
      <c r="J251">
        <v>11.8</v>
      </c>
      <c r="K251">
        <v>11.8</v>
      </c>
      <c r="L251">
        <v>406</v>
      </c>
      <c r="M251">
        <v>406</v>
      </c>
      <c r="P251">
        <v>302</v>
      </c>
      <c r="Q251">
        <v>453</v>
      </c>
      <c r="R251">
        <v>151</v>
      </c>
      <c r="S251">
        <v>189.3</v>
      </c>
      <c r="T251">
        <v>426</v>
      </c>
      <c r="U251">
        <v>428</v>
      </c>
      <c r="V251">
        <v>500</v>
      </c>
      <c r="W251">
        <v>2.79</v>
      </c>
    </row>
    <row r="252" spans="1:23" x14ac:dyDescent="0.25">
      <c r="A252" t="s">
        <v>33</v>
      </c>
      <c r="B252">
        <v>12</v>
      </c>
      <c r="C252">
        <v>4</v>
      </c>
      <c r="D252">
        <v>1988</v>
      </c>
      <c r="E252">
        <v>40.4</v>
      </c>
      <c r="F252">
        <v>21</v>
      </c>
      <c r="G252">
        <v>20.7</v>
      </c>
      <c r="H252">
        <v>0.3</v>
      </c>
      <c r="I252">
        <v>1</v>
      </c>
      <c r="J252">
        <v>39.5</v>
      </c>
      <c r="K252">
        <v>51.3</v>
      </c>
      <c r="L252">
        <v>335</v>
      </c>
      <c r="M252">
        <v>333</v>
      </c>
      <c r="N252">
        <v>505</v>
      </c>
      <c r="O252">
        <v>172</v>
      </c>
      <c r="P252">
        <v>253</v>
      </c>
      <c r="Q252">
        <v>505</v>
      </c>
      <c r="R252">
        <v>252</v>
      </c>
      <c r="S252">
        <v>189.3</v>
      </c>
      <c r="T252">
        <v>426</v>
      </c>
      <c r="U252">
        <v>428</v>
      </c>
      <c r="V252">
        <v>500</v>
      </c>
      <c r="W252">
        <v>2.79</v>
      </c>
    </row>
    <row r="253" spans="1:23" x14ac:dyDescent="0.25">
      <c r="A253" t="s">
        <v>33</v>
      </c>
      <c r="B253">
        <v>12</v>
      </c>
      <c r="C253">
        <v>5</v>
      </c>
      <c r="D253">
        <v>1989</v>
      </c>
      <c r="E253">
        <v>50</v>
      </c>
      <c r="F253">
        <v>9.6</v>
      </c>
      <c r="G253">
        <v>9.3000000000000007</v>
      </c>
      <c r="H253">
        <v>0.3</v>
      </c>
      <c r="I253">
        <v>3</v>
      </c>
      <c r="J253">
        <v>27.3</v>
      </c>
      <c r="K253">
        <v>78.5</v>
      </c>
      <c r="L253">
        <v>380</v>
      </c>
      <c r="M253">
        <v>375</v>
      </c>
      <c r="N253">
        <v>524</v>
      </c>
      <c r="O253">
        <v>149</v>
      </c>
      <c r="P253">
        <v>300</v>
      </c>
      <c r="Q253">
        <v>524</v>
      </c>
      <c r="R253">
        <v>224</v>
      </c>
      <c r="S253">
        <v>189.3</v>
      </c>
      <c r="T253">
        <v>426</v>
      </c>
      <c r="U253">
        <v>428</v>
      </c>
      <c r="V253">
        <v>500</v>
      </c>
      <c r="W253">
        <v>2.79</v>
      </c>
    </row>
    <row r="254" spans="1:23" x14ac:dyDescent="0.25">
      <c r="A254" t="s">
        <v>33</v>
      </c>
      <c r="B254">
        <v>12</v>
      </c>
      <c r="C254">
        <v>6</v>
      </c>
      <c r="D254">
        <v>1990</v>
      </c>
      <c r="E254">
        <v>58.4</v>
      </c>
      <c r="F254">
        <v>8.4</v>
      </c>
      <c r="G254">
        <v>8.1</v>
      </c>
      <c r="H254">
        <v>0.3</v>
      </c>
      <c r="I254">
        <v>3</v>
      </c>
      <c r="J254">
        <v>28.6</v>
      </c>
      <c r="K254">
        <v>107.1</v>
      </c>
      <c r="L254">
        <v>364</v>
      </c>
      <c r="M254">
        <v>357</v>
      </c>
      <c r="N254">
        <v>544</v>
      </c>
      <c r="O254">
        <v>187</v>
      </c>
      <c r="P254">
        <v>298</v>
      </c>
      <c r="Q254">
        <v>544</v>
      </c>
      <c r="R254">
        <v>246</v>
      </c>
      <c r="S254">
        <v>189.3</v>
      </c>
      <c r="T254">
        <v>426</v>
      </c>
      <c r="U254">
        <v>428</v>
      </c>
      <c r="V254">
        <v>500</v>
      </c>
      <c r="W254">
        <v>2.79</v>
      </c>
    </row>
    <row r="255" spans="1:23" x14ac:dyDescent="0.25">
      <c r="A255" t="s">
        <v>33</v>
      </c>
      <c r="B255">
        <v>12</v>
      </c>
      <c r="C255">
        <v>7</v>
      </c>
      <c r="D255">
        <v>1991</v>
      </c>
      <c r="E255">
        <v>64.400000000000006</v>
      </c>
      <c r="F255">
        <v>6</v>
      </c>
      <c r="G255">
        <v>5.0999999999999996</v>
      </c>
      <c r="H255">
        <v>0.9</v>
      </c>
      <c r="I255">
        <v>15</v>
      </c>
      <c r="J255">
        <v>23.1</v>
      </c>
      <c r="K255">
        <v>130.30000000000001</v>
      </c>
      <c r="L255">
        <v>388</v>
      </c>
      <c r="M255">
        <v>361</v>
      </c>
      <c r="N255">
        <v>541</v>
      </c>
      <c r="O255">
        <v>180</v>
      </c>
      <c r="P255">
        <v>311</v>
      </c>
      <c r="Q255">
        <v>576</v>
      </c>
      <c r="R255">
        <v>265</v>
      </c>
      <c r="S255">
        <v>189.3</v>
      </c>
      <c r="T255">
        <v>426</v>
      </c>
      <c r="U255">
        <v>428</v>
      </c>
      <c r="V255">
        <v>500</v>
      </c>
      <c r="W255">
        <v>2.79</v>
      </c>
    </row>
    <row r="256" spans="1:23" x14ac:dyDescent="0.25">
      <c r="A256" t="s">
        <v>33</v>
      </c>
      <c r="B256">
        <v>12</v>
      </c>
      <c r="C256">
        <v>8</v>
      </c>
      <c r="D256">
        <v>1992</v>
      </c>
      <c r="E256">
        <v>74.900000000000006</v>
      </c>
      <c r="F256">
        <v>10.5</v>
      </c>
      <c r="G256">
        <v>9.3000000000000007</v>
      </c>
      <c r="H256">
        <v>1.2</v>
      </c>
      <c r="I256">
        <v>11</v>
      </c>
      <c r="J256">
        <v>46</v>
      </c>
      <c r="K256">
        <v>176.2</v>
      </c>
      <c r="L256">
        <v>392</v>
      </c>
      <c r="M256">
        <v>371</v>
      </c>
      <c r="N256">
        <v>555</v>
      </c>
      <c r="O256">
        <v>184</v>
      </c>
      <c r="P256">
        <v>323</v>
      </c>
      <c r="Q256">
        <v>584</v>
      </c>
      <c r="R256">
        <v>261</v>
      </c>
      <c r="S256">
        <v>189.3</v>
      </c>
      <c r="T256">
        <v>426</v>
      </c>
      <c r="U256">
        <v>428</v>
      </c>
      <c r="V256">
        <v>500</v>
      </c>
      <c r="W256">
        <v>2.79</v>
      </c>
    </row>
    <row r="257" spans="1:23" x14ac:dyDescent="0.25">
      <c r="A257" t="s">
        <v>33</v>
      </c>
      <c r="B257">
        <v>12</v>
      </c>
      <c r="C257">
        <v>9</v>
      </c>
      <c r="D257">
        <v>1993</v>
      </c>
      <c r="E257">
        <v>83.3</v>
      </c>
      <c r="F257">
        <v>8.4</v>
      </c>
      <c r="G257">
        <v>7.2</v>
      </c>
      <c r="H257">
        <v>1.2</v>
      </c>
      <c r="I257">
        <v>14</v>
      </c>
      <c r="J257">
        <v>41.7</v>
      </c>
      <c r="K257">
        <v>218</v>
      </c>
      <c r="L257">
        <v>405</v>
      </c>
      <c r="M257">
        <v>380</v>
      </c>
      <c r="N257">
        <v>553</v>
      </c>
      <c r="O257">
        <v>173</v>
      </c>
      <c r="P257">
        <v>323</v>
      </c>
      <c r="Q257">
        <v>568</v>
      </c>
      <c r="R257">
        <v>245</v>
      </c>
      <c r="S257">
        <v>189.3</v>
      </c>
      <c r="T257">
        <v>426</v>
      </c>
      <c r="U257">
        <v>428</v>
      </c>
      <c r="V257">
        <v>500</v>
      </c>
      <c r="W257">
        <v>2.79</v>
      </c>
    </row>
    <row r="258" spans="1:23" x14ac:dyDescent="0.25">
      <c r="A258" t="s">
        <v>33</v>
      </c>
      <c r="B258">
        <v>12</v>
      </c>
      <c r="C258">
        <v>10</v>
      </c>
      <c r="D258">
        <v>1994</v>
      </c>
      <c r="E258">
        <v>92.3</v>
      </c>
      <c r="F258">
        <v>9</v>
      </c>
      <c r="G258">
        <v>7.2</v>
      </c>
      <c r="H258">
        <v>1.8</v>
      </c>
      <c r="I258">
        <v>20</v>
      </c>
      <c r="J258">
        <v>49.6</v>
      </c>
      <c r="K258">
        <v>267.60000000000002</v>
      </c>
      <c r="L258">
        <v>414</v>
      </c>
      <c r="M258">
        <v>380</v>
      </c>
      <c r="N258">
        <v>547</v>
      </c>
      <c r="O258">
        <v>167</v>
      </c>
      <c r="P258">
        <v>337</v>
      </c>
      <c r="Q258">
        <v>563</v>
      </c>
      <c r="R258">
        <v>226</v>
      </c>
      <c r="S258">
        <v>189.3</v>
      </c>
      <c r="T258">
        <v>426</v>
      </c>
      <c r="U258">
        <v>428</v>
      </c>
      <c r="V258">
        <v>500</v>
      </c>
      <c r="W258">
        <v>2.79</v>
      </c>
    </row>
    <row r="259" spans="1:23" x14ac:dyDescent="0.25">
      <c r="A259" t="s">
        <v>33</v>
      </c>
      <c r="B259">
        <v>12</v>
      </c>
      <c r="C259">
        <v>11</v>
      </c>
      <c r="D259">
        <v>1995</v>
      </c>
      <c r="E259">
        <v>102.8</v>
      </c>
      <c r="F259">
        <v>10.5</v>
      </c>
      <c r="G259">
        <v>9.6</v>
      </c>
      <c r="H259">
        <v>0.9</v>
      </c>
      <c r="I259">
        <v>8</v>
      </c>
      <c r="J259">
        <v>64.400000000000006</v>
      </c>
      <c r="K259">
        <v>332</v>
      </c>
      <c r="L259">
        <v>410</v>
      </c>
      <c r="M259">
        <v>400</v>
      </c>
      <c r="N259">
        <v>518</v>
      </c>
      <c r="O259">
        <v>118</v>
      </c>
      <c r="P259">
        <v>313</v>
      </c>
      <c r="Q259">
        <v>548</v>
      </c>
      <c r="R259">
        <v>235</v>
      </c>
      <c r="S259">
        <v>189.3</v>
      </c>
      <c r="T259">
        <v>426</v>
      </c>
      <c r="U259">
        <v>428</v>
      </c>
      <c r="V259">
        <v>500</v>
      </c>
      <c r="W259">
        <v>2.79</v>
      </c>
    </row>
    <row r="260" spans="1:23" x14ac:dyDescent="0.25">
      <c r="A260" t="s">
        <v>33</v>
      </c>
      <c r="B260">
        <v>12</v>
      </c>
      <c r="C260">
        <v>12</v>
      </c>
      <c r="D260">
        <v>1996</v>
      </c>
      <c r="E260">
        <v>114.2</v>
      </c>
      <c r="F260">
        <v>11.4</v>
      </c>
      <c r="G260">
        <v>9.9</v>
      </c>
      <c r="H260">
        <v>1.5</v>
      </c>
      <c r="I260">
        <v>13</v>
      </c>
      <c r="J260">
        <v>77.7</v>
      </c>
      <c r="K260">
        <v>409.7</v>
      </c>
      <c r="L260">
        <v>378</v>
      </c>
      <c r="M260">
        <v>355</v>
      </c>
      <c r="N260">
        <v>528</v>
      </c>
      <c r="O260">
        <v>173</v>
      </c>
      <c r="P260">
        <v>293</v>
      </c>
      <c r="Q260">
        <v>555</v>
      </c>
      <c r="R260">
        <v>262</v>
      </c>
      <c r="S260">
        <v>189.3</v>
      </c>
      <c r="T260">
        <v>426</v>
      </c>
      <c r="U260">
        <v>428</v>
      </c>
      <c r="V260">
        <v>500</v>
      </c>
      <c r="W260">
        <v>2.79</v>
      </c>
    </row>
    <row r="261" spans="1:23" x14ac:dyDescent="0.25">
      <c r="A261" t="s">
        <v>33</v>
      </c>
      <c r="B261">
        <v>12</v>
      </c>
      <c r="C261">
        <v>13</v>
      </c>
      <c r="D261">
        <v>1997</v>
      </c>
      <c r="E261">
        <v>123.8</v>
      </c>
      <c r="F261">
        <v>9.6</v>
      </c>
      <c r="G261">
        <v>8.4</v>
      </c>
      <c r="H261">
        <v>1.2</v>
      </c>
      <c r="I261">
        <v>12</v>
      </c>
      <c r="J261">
        <v>71.8</v>
      </c>
      <c r="K261">
        <v>481.5</v>
      </c>
      <c r="L261">
        <v>415</v>
      </c>
      <c r="M261">
        <v>394</v>
      </c>
      <c r="N261">
        <v>565</v>
      </c>
      <c r="O261">
        <v>171</v>
      </c>
      <c r="P261">
        <v>335</v>
      </c>
      <c r="Q261">
        <v>597</v>
      </c>
      <c r="R261">
        <v>262</v>
      </c>
      <c r="S261">
        <v>189.3</v>
      </c>
      <c r="T261">
        <v>426</v>
      </c>
      <c r="U261">
        <v>428</v>
      </c>
      <c r="V261">
        <v>500</v>
      </c>
      <c r="W261">
        <v>2.79</v>
      </c>
    </row>
    <row r="262" spans="1:23" x14ac:dyDescent="0.25">
      <c r="A262" t="s">
        <v>33</v>
      </c>
      <c r="B262">
        <v>12</v>
      </c>
      <c r="C262">
        <v>14</v>
      </c>
      <c r="D262">
        <v>1998</v>
      </c>
      <c r="E262">
        <v>129.80000000000001</v>
      </c>
      <c r="F262">
        <v>6</v>
      </c>
      <c r="G262">
        <v>4.2</v>
      </c>
      <c r="H262">
        <v>1.8</v>
      </c>
      <c r="I262">
        <v>30</v>
      </c>
      <c r="J262">
        <v>47.8</v>
      </c>
      <c r="K262">
        <v>529.29999999999995</v>
      </c>
      <c r="L262">
        <v>442</v>
      </c>
      <c r="M262">
        <v>400</v>
      </c>
      <c r="N262">
        <v>540</v>
      </c>
      <c r="O262">
        <v>140</v>
      </c>
      <c r="P262">
        <v>359</v>
      </c>
      <c r="Q262">
        <v>574</v>
      </c>
      <c r="R262">
        <v>215</v>
      </c>
      <c r="S262">
        <v>189.3</v>
      </c>
      <c r="T262">
        <v>426</v>
      </c>
      <c r="U262">
        <v>428</v>
      </c>
      <c r="V262">
        <v>500</v>
      </c>
      <c r="W262">
        <v>2.79</v>
      </c>
    </row>
    <row r="263" spans="1:23" x14ac:dyDescent="0.25">
      <c r="A263" t="s">
        <v>33</v>
      </c>
      <c r="B263">
        <v>12</v>
      </c>
      <c r="C263">
        <v>15</v>
      </c>
      <c r="D263">
        <v>1999</v>
      </c>
      <c r="E263">
        <v>138.5</v>
      </c>
      <c r="F263">
        <v>8.6999999999999993</v>
      </c>
      <c r="G263">
        <v>7.2</v>
      </c>
      <c r="H263">
        <v>1.5</v>
      </c>
      <c r="I263">
        <v>17</v>
      </c>
      <c r="J263">
        <v>73.3</v>
      </c>
      <c r="K263">
        <v>602.6</v>
      </c>
      <c r="L263">
        <v>444</v>
      </c>
      <c r="M263">
        <v>427</v>
      </c>
      <c r="N263">
        <v>525</v>
      </c>
      <c r="O263">
        <v>98</v>
      </c>
      <c r="P263">
        <v>375</v>
      </c>
      <c r="Q263">
        <v>549</v>
      </c>
      <c r="R263">
        <v>174</v>
      </c>
      <c r="S263">
        <v>189.3</v>
      </c>
      <c r="T263">
        <v>426</v>
      </c>
      <c r="U263">
        <v>428</v>
      </c>
      <c r="V263">
        <v>500</v>
      </c>
      <c r="W263">
        <v>2.79</v>
      </c>
    </row>
    <row r="264" spans="1:23" x14ac:dyDescent="0.25">
      <c r="A264" t="s">
        <v>33</v>
      </c>
      <c r="B264">
        <v>12</v>
      </c>
      <c r="C264">
        <v>16</v>
      </c>
      <c r="D264">
        <v>2000</v>
      </c>
      <c r="E264">
        <v>145.1</v>
      </c>
      <c r="F264">
        <v>6.6</v>
      </c>
      <c r="G264">
        <v>5.7</v>
      </c>
      <c r="H264">
        <v>0.9</v>
      </c>
      <c r="I264">
        <v>13</v>
      </c>
      <c r="J264">
        <v>58.8</v>
      </c>
      <c r="K264">
        <v>661.4</v>
      </c>
      <c r="L264">
        <v>426</v>
      </c>
      <c r="M264">
        <v>406</v>
      </c>
      <c r="N264">
        <v>549</v>
      </c>
      <c r="O264">
        <v>143</v>
      </c>
      <c r="P264">
        <v>347</v>
      </c>
      <c r="Q264">
        <v>583</v>
      </c>
      <c r="R264">
        <v>236</v>
      </c>
      <c r="S264">
        <v>189.3</v>
      </c>
      <c r="T264">
        <v>426</v>
      </c>
      <c r="U264">
        <v>428</v>
      </c>
      <c r="V264">
        <v>500</v>
      </c>
      <c r="W264">
        <v>2.79</v>
      </c>
    </row>
    <row r="265" spans="1:23" x14ac:dyDescent="0.25">
      <c r="A265" t="s">
        <v>33</v>
      </c>
      <c r="B265">
        <v>12</v>
      </c>
      <c r="C265">
        <v>17</v>
      </c>
      <c r="D265">
        <v>2001</v>
      </c>
      <c r="E265">
        <v>148.69999999999999</v>
      </c>
      <c r="F265">
        <v>3.6</v>
      </c>
      <c r="G265">
        <v>2.7</v>
      </c>
      <c r="H265">
        <v>0.9</v>
      </c>
      <c r="I265">
        <v>24</v>
      </c>
      <c r="J265">
        <v>33.200000000000003</v>
      </c>
      <c r="K265">
        <v>694.7</v>
      </c>
      <c r="L265">
        <v>450</v>
      </c>
      <c r="M265">
        <v>424</v>
      </c>
      <c r="N265">
        <v>531</v>
      </c>
      <c r="O265">
        <v>107</v>
      </c>
      <c r="P265">
        <v>392</v>
      </c>
      <c r="Q265">
        <v>551</v>
      </c>
      <c r="R265">
        <v>159</v>
      </c>
      <c r="S265">
        <v>189.3</v>
      </c>
      <c r="T265">
        <v>426</v>
      </c>
      <c r="U265">
        <v>428</v>
      </c>
      <c r="V265">
        <v>500</v>
      </c>
      <c r="W265">
        <v>2.79</v>
      </c>
    </row>
    <row r="266" spans="1:23" x14ac:dyDescent="0.25">
      <c r="A266" t="s">
        <v>33</v>
      </c>
      <c r="B266">
        <v>12</v>
      </c>
      <c r="C266">
        <v>18</v>
      </c>
      <c r="D266">
        <v>2002</v>
      </c>
      <c r="E266">
        <v>151.69999999999999</v>
      </c>
      <c r="F266">
        <v>3</v>
      </c>
      <c r="G266">
        <v>1.8</v>
      </c>
      <c r="H266">
        <v>1.2</v>
      </c>
      <c r="I266">
        <v>40</v>
      </c>
      <c r="J266">
        <v>28.3</v>
      </c>
      <c r="K266">
        <v>723</v>
      </c>
      <c r="L266">
        <v>470</v>
      </c>
      <c r="M266">
        <v>414</v>
      </c>
      <c r="N266">
        <v>556</v>
      </c>
      <c r="O266">
        <v>142</v>
      </c>
      <c r="P266">
        <v>373</v>
      </c>
      <c r="Q266">
        <v>592</v>
      </c>
      <c r="R266">
        <v>219</v>
      </c>
      <c r="S266">
        <v>189.3</v>
      </c>
      <c r="T266">
        <v>426</v>
      </c>
      <c r="U266">
        <v>428</v>
      </c>
      <c r="V266">
        <v>500</v>
      </c>
      <c r="W266">
        <v>2.79</v>
      </c>
    </row>
    <row r="267" spans="1:23" x14ac:dyDescent="0.25">
      <c r="A267" t="s">
        <v>33</v>
      </c>
      <c r="B267">
        <v>12</v>
      </c>
      <c r="C267">
        <v>19</v>
      </c>
      <c r="D267">
        <v>2003</v>
      </c>
      <c r="E267">
        <v>157.1</v>
      </c>
      <c r="F267">
        <v>5.4</v>
      </c>
      <c r="G267">
        <v>3.9</v>
      </c>
      <c r="H267">
        <v>1.5</v>
      </c>
      <c r="I267">
        <v>27</v>
      </c>
      <c r="J267">
        <v>52.4</v>
      </c>
      <c r="K267">
        <v>775.4</v>
      </c>
      <c r="L267">
        <v>447</v>
      </c>
      <c r="M267">
        <v>415</v>
      </c>
      <c r="N267">
        <v>531</v>
      </c>
      <c r="O267">
        <v>116</v>
      </c>
      <c r="P267">
        <v>387</v>
      </c>
      <c r="Q267">
        <v>573</v>
      </c>
      <c r="R267">
        <v>186</v>
      </c>
      <c r="S267">
        <v>189.3</v>
      </c>
      <c r="T267">
        <v>426</v>
      </c>
      <c r="U267">
        <v>428</v>
      </c>
      <c r="V267">
        <v>500</v>
      </c>
      <c r="W267">
        <v>2.79</v>
      </c>
    </row>
    <row r="268" spans="1:23" x14ac:dyDescent="0.25">
      <c r="A268" t="s">
        <v>33</v>
      </c>
      <c r="B268">
        <v>12</v>
      </c>
      <c r="C268">
        <v>20</v>
      </c>
      <c r="D268">
        <v>2004</v>
      </c>
      <c r="E268">
        <v>161.9</v>
      </c>
      <c r="F268">
        <v>4.8</v>
      </c>
      <c r="G268">
        <v>3.9</v>
      </c>
      <c r="H268">
        <v>0.9</v>
      </c>
      <c r="I268">
        <v>18</v>
      </c>
      <c r="J268">
        <v>48.1</v>
      </c>
      <c r="K268">
        <v>823.5</v>
      </c>
      <c r="L268">
        <v>457</v>
      </c>
      <c r="M268">
        <v>427</v>
      </c>
      <c r="N268">
        <v>591</v>
      </c>
      <c r="O268">
        <v>164</v>
      </c>
      <c r="P268">
        <v>377</v>
      </c>
      <c r="Q268">
        <v>609</v>
      </c>
      <c r="R268">
        <v>232</v>
      </c>
      <c r="S268">
        <v>189.3</v>
      </c>
      <c r="T268">
        <v>426</v>
      </c>
      <c r="U268">
        <v>428</v>
      </c>
      <c r="V268">
        <v>500</v>
      </c>
      <c r="W268">
        <v>2.79</v>
      </c>
    </row>
    <row r="269" spans="1:23" x14ac:dyDescent="0.25">
      <c r="A269" t="s">
        <v>33</v>
      </c>
      <c r="B269">
        <v>12</v>
      </c>
      <c r="C269">
        <v>21</v>
      </c>
      <c r="D269">
        <v>2005</v>
      </c>
      <c r="E269">
        <v>166.4</v>
      </c>
      <c r="F269">
        <v>4.5</v>
      </c>
      <c r="G269">
        <v>4.2</v>
      </c>
      <c r="H269">
        <v>0.3</v>
      </c>
      <c r="I269">
        <v>6</v>
      </c>
      <c r="J269">
        <v>46.4</v>
      </c>
      <c r="K269">
        <v>869.9</v>
      </c>
      <c r="L269">
        <v>440</v>
      </c>
      <c r="M269">
        <v>432</v>
      </c>
      <c r="N269">
        <v>550</v>
      </c>
      <c r="O269">
        <v>118</v>
      </c>
      <c r="P269">
        <v>387</v>
      </c>
      <c r="Q269">
        <v>550</v>
      </c>
      <c r="R269">
        <v>163</v>
      </c>
      <c r="S269">
        <v>189.3</v>
      </c>
      <c r="T269">
        <v>426</v>
      </c>
      <c r="U269">
        <v>428</v>
      </c>
      <c r="V269">
        <v>500</v>
      </c>
      <c r="W269">
        <v>2.79</v>
      </c>
    </row>
    <row r="270" spans="1:23" x14ac:dyDescent="0.25">
      <c r="A270" t="s">
        <v>33</v>
      </c>
      <c r="B270">
        <v>12</v>
      </c>
      <c r="C270">
        <v>22</v>
      </c>
      <c r="D270">
        <v>2006</v>
      </c>
      <c r="E270">
        <v>170</v>
      </c>
      <c r="F270">
        <v>3.6</v>
      </c>
      <c r="G270">
        <v>2.1</v>
      </c>
      <c r="H270">
        <v>1.5</v>
      </c>
      <c r="I270">
        <v>41</v>
      </c>
      <c r="J270">
        <v>38</v>
      </c>
      <c r="K270">
        <v>907.9</v>
      </c>
      <c r="L270">
        <v>471</v>
      </c>
      <c r="M270">
        <v>420</v>
      </c>
      <c r="N270">
        <v>542</v>
      </c>
      <c r="O270">
        <v>122</v>
      </c>
      <c r="P270">
        <v>386</v>
      </c>
      <c r="Q270">
        <v>588</v>
      </c>
      <c r="R270">
        <v>202</v>
      </c>
      <c r="S270">
        <v>189.3</v>
      </c>
      <c r="T270">
        <v>426</v>
      </c>
      <c r="U270">
        <v>428</v>
      </c>
      <c r="V270">
        <v>500</v>
      </c>
      <c r="W270">
        <v>2.79</v>
      </c>
    </row>
    <row r="271" spans="1:23" x14ac:dyDescent="0.25">
      <c r="A271" t="s">
        <v>33</v>
      </c>
      <c r="B271">
        <v>12</v>
      </c>
      <c r="C271">
        <v>23</v>
      </c>
      <c r="D271">
        <v>2007</v>
      </c>
      <c r="E271">
        <v>172.4</v>
      </c>
      <c r="F271">
        <v>2.4</v>
      </c>
      <c r="G271">
        <v>1.8</v>
      </c>
      <c r="H271">
        <v>0.6</v>
      </c>
      <c r="I271">
        <v>24</v>
      </c>
      <c r="J271">
        <v>25.8</v>
      </c>
      <c r="K271">
        <v>933.7</v>
      </c>
      <c r="L271">
        <v>461</v>
      </c>
      <c r="M271">
        <v>429</v>
      </c>
      <c r="N271">
        <v>558</v>
      </c>
      <c r="O271">
        <v>129</v>
      </c>
      <c r="P271">
        <v>412</v>
      </c>
      <c r="Q271">
        <v>576</v>
      </c>
      <c r="R271">
        <v>164</v>
      </c>
      <c r="S271">
        <v>189.3</v>
      </c>
      <c r="T271">
        <v>426</v>
      </c>
      <c r="U271">
        <v>428</v>
      </c>
      <c r="V271">
        <v>500</v>
      </c>
      <c r="W271">
        <v>2.79</v>
      </c>
    </row>
    <row r="272" spans="1:23" x14ac:dyDescent="0.25">
      <c r="A272" t="s">
        <v>33</v>
      </c>
      <c r="B272">
        <v>12</v>
      </c>
      <c r="C272">
        <v>24</v>
      </c>
      <c r="D272">
        <v>2008</v>
      </c>
      <c r="E272">
        <v>175.4</v>
      </c>
      <c r="F272">
        <v>3</v>
      </c>
      <c r="G272">
        <v>1.8</v>
      </c>
      <c r="H272">
        <v>1.2</v>
      </c>
      <c r="I272">
        <v>40</v>
      </c>
      <c r="J272">
        <v>32.799999999999997</v>
      </c>
      <c r="K272">
        <v>966.5</v>
      </c>
      <c r="L272">
        <v>481</v>
      </c>
      <c r="M272">
        <v>432</v>
      </c>
      <c r="N272">
        <v>554</v>
      </c>
      <c r="O272">
        <v>122</v>
      </c>
      <c r="P272">
        <v>393</v>
      </c>
      <c r="Q272">
        <v>597</v>
      </c>
      <c r="R272">
        <v>204</v>
      </c>
      <c r="S272">
        <v>189.3</v>
      </c>
      <c r="T272">
        <v>426</v>
      </c>
      <c r="U272">
        <v>428</v>
      </c>
      <c r="V272">
        <v>500</v>
      </c>
      <c r="W272">
        <v>2.79</v>
      </c>
    </row>
    <row r="273" spans="1:23" x14ac:dyDescent="0.25">
      <c r="A273" t="s">
        <v>33</v>
      </c>
      <c r="B273">
        <v>12</v>
      </c>
      <c r="C273">
        <v>25</v>
      </c>
      <c r="D273">
        <v>2009</v>
      </c>
      <c r="E273">
        <v>181.1</v>
      </c>
      <c r="F273">
        <v>5.7</v>
      </c>
      <c r="G273">
        <v>3.6</v>
      </c>
      <c r="H273">
        <v>2.1</v>
      </c>
      <c r="I273">
        <v>36</v>
      </c>
      <c r="J273">
        <v>63.8</v>
      </c>
      <c r="K273">
        <v>1030.4000000000001</v>
      </c>
      <c r="L273">
        <v>470</v>
      </c>
      <c r="M273">
        <v>424</v>
      </c>
      <c r="N273">
        <v>549</v>
      </c>
      <c r="O273">
        <v>125</v>
      </c>
      <c r="P273">
        <v>390</v>
      </c>
      <c r="Q273">
        <v>592</v>
      </c>
      <c r="R273">
        <v>202</v>
      </c>
      <c r="S273">
        <v>189.3</v>
      </c>
      <c r="T273">
        <v>426</v>
      </c>
      <c r="U273">
        <v>428</v>
      </c>
      <c r="V273">
        <v>500</v>
      </c>
      <c r="W273">
        <v>2.79</v>
      </c>
    </row>
    <row r="274" spans="1:23" x14ac:dyDescent="0.25">
      <c r="A274" t="s">
        <v>33</v>
      </c>
      <c r="B274">
        <v>12</v>
      </c>
      <c r="C274">
        <v>26</v>
      </c>
      <c r="D274">
        <v>2010</v>
      </c>
      <c r="E274">
        <v>187.7</v>
      </c>
      <c r="F274">
        <v>6.6</v>
      </c>
      <c r="G274">
        <v>5.7</v>
      </c>
      <c r="H274">
        <v>0.9</v>
      </c>
      <c r="I274">
        <v>13</v>
      </c>
      <c r="J274">
        <v>76.5</v>
      </c>
      <c r="K274">
        <v>1106.8</v>
      </c>
      <c r="L274">
        <v>438</v>
      </c>
      <c r="M274">
        <v>414</v>
      </c>
      <c r="N274">
        <v>585</v>
      </c>
      <c r="O274">
        <v>171</v>
      </c>
      <c r="P274">
        <v>357</v>
      </c>
      <c r="Q274">
        <v>613</v>
      </c>
      <c r="R274">
        <v>256</v>
      </c>
      <c r="S274">
        <v>189.3</v>
      </c>
      <c r="T274">
        <v>426</v>
      </c>
      <c r="U274">
        <v>428</v>
      </c>
      <c r="V274">
        <v>500</v>
      </c>
      <c r="W274">
        <v>2.79</v>
      </c>
    </row>
    <row r="275" spans="1:23" x14ac:dyDescent="0.25">
      <c r="A275" t="s">
        <v>33</v>
      </c>
      <c r="B275">
        <v>12</v>
      </c>
      <c r="C275">
        <v>27</v>
      </c>
      <c r="D275">
        <v>2011</v>
      </c>
      <c r="E275">
        <v>193.1</v>
      </c>
      <c r="F275">
        <v>5.4</v>
      </c>
      <c r="G275">
        <v>4.5</v>
      </c>
      <c r="H275">
        <v>0.9</v>
      </c>
      <c r="I275">
        <v>16</v>
      </c>
      <c r="J275">
        <v>64.599999999999994</v>
      </c>
      <c r="K275">
        <v>1171.4000000000001</v>
      </c>
      <c r="L275">
        <v>454</v>
      </c>
      <c r="M275">
        <v>427</v>
      </c>
      <c r="N275">
        <v>587</v>
      </c>
      <c r="O275">
        <v>160</v>
      </c>
      <c r="P275">
        <v>385</v>
      </c>
      <c r="Q275">
        <v>618</v>
      </c>
      <c r="R275">
        <v>233</v>
      </c>
      <c r="S275">
        <v>189.3</v>
      </c>
      <c r="T275">
        <v>426</v>
      </c>
      <c r="U275">
        <v>428</v>
      </c>
      <c r="V275">
        <v>500</v>
      </c>
      <c r="W275">
        <v>2.79</v>
      </c>
    </row>
    <row r="276" spans="1:23" x14ac:dyDescent="0.25">
      <c r="A276" t="s">
        <v>33</v>
      </c>
      <c r="B276">
        <v>12</v>
      </c>
      <c r="C276">
        <v>28</v>
      </c>
      <c r="D276">
        <v>2012</v>
      </c>
      <c r="E276">
        <v>197.3</v>
      </c>
      <c r="F276">
        <v>4.2</v>
      </c>
      <c r="G276">
        <v>2.7</v>
      </c>
      <c r="H276">
        <v>1.5</v>
      </c>
      <c r="I276">
        <v>35</v>
      </c>
      <c r="J276">
        <v>51.5</v>
      </c>
      <c r="K276">
        <v>1222.9000000000001</v>
      </c>
      <c r="L276">
        <v>457</v>
      </c>
      <c r="M276">
        <v>418</v>
      </c>
      <c r="N276">
        <v>527</v>
      </c>
      <c r="O276">
        <v>109</v>
      </c>
      <c r="P276">
        <v>288</v>
      </c>
      <c r="Q276">
        <v>542</v>
      </c>
      <c r="R276">
        <v>254</v>
      </c>
      <c r="S276">
        <v>189.3</v>
      </c>
      <c r="T276">
        <v>426</v>
      </c>
      <c r="U276">
        <v>428</v>
      </c>
      <c r="V276">
        <v>500</v>
      </c>
      <c r="W276">
        <v>2.79</v>
      </c>
    </row>
    <row r="277" spans="1:23" x14ac:dyDescent="0.25">
      <c r="A277" t="s">
        <v>33</v>
      </c>
      <c r="B277">
        <v>13</v>
      </c>
      <c r="C277">
        <v>3</v>
      </c>
      <c r="D277">
        <v>1988</v>
      </c>
      <c r="E277">
        <v>37.700000000000003</v>
      </c>
      <c r="F277">
        <v>37.700000000000003</v>
      </c>
      <c r="G277">
        <v>17.7</v>
      </c>
      <c r="H277">
        <v>0</v>
      </c>
      <c r="I277">
        <v>0</v>
      </c>
      <c r="J277">
        <v>44.7</v>
      </c>
      <c r="K277">
        <v>44.7</v>
      </c>
      <c r="L277">
        <v>329</v>
      </c>
      <c r="M277">
        <v>329</v>
      </c>
      <c r="P277">
        <v>250</v>
      </c>
      <c r="Q277">
        <v>418</v>
      </c>
      <c r="R277">
        <v>168</v>
      </c>
      <c r="S277">
        <v>221.4</v>
      </c>
      <c r="T277">
        <v>380</v>
      </c>
      <c r="U277">
        <v>378</v>
      </c>
      <c r="V277">
        <v>500</v>
      </c>
      <c r="W277">
        <v>2.79</v>
      </c>
    </row>
    <row r="278" spans="1:23" x14ac:dyDescent="0.25">
      <c r="A278" t="s">
        <v>33</v>
      </c>
      <c r="B278">
        <v>13</v>
      </c>
      <c r="C278">
        <v>4</v>
      </c>
      <c r="D278">
        <v>1989</v>
      </c>
      <c r="E278">
        <v>51.5</v>
      </c>
      <c r="F278">
        <v>13.8</v>
      </c>
      <c r="G278">
        <v>13.8</v>
      </c>
      <c r="H278">
        <v>0</v>
      </c>
      <c r="I278">
        <v>0</v>
      </c>
      <c r="J278">
        <v>38.700000000000003</v>
      </c>
      <c r="K278">
        <v>83.3</v>
      </c>
      <c r="L278">
        <v>338</v>
      </c>
      <c r="M278">
        <v>338</v>
      </c>
      <c r="P278">
        <v>273</v>
      </c>
      <c r="Q278">
        <v>476</v>
      </c>
      <c r="R278">
        <v>203</v>
      </c>
      <c r="S278">
        <v>221.4</v>
      </c>
      <c r="T278">
        <v>380</v>
      </c>
      <c r="U278">
        <v>378</v>
      </c>
      <c r="V278">
        <v>500</v>
      </c>
      <c r="W278">
        <v>2.79</v>
      </c>
    </row>
    <row r="279" spans="1:23" x14ac:dyDescent="0.25">
      <c r="A279" t="s">
        <v>33</v>
      </c>
      <c r="B279">
        <v>13</v>
      </c>
      <c r="C279">
        <v>5</v>
      </c>
      <c r="D279">
        <v>1990</v>
      </c>
      <c r="E279">
        <v>64.099999999999994</v>
      </c>
      <c r="F279">
        <v>12.6</v>
      </c>
      <c r="G279">
        <v>12</v>
      </c>
      <c r="H279">
        <v>0.6</v>
      </c>
      <c r="I279">
        <v>4</v>
      </c>
      <c r="J279">
        <v>45.8</v>
      </c>
      <c r="K279">
        <v>129.1</v>
      </c>
      <c r="L279">
        <v>338</v>
      </c>
      <c r="M279">
        <v>329</v>
      </c>
      <c r="N279">
        <v>517</v>
      </c>
      <c r="O279">
        <v>188</v>
      </c>
      <c r="P279">
        <v>259</v>
      </c>
      <c r="Q279">
        <v>518</v>
      </c>
      <c r="R279">
        <v>259</v>
      </c>
      <c r="S279">
        <v>221.4</v>
      </c>
      <c r="T279">
        <v>380</v>
      </c>
      <c r="U279">
        <v>378</v>
      </c>
      <c r="V279">
        <v>500</v>
      </c>
      <c r="W279">
        <v>2.79</v>
      </c>
    </row>
    <row r="280" spans="1:23" x14ac:dyDescent="0.25">
      <c r="A280" t="s">
        <v>33</v>
      </c>
      <c r="B280">
        <v>13</v>
      </c>
      <c r="C280">
        <v>6</v>
      </c>
      <c r="D280">
        <v>1991</v>
      </c>
      <c r="E280">
        <v>78.5</v>
      </c>
      <c r="F280">
        <v>14.4</v>
      </c>
      <c r="G280">
        <v>14.1</v>
      </c>
      <c r="H280">
        <v>0.3</v>
      </c>
      <c r="I280">
        <v>2</v>
      </c>
      <c r="J280">
        <v>64.5</v>
      </c>
      <c r="K280">
        <v>193.6</v>
      </c>
      <c r="L280">
        <v>336</v>
      </c>
      <c r="M280">
        <v>333</v>
      </c>
      <c r="N280">
        <v>506</v>
      </c>
      <c r="O280">
        <v>173</v>
      </c>
      <c r="P280">
        <v>260</v>
      </c>
      <c r="Q280">
        <v>506</v>
      </c>
      <c r="R280">
        <v>246</v>
      </c>
      <c r="S280">
        <v>221.4</v>
      </c>
      <c r="T280">
        <v>380</v>
      </c>
      <c r="U280">
        <v>378</v>
      </c>
      <c r="V280">
        <v>500</v>
      </c>
      <c r="W280">
        <v>2.79</v>
      </c>
    </row>
    <row r="281" spans="1:23" x14ac:dyDescent="0.25">
      <c r="A281" t="s">
        <v>33</v>
      </c>
      <c r="B281">
        <v>13</v>
      </c>
      <c r="C281">
        <v>7</v>
      </c>
      <c r="D281">
        <v>1992</v>
      </c>
      <c r="E281">
        <v>95.9</v>
      </c>
      <c r="F281">
        <v>17.399999999999999</v>
      </c>
      <c r="G281">
        <v>17.399999999999999</v>
      </c>
      <c r="H281">
        <v>0</v>
      </c>
      <c r="I281">
        <v>0</v>
      </c>
      <c r="J281">
        <v>95.3</v>
      </c>
      <c r="K281">
        <v>288.89999999999998</v>
      </c>
      <c r="L281">
        <v>334</v>
      </c>
      <c r="M281">
        <v>334</v>
      </c>
      <c r="P281">
        <v>275</v>
      </c>
      <c r="Q281">
        <v>496</v>
      </c>
      <c r="R281">
        <v>221</v>
      </c>
      <c r="S281">
        <v>221.4</v>
      </c>
      <c r="T281">
        <v>380</v>
      </c>
      <c r="U281">
        <v>378</v>
      </c>
      <c r="V281">
        <v>500</v>
      </c>
      <c r="W281">
        <v>2.79</v>
      </c>
    </row>
    <row r="282" spans="1:23" x14ac:dyDescent="0.25">
      <c r="A282" t="s">
        <v>33</v>
      </c>
      <c r="B282">
        <v>13</v>
      </c>
      <c r="C282">
        <v>8</v>
      </c>
      <c r="D282">
        <v>1993</v>
      </c>
      <c r="E282">
        <v>109.4</v>
      </c>
      <c r="F282">
        <v>13.5</v>
      </c>
      <c r="G282">
        <v>13.5</v>
      </c>
      <c r="H282">
        <v>0</v>
      </c>
      <c r="I282">
        <v>0</v>
      </c>
      <c r="J282">
        <v>87.1</v>
      </c>
      <c r="K282">
        <v>376</v>
      </c>
      <c r="L282">
        <v>326</v>
      </c>
      <c r="M282">
        <v>326</v>
      </c>
      <c r="P282">
        <v>258</v>
      </c>
      <c r="Q282">
        <v>464</v>
      </c>
      <c r="R282">
        <v>206</v>
      </c>
      <c r="S282">
        <v>221.4</v>
      </c>
      <c r="T282">
        <v>380</v>
      </c>
      <c r="U282">
        <v>378</v>
      </c>
      <c r="V282">
        <v>500</v>
      </c>
      <c r="W282">
        <v>2.79</v>
      </c>
    </row>
    <row r="283" spans="1:23" x14ac:dyDescent="0.25">
      <c r="A283" t="s">
        <v>33</v>
      </c>
      <c r="B283">
        <v>13</v>
      </c>
      <c r="C283">
        <v>9</v>
      </c>
      <c r="D283">
        <v>1994</v>
      </c>
      <c r="E283">
        <v>123.2</v>
      </c>
      <c r="F283">
        <v>13.8</v>
      </c>
      <c r="G283">
        <v>12.9</v>
      </c>
      <c r="H283">
        <v>0.9</v>
      </c>
      <c r="I283">
        <v>6</v>
      </c>
      <c r="J283">
        <v>100.8</v>
      </c>
      <c r="K283">
        <v>476.8</v>
      </c>
      <c r="L283">
        <v>363</v>
      </c>
      <c r="M283">
        <v>351</v>
      </c>
      <c r="N283">
        <v>537</v>
      </c>
      <c r="O283">
        <v>186</v>
      </c>
      <c r="P283">
        <v>278</v>
      </c>
      <c r="Q283">
        <v>568</v>
      </c>
      <c r="R283">
        <v>290</v>
      </c>
      <c r="S283">
        <v>221.4</v>
      </c>
      <c r="T283">
        <v>380</v>
      </c>
      <c r="U283">
        <v>378</v>
      </c>
      <c r="V283">
        <v>500</v>
      </c>
      <c r="W283">
        <v>2.79</v>
      </c>
    </row>
    <row r="284" spans="1:23" x14ac:dyDescent="0.25">
      <c r="A284" t="s">
        <v>33</v>
      </c>
      <c r="B284">
        <v>13</v>
      </c>
      <c r="C284">
        <v>10</v>
      </c>
      <c r="D284">
        <v>1995</v>
      </c>
      <c r="E284">
        <v>135.5</v>
      </c>
      <c r="F284">
        <v>12.3</v>
      </c>
      <c r="G284">
        <v>11.1</v>
      </c>
      <c r="H284">
        <v>1.2</v>
      </c>
      <c r="I284">
        <v>9</v>
      </c>
      <c r="J284">
        <v>100</v>
      </c>
      <c r="K284">
        <v>576.79999999999995</v>
      </c>
      <c r="L284">
        <v>384</v>
      </c>
      <c r="M284">
        <v>366</v>
      </c>
      <c r="N284">
        <v>554</v>
      </c>
      <c r="O284">
        <v>188</v>
      </c>
      <c r="P284">
        <v>304</v>
      </c>
      <c r="Q284">
        <v>581</v>
      </c>
      <c r="R284">
        <v>277</v>
      </c>
      <c r="S284">
        <v>221.4</v>
      </c>
      <c r="T284">
        <v>380</v>
      </c>
      <c r="U284">
        <v>378</v>
      </c>
      <c r="V284">
        <v>500</v>
      </c>
      <c r="W284">
        <v>2.79</v>
      </c>
    </row>
    <row r="285" spans="1:23" x14ac:dyDescent="0.25">
      <c r="A285" t="s">
        <v>33</v>
      </c>
      <c r="B285">
        <v>13</v>
      </c>
      <c r="C285">
        <v>11</v>
      </c>
      <c r="D285">
        <v>1996</v>
      </c>
      <c r="E285">
        <v>148.1</v>
      </c>
      <c r="F285">
        <v>12.6</v>
      </c>
      <c r="G285">
        <v>11.1</v>
      </c>
      <c r="H285">
        <v>1.5</v>
      </c>
      <c r="I285">
        <v>11</v>
      </c>
      <c r="J285">
        <v>112.3</v>
      </c>
      <c r="K285">
        <v>689.1</v>
      </c>
      <c r="L285">
        <v>371</v>
      </c>
      <c r="M285">
        <v>351</v>
      </c>
      <c r="N285">
        <v>517</v>
      </c>
      <c r="O285">
        <v>166</v>
      </c>
      <c r="P285">
        <v>281</v>
      </c>
      <c r="Q285">
        <v>530</v>
      </c>
      <c r="R285">
        <v>249</v>
      </c>
      <c r="S285">
        <v>221.4</v>
      </c>
      <c r="T285">
        <v>380</v>
      </c>
      <c r="U285">
        <v>378</v>
      </c>
      <c r="V285">
        <v>500</v>
      </c>
      <c r="W285">
        <v>2.79</v>
      </c>
    </row>
    <row r="286" spans="1:23" x14ac:dyDescent="0.25">
      <c r="A286" t="s">
        <v>33</v>
      </c>
      <c r="B286">
        <v>13</v>
      </c>
      <c r="C286">
        <v>12</v>
      </c>
      <c r="D286">
        <v>1997</v>
      </c>
      <c r="E286">
        <v>162.19999999999999</v>
      </c>
      <c r="F286">
        <v>14.1</v>
      </c>
      <c r="G286">
        <v>12</v>
      </c>
      <c r="H286">
        <v>2.1</v>
      </c>
      <c r="I286">
        <v>14</v>
      </c>
      <c r="J286">
        <v>137.5</v>
      </c>
      <c r="K286">
        <v>826.5</v>
      </c>
      <c r="L286">
        <v>372</v>
      </c>
      <c r="M286">
        <v>345</v>
      </c>
      <c r="N286">
        <v>523</v>
      </c>
      <c r="O286">
        <v>178</v>
      </c>
      <c r="P286">
        <v>294</v>
      </c>
      <c r="Q286">
        <v>549</v>
      </c>
      <c r="R286">
        <v>255</v>
      </c>
      <c r="S286">
        <v>221.4</v>
      </c>
      <c r="T286">
        <v>380</v>
      </c>
      <c r="U286">
        <v>378</v>
      </c>
      <c r="V286">
        <v>500</v>
      </c>
      <c r="W286">
        <v>2.79</v>
      </c>
    </row>
    <row r="287" spans="1:23" x14ac:dyDescent="0.25">
      <c r="A287" t="s">
        <v>33</v>
      </c>
      <c r="B287">
        <v>13</v>
      </c>
      <c r="C287">
        <v>13</v>
      </c>
      <c r="D287">
        <v>1998</v>
      </c>
      <c r="E287">
        <v>169.1</v>
      </c>
      <c r="F287">
        <v>6.9</v>
      </c>
      <c r="G287">
        <v>6</v>
      </c>
      <c r="H287">
        <v>0.9</v>
      </c>
      <c r="I287">
        <v>13</v>
      </c>
      <c r="J287">
        <v>71.8</v>
      </c>
      <c r="K287">
        <v>898.3</v>
      </c>
      <c r="L287">
        <v>387</v>
      </c>
      <c r="M287">
        <v>361</v>
      </c>
      <c r="N287">
        <v>561</v>
      </c>
      <c r="O287">
        <v>200</v>
      </c>
      <c r="P287">
        <v>303</v>
      </c>
      <c r="Q287">
        <v>570</v>
      </c>
      <c r="R287">
        <v>267</v>
      </c>
      <c r="S287">
        <v>221.4</v>
      </c>
      <c r="T287">
        <v>380</v>
      </c>
      <c r="U287">
        <v>378</v>
      </c>
      <c r="V287">
        <v>500</v>
      </c>
      <c r="W287">
        <v>2.79</v>
      </c>
    </row>
    <row r="288" spans="1:23" x14ac:dyDescent="0.25">
      <c r="A288" t="s">
        <v>33</v>
      </c>
      <c r="B288">
        <v>13</v>
      </c>
      <c r="C288">
        <v>14</v>
      </c>
      <c r="D288">
        <v>1999</v>
      </c>
      <c r="E288">
        <v>178.1</v>
      </c>
      <c r="F288">
        <v>9</v>
      </c>
      <c r="G288">
        <v>8.1</v>
      </c>
      <c r="H288">
        <v>0.9</v>
      </c>
      <c r="I288">
        <v>10</v>
      </c>
      <c r="J288">
        <v>98.2</v>
      </c>
      <c r="K288">
        <v>996.5</v>
      </c>
      <c r="L288">
        <v>404</v>
      </c>
      <c r="M288">
        <v>388</v>
      </c>
      <c r="N288">
        <v>553</v>
      </c>
      <c r="O288">
        <v>165</v>
      </c>
      <c r="P288">
        <v>343</v>
      </c>
      <c r="Q288">
        <v>557</v>
      </c>
      <c r="R288">
        <v>214</v>
      </c>
      <c r="S288">
        <v>221.4</v>
      </c>
      <c r="T288">
        <v>380</v>
      </c>
      <c r="U288">
        <v>378</v>
      </c>
      <c r="V288">
        <v>500</v>
      </c>
      <c r="W288">
        <v>2.79</v>
      </c>
    </row>
    <row r="289" spans="1:23" x14ac:dyDescent="0.25">
      <c r="A289" t="s">
        <v>33</v>
      </c>
      <c r="B289">
        <v>13</v>
      </c>
      <c r="C289">
        <v>15</v>
      </c>
      <c r="D289">
        <v>2000</v>
      </c>
      <c r="E289">
        <v>186.2</v>
      </c>
      <c r="F289">
        <v>8.1</v>
      </c>
      <c r="G289">
        <v>6.6</v>
      </c>
      <c r="H289">
        <v>1.5</v>
      </c>
      <c r="I289">
        <v>18</v>
      </c>
      <c r="J289">
        <v>92.7</v>
      </c>
      <c r="K289">
        <v>1089.2</v>
      </c>
      <c r="L289">
        <v>390</v>
      </c>
      <c r="M289">
        <v>353</v>
      </c>
      <c r="N289">
        <v>555</v>
      </c>
      <c r="O289">
        <v>202</v>
      </c>
      <c r="P289">
        <v>305</v>
      </c>
      <c r="Q289">
        <v>594</v>
      </c>
      <c r="R289">
        <v>289</v>
      </c>
      <c r="S289">
        <v>221.4</v>
      </c>
      <c r="T289">
        <v>380</v>
      </c>
      <c r="U289">
        <v>378</v>
      </c>
      <c r="V289">
        <v>500</v>
      </c>
      <c r="W289">
        <v>2.79</v>
      </c>
    </row>
    <row r="290" spans="1:23" x14ac:dyDescent="0.25">
      <c r="A290" t="s">
        <v>33</v>
      </c>
      <c r="B290">
        <v>13</v>
      </c>
      <c r="C290">
        <v>16</v>
      </c>
      <c r="D290">
        <v>2001</v>
      </c>
      <c r="E290">
        <v>193.7</v>
      </c>
      <c r="F290">
        <v>7.5</v>
      </c>
      <c r="G290">
        <v>6.3</v>
      </c>
      <c r="H290">
        <v>1.2</v>
      </c>
      <c r="I290">
        <v>16</v>
      </c>
      <c r="J290">
        <v>89.5</v>
      </c>
      <c r="K290">
        <v>1178.7</v>
      </c>
      <c r="L290">
        <v>384</v>
      </c>
      <c r="M290">
        <v>349</v>
      </c>
      <c r="N290">
        <v>567</v>
      </c>
      <c r="O290">
        <v>218</v>
      </c>
      <c r="P290">
        <v>316</v>
      </c>
      <c r="Q290">
        <v>598</v>
      </c>
      <c r="R290">
        <v>282</v>
      </c>
      <c r="S290">
        <v>221.4</v>
      </c>
      <c r="T290">
        <v>380</v>
      </c>
      <c r="U290">
        <v>378</v>
      </c>
      <c r="V290">
        <v>500</v>
      </c>
      <c r="W290">
        <v>2.79</v>
      </c>
    </row>
    <row r="291" spans="1:23" x14ac:dyDescent="0.25">
      <c r="A291" t="s">
        <v>33</v>
      </c>
      <c r="B291">
        <v>13</v>
      </c>
      <c r="C291">
        <v>17</v>
      </c>
      <c r="D291">
        <v>2002</v>
      </c>
      <c r="E291">
        <v>199.1</v>
      </c>
      <c r="F291">
        <v>5.4</v>
      </c>
      <c r="G291">
        <v>4.5</v>
      </c>
      <c r="H291">
        <v>0.9</v>
      </c>
      <c r="I291">
        <v>16</v>
      </c>
      <c r="J291">
        <v>66.599999999999994</v>
      </c>
      <c r="K291">
        <v>1245.4000000000001</v>
      </c>
      <c r="L291">
        <v>397</v>
      </c>
      <c r="M291">
        <v>361</v>
      </c>
      <c r="N291">
        <v>577</v>
      </c>
      <c r="O291">
        <v>216</v>
      </c>
      <c r="P291">
        <v>315</v>
      </c>
      <c r="Q291">
        <v>592</v>
      </c>
      <c r="R291">
        <v>277</v>
      </c>
      <c r="S291">
        <v>221.4</v>
      </c>
      <c r="T291">
        <v>380</v>
      </c>
      <c r="U291">
        <v>378</v>
      </c>
      <c r="V291">
        <v>500</v>
      </c>
      <c r="W291">
        <v>2.79</v>
      </c>
    </row>
    <row r="292" spans="1:23" x14ac:dyDescent="0.25">
      <c r="A292" t="s">
        <v>33</v>
      </c>
      <c r="B292">
        <v>13</v>
      </c>
      <c r="C292">
        <v>18</v>
      </c>
      <c r="D292">
        <v>2003</v>
      </c>
      <c r="E292">
        <v>203.9</v>
      </c>
      <c r="F292">
        <v>4.8</v>
      </c>
      <c r="G292">
        <v>4.5</v>
      </c>
      <c r="H292">
        <v>0.3</v>
      </c>
      <c r="I292">
        <v>6</v>
      </c>
      <c r="J292">
        <v>60.8</v>
      </c>
      <c r="K292">
        <v>1306.0999999999999</v>
      </c>
      <c r="L292">
        <v>371</v>
      </c>
      <c r="M292">
        <v>361</v>
      </c>
      <c r="N292">
        <v>512</v>
      </c>
      <c r="O292">
        <v>151</v>
      </c>
      <c r="P292">
        <v>342</v>
      </c>
      <c r="Q292">
        <v>512</v>
      </c>
      <c r="R292">
        <v>170</v>
      </c>
      <c r="S292">
        <v>221.4</v>
      </c>
      <c r="T292">
        <v>380</v>
      </c>
      <c r="U292">
        <v>378</v>
      </c>
      <c r="V292">
        <v>500</v>
      </c>
      <c r="W292">
        <v>2.79</v>
      </c>
    </row>
    <row r="293" spans="1:23" x14ac:dyDescent="0.25">
      <c r="A293" t="s">
        <v>33</v>
      </c>
      <c r="B293">
        <v>13</v>
      </c>
      <c r="C293">
        <v>19</v>
      </c>
      <c r="D293">
        <v>2004</v>
      </c>
      <c r="E293">
        <v>206.6</v>
      </c>
      <c r="F293">
        <v>2.7</v>
      </c>
      <c r="G293">
        <v>2.1</v>
      </c>
      <c r="H293">
        <v>0.6</v>
      </c>
      <c r="I293">
        <v>22</v>
      </c>
      <c r="J293">
        <v>34.799999999999997</v>
      </c>
      <c r="K293">
        <v>1340.9</v>
      </c>
      <c r="L293">
        <v>416</v>
      </c>
      <c r="M293">
        <v>381</v>
      </c>
      <c r="N293">
        <v>538</v>
      </c>
      <c r="O293">
        <v>157</v>
      </c>
      <c r="P293">
        <v>338</v>
      </c>
      <c r="Q293">
        <v>577</v>
      </c>
      <c r="R293">
        <v>239</v>
      </c>
      <c r="S293">
        <v>221.4</v>
      </c>
      <c r="T293">
        <v>380</v>
      </c>
      <c r="U293">
        <v>378</v>
      </c>
      <c r="V293">
        <v>500</v>
      </c>
      <c r="W293">
        <v>2.79</v>
      </c>
    </row>
    <row r="294" spans="1:23" x14ac:dyDescent="0.25">
      <c r="A294" t="s">
        <v>33</v>
      </c>
      <c r="B294">
        <v>13</v>
      </c>
      <c r="C294">
        <v>20</v>
      </c>
      <c r="D294">
        <v>2005</v>
      </c>
      <c r="E294">
        <v>210.2</v>
      </c>
      <c r="F294">
        <v>3.6</v>
      </c>
      <c r="G294">
        <v>3</v>
      </c>
      <c r="H294">
        <v>0.6</v>
      </c>
      <c r="I294">
        <v>16</v>
      </c>
      <c r="J294">
        <v>47.1</v>
      </c>
      <c r="K294">
        <v>1388.1</v>
      </c>
      <c r="L294">
        <v>421</v>
      </c>
      <c r="M294">
        <v>399</v>
      </c>
      <c r="N294">
        <v>528</v>
      </c>
      <c r="O294">
        <v>129</v>
      </c>
      <c r="P294">
        <v>343</v>
      </c>
      <c r="Q294">
        <v>547</v>
      </c>
      <c r="R294">
        <v>204</v>
      </c>
      <c r="S294">
        <v>221.4</v>
      </c>
      <c r="T294">
        <v>380</v>
      </c>
      <c r="U294">
        <v>378</v>
      </c>
      <c r="V294">
        <v>500</v>
      </c>
      <c r="W294">
        <v>2.79</v>
      </c>
    </row>
    <row r="295" spans="1:23" x14ac:dyDescent="0.25">
      <c r="A295" t="s">
        <v>33</v>
      </c>
      <c r="B295">
        <v>13</v>
      </c>
      <c r="C295">
        <v>21</v>
      </c>
      <c r="D295">
        <v>2006</v>
      </c>
      <c r="E295">
        <v>214.1</v>
      </c>
      <c r="F295">
        <v>3.9</v>
      </c>
      <c r="G295">
        <v>3.3</v>
      </c>
      <c r="H295">
        <v>0.6</v>
      </c>
      <c r="I295">
        <v>15</v>
      </c>
      <c r="J295">
        <v>52</v>
      </c>
      <c r="K295">
        <v>1440.1</v>
      </c>
      <c r="L295">
        <v>421</v>
      </c>
      <c r="M295">
        <v>396</v>
      </c>
      <c r="N295">
        <v>558</v>
      </c>
      <c r="O295">
        <v>162</v>
      </c>
      <c r="P295">
        <v>327</v>
      </c>
      <c r="Q295">
        <v>565</v>
      </c>
      <c r="R295">
        <v>238</v>
      </c>
      <c r="S295">
        <v>221.4</v>
      </c>
      <c r="T295">
        <v>380</v>
      </c>
      <c r="U295">
        <v>378</v>
      </c>
      <c r="V295">
        <v>500</v>
      </c>
      <c r="W295">
        <v>2.79</v>
      </c>
    </row>
    <row r="296" spans="1:23" x14ac:dyDescent="0.25">
      <c r="A296" t="s">
        <v>33</v>
      </c>
      <c r="B296">
        <v>13</v>
      </c>
      <c r="C296">
        <v>22</v>
      </c>
      <c r="D296">
        <v>2007</v>
      </c>
      <c r="E296">
        <v>217.7</v>
      </c>
      <c r="F296">
        <v>3.6</v>
      </c>
      <c r="G296">
        <v>2.7</v>
      </c>
      <c r="H296">
        <v>0.9</v>
      </c>
      <c r="I296">
        <v>24</v>
      </c>
      <c r="J296">
        <v>48.8</v>
      </c>
      <c r="K296">
        <v>1488.9</v>
      </c>
      <c r="L296">
        <v>444</v>
      </c>
      <c r="M296">
        <v>395</v>
      </c>
      <c r="N296">
        <v>589</v>
      </c>
      <c r="O296">
        <v>194</v>
      </c>
      <c r="P296">
        <v>313</v>
      </c>
      <c r="Q296">
        <v>615</v>
      </c>
      <c r="R296">
        <v>302</v>
      </c>
      <c r="S296">
        <v>221.4</v>
      </c>
      <c r="T296">
        <v>380</v>
      </c>
      <c r="U296">
        <v>378</v>
      </c>
      <c r="V296">
        <v>500</v>
      </c>
      <c r="W296">
        <v>2.79</v>
      </c>
    </row>
    <row r="297" spans="1:23" x14ac:dyDescent="0.25">
      <c r="A297" t="s">
        <v>33</v>
      </c>
      <c r="B297">
        <v>13</v>
      </c>
      <c r="C297">
        <v>23</v>
      </c>
      <c r="D297">
        <v>2008</v>
      </c>
      <c r="E297">
        <v>222.5</v>
      </c>
      <c r="F297">
        <v>4.8</v>
      </c>
      <c r="G297">
        <v>4.5</v>
      </c>
      <c r="H297">
        <v>0.3</v>
      </c>
      <c r="I297">
        <v>6</v>
      </c>
      <c r="J297">
        <v>66.400000000000006</v>
      </c>
      <c r="K297">
        <v>1555.3</v>
      </c>
      <c r="L297">
        <v>371</v>
      </c>
      <c r="M297">
        <v>358</v>
      </c>
      <c r="N297">
        <v>568</v>
      </c>
      <c r="O297">
        <v>210</v>
      </c>
      <c r="P297">
        <v>293</v>
      </c>
      <c r="Q297">
        <v>568</v>
      </c>
      <c r="R297">
        <v>275</v>
      </c>
      <c r="S297">
        <v>221.4</v>
      </c>
      <c r="T297">
        <v>380</v>
      </c>
      <c r="U297">
        <v>378</v>
      </c>
      <c r="V297">
        <v>500</v>
      </c>
      <c r="W297">
        <v>2.79</v>
      </c>
    </row>
    <row r="298" spans="1:23" x14ac:dyDescent="0.25">
      <c r="A298" t="s">
        <v>33</v>
      </c>
      <c r="B298">
        <v>13</v>
      </c>
      <c r="C298">
        <v>24</v>
      </c>
      <c r="D298">
        <v>2009</v>
      </c>
      <c r="E298">
        <v>227.9</v>
      </c>
      <c r="F298">
        <v>5.4</v>
      </c>
      <c r="G298">
        <v>3.9</v>
      </c>
      <c r="H298">
        <v>1.5</v>
      </c>
      <c r="I298">
        <v>27</v>
      </c>
      <c r="J298">
        <v>76.400000000000006</v>
      </c>
      <c r="K298">
        <v>1631.7</v>
      </c>
      <c r="L298">
        <v>425</v>
      </c>
      <c r="M298">
        <v>378</v>
      </c>
      <c r="N298">
        <v>547</v>
      </c>
      <c r="O298">
        <v>169</v>
      </c>
      <c r="P298">
        <v>314</v>
      </c>
      <c r="Q298">
        <v>552</v>
      </c>
      <c r="R298">
        <v>238</v>
      </c>
      <c r="S298">
        <v>221.4</v>
      </c>
      <c r="T298">
        <v>380</v>
      </c>
      <c r="U298">
        <v>378</v>
      </c>
      <c r="V298">
        <v>500</v>
      </c>
      <c r="W298">
        <v>2.79</v>
      </c>
    </row>
    <row r="299" spans="1:23" x14ac:dyDescent="0.25">
      <c r="A299" t="s">
        <v>33</v>
      </c>
      <c r="B299">
        <v>13</v>
      </c>
      <c r="C299">
        <v>25</v>
      </c>
      <c r="D299">
        <v>2010</v>
      </c>
      <c r="E299">
        <v>233</v>
      </c>
      <c r="F299">
        <v>5.0999999999999996</v>
      </c>
      <c r="G299">
        <v>4.5</v>
      </c>
      <c r="H299">
        <v>0.6</v>
      </c>
      <c r="I299">
        <v>11</v>
      </c>
      <c r="J299">
        <v>73.8</v>
      </c>
      <c r="K299">
        <v>1705.5</v>
      </c>
      <c r="L299">
        <v>388</v>
      </c>
      <c r="M299">
        <v>362</v>
      </c>
      <c r="N299">
        <v>586</v>
      </c>
      <c r="O299">
        <v>224</v>
      </c>
      <c r="P299">
        <v>298</v>
      </c>
      <c r="Q299">
        <v>592</v>
      </c>
      <c r="R299">
        <v>294</v>
      </c>
      <c r="S299">
        <v>221.4</v>
      </c>
      <c r="T299">
        <v>380</v>
      </c>
      <c r="U299">
        <v>378</v>
      </c>
      <c r="V299">
        <v>500</v>
      </c>
      <c r="W299">
        <v>2.79</v>
      </c>
    </row>
    <row r="300" spans="1:23" x14ac:dyDescent="0.25">
      <c r="A300" t="s">
        <v>33</v>
      </c>
      <c r="B300">
        <v>13</v>
      </c>
      <c r="C300">
        <v>26</v>
      </c>
      <c r="D300">
        <v>2011</v>
      </c>
      <c r="E300">
        <v>237.2</v>
      </c>
      <c r="F300">
        <v>4.2</v>
      </c>
      <c r="G300">
        <v>3.6</v>
      </c>
      <c r="H300">
        <v>0.6</v>
      </c>
      <c r="I300">
        <v>14</v>
      </c>
      <c r="J300">
        <v>62</v>
      </c>
      <c r="K300">
        <v>1767.6</v>
      </c>
      <c r="L300">
        <v>394</v>
      </c>
      <c r="M300">
        <v>369</v>
      </c>
      <c r="N300">
        <v>544</v>
      </c>
      <c r="O300">
        <v>175</v>
      </c>
      <c r="P300">
        <v>327</v>
      </c>
      <c r="Q300">
        <v>576</v>
      </c>
      <c r="R300">
        <v>249</v>
      </c>
      <c r="S300">
        <v>221.4</v>
      </c>
      <c r="T300">
        <v>380</v>
      </c>
      <c r="U300">
        <v>378</v>
      </c>
      <c r="V300">
        <v>500</v>
      </c>
      <c r="W300">
        <v>2.79</v>
      </c>
    </row>
    <row r="301" spans="1:23" x14ac:dyDescent="0.25">
      <c r="A301" t="s">
        <v>33</v>
      </c>
      <c r="B301">
        <v>13</v>
      </c>
      <c r="C301">
        <v>27</v>
      </c>
      <c r="D301">
        <v>2012</v>
      </c>
      <c r="E301">
        <v>241.4</v>
      </c>
      <c r="F301">
        <v>4.2</v>
      </c>
      <c r="G301">
        <v>3.9</v>
      </c>
      <c r="H301">
        <v>0.3</v>
      </c>
      <c r="I301">
        <v>7</v>
      </c>
      <c r="J301">
        <v>63.1</v>
      </c>
      <c r="K301">
        <v>1830.7</v>
      </c>
      <c r="L301">
        <v>397</v>
      </c>
      <c r="M301">
        <v>386</v>
      </c>
      <c r="N301">
        <v>544</v>
      </c>
      <c r="O301">
        <v>158</v>
      </c>
      <c r="P301">
        <v>303</v>
      </c>
      <c r="Q301">
        <v>544</v>
      </c>
      <c r="R301">
        <v>241</v>
      </c>
      <c r="S301">
        <v>221.4</v>
      </c>
      <c r="T301">
        <v>380</v>
      </c>
      <c r="U301">
        <v>378</v>
      </c>
      <c r="V301">
        <v>500</v>
      </c>
      <c r="W301">
        <v>2.79</v>
      </c>
    </row>
    <row r="302" spans="1:23" x14ac:dyDescent="0.25">
      <c r="A302" t="s">
        <v>33</v>
      </c>
      <c r="B302">
        <v>15</v>
      </c>
      <c r="C302">
        <v>3</v>
      </c>
      <c r="D302">
        <v>1988</v>
      </c>
      <c r="E302">
        <v>39.1</v>
      </c>
      <c r="F302">
        <v>39.1</v>
      </c>
      <c r="G302">
        <v>14.1</v>
      </c>
      <c r="H302">
        <v>0</v>
      </c>
      <c r="I302">
        <v>0</v>
      </c>
      <c r="J302">
        <v>48</v>
      </c>
      <c r="K302">
        <v>48</v>
      </c>
      <c r="L302">
        <v>351</v>
      </c>
      <c r="M302">
        <v>351</v>
      </c>
      <c r="P302">
        <v>277</v>
      </c>
      <c r="Q302">
        <v>434</v>
      </c>
      <c r="R302">
        <v>157</v>
      </c>
      <c r="S302">
        <v>222.9</v>
      </c>
      <c r="T302">
        <v>390</v>
      </c>
      <c r="U302">
        <v>386</v>
      </c>
      <c r="V302">
        <v>500</v>
      </c>
      <c r="W302">
        <v>2.79</v>
      </c>
    </row>
    <row r="303" spans="1:23" x14ac:dyDescent="0.25">
      <c r="A303" t="s">
        <v>33</v>
      </c>
      <c r="B303">
        <v>15</v>
      </c>
      <c r="C303">
        <v>4</v>
      </c>
      <c r="D303">
        <v>1989</v>
      </c>
      <c r="E303">
        <v>56.5</v>
      </c>
      <c r="F303">
        <v>17.399999999999999</v>
      </c>
      <c r="G303">
        <v>17.100000000000001</v>
      </c>
      <c r="H303">
        <v>0.3</v>
      </c>
      <c r="I303">
        <v>1</v>
      </c>
      <c r="J303">
        <v>52.3</v>
      </c>
      <c r="K303">
        <v>100.3</v>
      </c>
      <c r="L303">
        <v>364</v>
      </c>
      <c r="M303">
        <v>362</v>
      </c>
      <c r="N303">
        <v>500</v>
      </c>
      <c r="O303">
        <v>138</v>
      </c>
      <c r="P303">
        <v>279</v>
      </c>
      <c r="Q303">
        <v>500</v>
      </c>
      <c r="R303">
        <v>221</v>
      </c>
      <c r="S303">
        <v>222.9</v>
      </c>
      <c r="T303">
        <v>390</v>
      </c>
      <c r="U303">
        <v>386</v>
      </c>
      <c r="V303">
        <v>500</v>
      </c>
      <c r="W303">
        <v>2.79</v>
      </c>
    </row>
    <row r="304" spans="1:23" x14ac:dyDescent="0.25">
      <c r="A304" t="s">
        <v>33</v>
      </c>
      <c r="B304">
        <v>15</v>
      </c>
      <c r="C304">
        <v>5</v>
      </c>
      <c r="D304">
        <v>1990</v>
      </c>
      <c r="E304">
        <v>71.8</v>
      </c>
      <c r="F304">
        <v>15.3</v>
      </c>
      <c r="G304">
        <v>15.3</v>
      </c>
      <c r="H304">
        <v>0</v>
      </c>
      <c r="I304">
        <v>0</v>
      </c>
      <c r="J304">
        <v>61.7</v>
      </c>
      <c r="K304">
        <v>162</v>
      </c>
      <c r="L304">
        <v>338</v>
      </c>
      <c r="M304">
        <v>338</v>
      </c>
      <c r="P304">
        <v>258</v>
      </c>
      <c r="Q304">
        <v>494</v>
      </c>
      <c r="R304">
        <v>236</v>
      </c>
      <c r="S304">
        <v>222.9</v>
      </c>
      <c r="T304">
        <v>390</v>
      </c>
      <c r="U304">
        <v>386</v>
      </c>
      <c r="V304">
        <v>500</v>
      </c>
      <c r="W304">
        <v>2.79</v>
      </c>
    </row>
    <row r="305" spans="1:23" x14ac:dyDescent="0.25">
      <c r="A305" t="s">
        <v>33</v>
      </c>
      <c r="B305">
        <v>15</v>
      </c>
      <c r="C305">
        <v>6</v>
      </c>
      <c r="D305">
        <v>1991</v>
      </c>
      <c r="E305">
        <v>85.3</v>
      </c>
      <c r="F305">
        <v>13.5</v>
      </c>
      <c r="G305">
        <v>12.9</v>
      </c>
      <c r="H305">
        <v>0.6</v>
      </c>
      <c r="I305">
        <v>4</v>
      </c>
      <c r="J305">
        <v>66.599999999999994</v>
      </c>
      <c r="K305">
        <v>228.6</v>
      </c>
      <c r="L305">
        <v>352</v>
      </c>
      <c r="M305">
        <v>344</v>
      </c>
      <c r="N305">
        <v>507</v>
      </c>
      <c r="O305">
        <v>163</v>
      </c>
      <c r="P305">
        <v>272</v>
      </c>
      <c r="Q305">
        <v>511</v>
      </c>
      <c r="R305">
        <v>239</v>
      </c>
      <c r="S305">
        <v>222.9</v>
      </c>
      <c r="T305">
        <v>390</v>
      </c>
      <c r="U305">
        <v>386</v>
      </c>
      <c r="V305">
        <v>500</v>
      </c>
      <c r="W305">
        <v>2.79</v>
      </c>
    </row>
    <row r="306" spans="1:23" x14ac:dyDescent="0.25">
      <c r="A306" t="s">
        <v>33</v>
      </c>
      <c r="B306">
        <v>15</v>
      </c>
      <c r="C306">
        <v>7</v>
      </c>
      <c r="D306">
        <v>1992</v>
      </c>
      <c r="E306">
        <v>100.6</v>
      </c>
      <c r="F306">
        <v>15.3</v>
      </c>
      <c r="G306">
        <v>15.3</v>
      </c>
      <c r="H306">
        <v>0</v>
      </c>
      <c r="I306">
        <v>0</v>
      </c>
      <c r="J306">
        <v>89.4</v>
      </c>
      <c r="K306">
        <v>317.89999999999998</v>
      </c>
      <c r="L306">
        <v>364</v>
      </c>
      <c r="M306">
        <v>364</v>
      </c>
      <c r="P306">
        <v>291</v>
      </c>
      <c r="Q306">
        <v>497</v>
      </c>
      <c r="R306">
        <v>206</v>
      </c>
      <c r="S306">
        <v>222.9</v>
      </c>
      <c r="T306">
        <v>390</v>
      </c>
      <c r="U306">
        <v>386</v>
      </c>
      <c r="V306">
        <v>500</v>
      </c>
      <c r="W306">
        <v>2.79</v>
      </c>
    </row>
    <row r="307" spans="1:23" x14ac:dyDescent="0.25">
      <c r="A307" t="s">
        <v>33</v>
      </c>
      <c r="B307">
        <v>15</v>
      </c>
      <c r="C307">
        <v>8</v>
      </c>
      <c r="D307">
        <v>1993</v>
      </c>
      <c r="E307">
        <v>114.7</v>
      </c>
      <c r="F307">
        <v>14.1</v>
      </c>
      <c r="G307">
        <v>13.2</v>
      </c>
      <c r="H307">
        <v>0.9</v>
      </c>
      <c r="I307">
        <v>6</v>
      </c>
      <c r="J307">
        <v>95.4</v>
      </c>
      <c r="K307">
        <v>413.3</v>
      </c>
      <c r="L307">
        <v>368</v>
      </c>
      <c r="M307">
        <v>358</v>
      </c>
      <c r="N307">
        <v>512</v>
      </c>
      <c r="O307">
        <v>154</v>
      </c>
      <c r="P307">
        <v>270</v>
      </c>
      <c r="Q307">
        <v>523</v>
      </c>
      <c r="R307">
        <v>253</v>
      </c>
      <c r="S307">
        <v>222.9</v>
      </c>
      <c r="T307">
        <v>390</v>
      </c>
      <c r="U307">
        <v>386</v>
      </c>
      <c r="V307">
        <v>500</v>
      </c>
      <c r="W307">
        <v>2.79</v>
      </c>
    </row>
    <row r="308" spans="1:23" x14ac:dyDescent="0.25">
      <c r="A308" t="s">
        <v>33</v>
      </c>
      <c r="B308">
        <v>15</v>
      </c>
      <c r="C308">
        <v>9</v>
      </c>
      <c r="D308">
        <v>1994</v>
      </c>
      <c r="E308">
        <v>132.69999999999999</v>
      </c>
      <c r="F308">
        <v>18</v>
      </c>
      <c r="G308">
        <v>17.399999999999999</v>
      </c>
      <c r="H308">
        <v>0.6</v>
      </c>
      <c r="I308">
        <v>3</v>
      </c>
      <c r="J308">
        <v>139.9</v>
      </c>
      <c r="K308">
        <v>553.20000000000005</v>
      </c>
      <c r="L308">
        <v>372</v>
      </c>
      <c r="M308">
        <v>366</v>
      </c>
      <c r="N308">
        <v>537</v>
      </c>
      <c r="O308">
        <v>171</v>
      </c>
      <c r="P308">
        <v>299</v>
      </c>
      <c r="Q308">
        <v>538</v>
      </c>
      <c r="R308">
        <v>239</v>
      </c>
      <c r="S308">
        <v>222.9</v>
      </c>
      <c r="T308">
        <v>390</v>
      </c>
      <c r="U308">
        <v>386</v>
      </c>
      <c r="V308">
        <v>500</v>
      </c>
      <c r="W308">
        <v>2.79</v>
      </c>
    </row>
    <row r="309" spans="1:23" x14ac:dyDescent="0.25">
      <c r="A309" t="s">
        <v>33</v>
      </c>
      <c r="B309">
        <v>15</v>
      </c>
      <c r="C309">
        <v>10</v>
      </c>
      <c r="D309">
        <v>1995</v>
      </c>
      <c r="E309">
        <v>148</v>
      </c>
      <c r="F309">
        <v>15.3</v>
      </c>
      <c r="G309">
        <v>14.7</v>
      </c>
      <c r="H309">
        <v>0.6</v>
      </c>
      <c r="I309">
        <v>3</v>
      </c>
      <c r="J309">
        <v>134.9</v>
      </c>
      <c r="K309">
        <v>688.1</v>
      </c>
      <c r="L309">
        <v>367</v>
      </c>
      <c r="M309">
        <v>360</v>
      </c>
      <c r="N309">
        <v>530</v>
      </c>
      <c r="O309">
        <v>170</v>
      </c>
      <c r="P309">
        <v>291</v>
      </c>
      <c r="Q309">
        <v>538</v>
      </c>
      <c r="R309">
        <v>247</v>
      </c>
      <c r="S309">
        <v>222.9</v>
      </c>
      <c r="T309">
        <v>390</v>
      </c>
      <c r="U309">
        <v>386</v>
      </c>
      <c r="V309">
        <v>500</v>
      </c>
      <c r="W309">
        <v>2.79</v>
      </c>
    </row>
    <row r="310" spans="1:23" x14ac:dyDescent="0.25">
      <c r="A310" t="s">
        <v>33</v>
      </c>
      <c r="B310">
        <v>15</v>
      </c>
      <c r="C310">
        <v>11</v>
      </c>
      <c r="D310">
        <v>1996</v>
      </c>
      <c r="E310">
        <v>160</v>
      </c>
      <c r="F310">
        <v>12</v>
      </c>
      <c r="G310">
        <v>10.5</v>
      </c>
      <c r="H310">
        <v>1.5</v>
      </c>
      <c r="I310">
        <v>12</v>
      </c>
      <c r="J310">
        <v>116.1</v>
      </c>
      <c r="K310">
        <v>804.2</v>
      </c>
      <c r="L310">
        <v>388</v>
      </c>
      <c r="M310">
        <v>367</v>
      </c>
      <c r="N310">
        <v>532</v>
      </c>
      <c r="O310">
        <v>165</v>
      </c>
      <c r="P310">
        <v>304</v>
      </c>
      <c r="Q310">
        <v>555</v>
      </c>
      <c r="R310">
        <v>251</v>
      </c>
      <c r="S310">
        <v>222.9</v>
      </c>
      <c r="T310">
        <v>390</v>
      </c>
      <c r="U310">
        <v>386</v>
      </c>
      <c r="V310">
        <v>500</v>
      </c>
      <c r="W310">
        <v>2.79</v>
      </c>
    </row>
    <row r="311" spans="1:23" x14ac:dyDescent="0.25">
      <c r="A311" t="s">
        <v>33</v>
      </c>
      <c r="B311">
        <v>15</v>
      </c>
      <c r="C311">
        <v>12</v>
      </c>
      <c r="D311">
        <v>1997</v>
      </c>
      <c r="E311">
        <v>174.1</v>
      </c>
      <c r="F311">
        <v>14.1</v>
      </c>
      <c r="G311">
        <v>13.5</v>
      </c>
      <c r="H311">
        <v>0.6</v>
      </c>
      <c r="I311">
        <v>4</v>
      </c>
      <c r="J311">
        <v>148</v>
      </c>
      <c r="K311">
        <v>952.2</v>
      </c>
      <c r="L311">
        <v>382</v>
      </c>
      <c r="M311">
        <v>376</v>
      </c>
      <c r="N311">
        <v>503</v>
      </c>
      <c r="O311">
        <v>127</v>
      </c>
      <c r="P311">
        <v>321</v>
      </c>
      <c r="Q311">
        <v>504</v>
      </c>
      <c r="R311">
        <v>183</v>
      </c>
      <c r="S311">
        <v>222.9</v>
      </c>
      <c r="T311">
        <v>390</v>
      </c>
      <c r="U311">
        <v>386</v>
      </c>
      <c r="V311">
        <v>500</v>
      </c>
      <c r="W311">
        <v>2.79</v>
      </c>
    </row>
    <row r="312" spans="1:23" x14ac:dyDescent="0.25">
      <c r="A312" t="s">
        <v>33</v>
      </c>
      <c r="B312">
        <v>15</v>
      </c>
      <c r="C312">
        <v>13</v>
      </c>
      <c r="D312">
        <v>1998</v>
      </c>
      <c r="E312">
        <v>181.3</v>
      </c>
      <c r="F312">
        <v>7.2</v>
      </c>
      <c r="G312">
        <v>6.6</v>
      </c>
      <c r="H312">
        <v>0.6</v>
      </c>
      <c r="I312">
        <v>8</v>
      </c>
      <c r="J312">
        <v>80.400000000000006</v>
      </c>
      <c r="K312">
        <v>1032.5999999999999</v>
      </c>
      <c r="L312">
        <v>382</v>
      </c>
      <c r="M312">
        <v>369</v>
      </c>
      <c r="N312">
        <v>521</v>
      </c>
      <c r="O312">
        <v>152</v>
      </c>
      <c r="P312">
        <v>293</v>
      </c>
      <c r="Q312">
        <v>533</v>
      </c>
      <c r="R312">
        <v>240</v>
      </c>
      <c r="S312">
        <v>222.9</v>
      </c>
      <c r="T312">
        <v>390</v>
      </c>
      <c r="U312">
        <v>386</v>
      </c>
      <c r="V312">
        <v>500</v>
      </c>
      <c r="W312">
        <v>2.79</v>
      </c>
    </row>
    <row r="313" spans="1:23" x14ac:dyDescent="0.25">
      <c r="A313" t="s">
        <v>33</v>
      </c>
      <c r="B313">
        <v>15</v>
      </c>
      <c r="C313">
        <v>14</v>
      </c>
      <c r="D313">
        <v>1999</v>
      </c>
      <c r="E313">
        <v>189.1</v>
      </c>
      <c r="F313">
        <v>7.8</v>
      </c>
      <c r="G313">
        <v>7.2</v>
      </c>
      <c r="H313">
        <v>0.6</v>
      </c>
      <c r="I313">
        <v>7</v>
      </c>
      <c r="J313">
        <v>90.8</v>
      </c>
      <c r="K313">
        <v>1123.4000000000001</v>
      </c>
      <c r="L313">
        <v>394</v>
      </c>
      <c r="M313">
        <v>382</v>
      </c>
      <c r="N313">
        <v>533</v>
      </c>
      <c r="O313">
        <v>151</v>
      </c>
      <c r="P313">
        <v>323</v>
      </c>
      <c r="Q313">
        <v>537</v>
      </c>
      <c r="R313">
        <v>214</v>
      </c>
      <c r="S313">
        <v>222.9</v>
      </c>
      <c r="T313">
        <v>390</v>
      </c>
      <c r="U313">
        <v>386</v>
      </c>
      <c r="V313">
        <v>500</v>
      </c>
      <c r="W313">
        <v>2.79</v>
      </c>
    </row>
    <row r="314" spans="1:23" x14ac:dyDescent="0.25">
      <c r="A314" t="s">
        <v>33</v>
      </c>
      <c r="B314">
        <v>15</v>
      </c>
      <c r="C314">
        <v>15</v>
      </c>
      <c r="D314">
        <v>2000</v>
      </c>
      <c r="E314">
        <v>197.5</v>
      </c>
      <c r="F314">
        <v>8.4</v>
      </c>
      <c r="G314">
        <v>6.9</v>
      </c>
      <c r="H314">
        <v>1.5</v>
      </c>
      <c r="I314">
        <v>17</v>
      </c>
      <c r="J314">
        <v>102</v>
      </c>
      <c r="K314">
        <v>1225.4000000000001</v>
      </c>
      <c r="L314">
        <v>391</v>
      </c>
      <c r="M314">
        <v>364</v>
      </c>
      <c r="N314">
        <v>519</v>
      </c>
      <c r="O314">
        <v>155</v>
      </c>
      <c r="P314">
        <v>304</v>
      </c>
      <c r="Q314">
        <v>548</v>
      </c>
      <c r="R314">
        <v>244</v>
      </c>
      <c r="S314">
        <v>222.9</v>
      </c>
      <c r="T314">
        <v>390</v>
      </c>
      <c r="U314">
        <v>386</v>
      </c>
      <c r="V314">
        <v>500</v>
      </c>
      <c r="W314">
        <v>2.79</v>
      </c>
    </row>
    <row r="315" spans="1:23" x14ac:dyDescent="0.25">
      <c r="A315" t="s">
        <v>33</v>
      </c>
      <c r="B315">
        <v>15</v>
      </c>
      <c r="C315">
        <v>16</v>
      </c>
      <c r="D315">
        <v>2001</v>
      </c>
      <c r="E315">
        <v>206.5</v>
      </c>
      <c r="F315">
        <v>9</v>
      </c>
      <c r="G315">
        <v>7.5</v>
      </c>
      <c r="H315">
        <v>1.5</v>
      </c>
      <c r="I315">
        <v>16</v>
      </c>
      <c r="J315">
        <v>114.2</v>
      </c>
      <c r="K315">
        <v>1339.6</v>
      </c>
      <c r="L315">
        <v>398</v>
      </c>
      <c r="M315">
        <v>373</v>
      </c>
      <c r="N315">
        <v>521</v>
      </c>
      <c r="O315">
        <v>148</v>
      </c>
      <c r="P315">
        <v>333</v>
      </c>
      <c r="Q315">
        <v>550</v>
      </c>
      <c r="R315">
        <v>217</v>
      </c>
      <c r="S315">
        <v>222.9</v>
      </c>
      <c r="T315">
        <v>390</v>
      </c>
      <c r="U315">
        <v>386</v>
      </c>
      <c r="V315">
        <v>500</v>
      </c>
      <c r="W315">
        <v>2.79</v>
      </c>
    </row>
    <row r="316" spans="1:23" x14ac:dyDescent="0.25">
      <c r="A316" t="s">
        <v>33</v>
      </c>
      <c r="B316">
        <v>15</v>
      </c>
      <c r="C316">
        <v>17</v>
      </c>
      <c r="D316">
        <v>2002</v>
      </c>
      <c r="E316">
        <v>212.5</v>
      </c>
      <c r="F316">
        <v>6</v>
      </c>
      <c r="G316">
        <v>4.8</v>
      </c>
      <c r="H316">
        <v>1.2</v>
      </c>
      <c r="I316">
        <v>20</v>
      </c>
      <c r="J316">
        <v>79</v>
      </c>
      <c r="K316">
        <v>1418.6</v>
      </c>
      <c r="L316">
        <v>416</v>
      </c>
      <c r="M316">
        <v>379</v>
      </c>
      <c r="N316">
        <v>562</v>
      </c>
      <c r="O316">
        <v>183</v>
      </c>
      <c r="P316">
        <v>320</v>
      </c>
      <c r="Q316">
        <v>591</v>
      </c>
      <c r="R316">
        <v>271</v>
      </c>
      <c r="S316">
        <v>222.9</v>
      </c>
      <c r="T316">
        <v>390</v>
      </c>
      <c r="U316">
        <v>386</v>
      </c>
      <c r="V316">
        <v>500</v>
      </c>
      <c r="W316">
        <v>2.79</v>
      </c>
    </row>
    <row r="317" spans="1:23" x14ac:dyDescent="0.25">
      <c r="A317" t="s">
        <v>33</v>
      </c>
      <c r="B317">
        <v>15</v>
      </c>
      <c r="C317">
        <v>18</v>
      </c>
      <c r="D317">
        <v>2003</v>
      </c>
      <c r="E317">
        <v>219.4</v>
      </c>
      <c r="F317">
        <v>6.9</v>
      </c>
      <c r="G317">
        <v>6.3</v>
      </c>
      <c r="H317">
        <v>0.6</v>
      </c>
      <c r="I317">
        <v>8</v>
      </c>
      <c r="J317">
        <v>93.6</v>
      </c>
      <c r="K317">
        <v>1512.2</v>
      </c>
      <c r="L317">
        <v>404</v>
      </c>
      <c r="M317">
        <v>391</v>
      </c>
      <c r="N317">
        <v>538</v>
      </c>
      <c r="O317">
        <v>147</v>
      </c>
      <c r="P317">
        <v>350</v>
      </c>
      <c r="Q317">
        <v>540</v>
      </c>
      <c r="R317">
        <v>190</v>
      </c>
      <c r="S317">
        <v>222.9</v>
      </c>
      <c r="T317">
        <v>390</v>
      </c>
      <c r="U317">
        <v>386</v>
      </c>
      <c r="V317">
        <v>500</v>
      </c>
      <c r="W317">
        <v>2.79</v>
      </c>
    </row>
    <row r="318" spans="1:23" x14ac:dyDescent="0.25">
      <c r="A318" t="s">
        <v>33</v>
      </c>
      <c r="B318">
        <v>15</v>
      </c>
      <c r="C318">
        <v>19</v>
      </c>
      <c r="D318">
        <v>2004</v>
      </c>
      <c r="E318">
        <v>224.5</v>
      </c>
      <c r="F318">
        <v>5.0999999999999996</v>
      </c>
      <c r="G318">
        <v>4.5</v>
      </c>
      <c r="H318">
        <v>0.6</v>
      </c>
      <c r="I318">
        <v>11</v>
      </c>
      <c r="J318">
        <v>71.099999999999994</v>
      </c>
      <c r="K318">
        <v>1583.4</v>
      </c>
      <c r="L318">
        <v>409</v>
      </c>
      <c r="M318">
        <v>394</v>
      </c>
      <c r="N318">
        <v>523</v>
      </c>
      <c r="O318">
        <v>129</v>
      </c>
      <c r="P318">
        <v>346</v>
      </c>
      <c r="Q318">
        <v>524</v>
      </c>
      <c r="R318">
        <v>178</v>
      </c>
      <c r="S318">
        <v>222.9</v>
      </c>
      <c r="T318">
        <v>390</v>
      </c>
      <c r="U318">
        <v>386</v>
      </c>
      <c r="V318">
        <v>500</v>
      </c>
      <c r="W318">
        <v>2.79</v>
      </c>
    </row>
    <row r="319" spans="1:23" x14ac:dyDescent="0.25">
      <c r="A319" t="s">
        <v>33</v>
      </c>
      <c r="B319">
        <v>15</v>
      </c>
      <c r="C319">
        <v>20</v>
      </c>
      <c r="D319">
        <v>2005</v>
      </c>
      <c r="E319">
        <v>229</v>
      </c>
      <c r="F319">
        <v>4.5</v>
      </c>
      <c r="G319">
        <v>4.2</v>
      </c>
      <c r="H319">
        <v>0.3</v>
      </c>
      <c r="I319">
        <v>6</v>
      </c>
      <c r="J319">
        <v>64.099999999999994</v>
      </c>
      <c r="K319">
        <v>1647.5</v>
      </c>
      <c r="L319">
        <v>412</v>
      </c>
      <c r="M319">
        <v>405</v>
      </c>
      <c r="N319">
        <v>517</v>
      </c>
      <c r="O319">
        <v>112</v>
      </c>
      <c r="P319">
        <v>334</v>
      </c>
      <c r="Q319">
        <v>517</v>
      </c>
      <c r="R319">
        <v>183</v>
      </c>
      <c r="S319">
        <v>222.9</v>
      </c>
      <c r="T319">
        <v>390</v>
      </c>
      <c r="U319">
        <v>386</v>
      </c>
      <c r="V319">
        <v>500</v>
      </c>
      <c r="W319">
        <v>2.79</v>
      </c>
    </row>
    <row r="320" spans="1:23" x14ac:dyDescent="0.25">
      <c r="A320" t="s">
        <v>33</v>
      </c>
      <c r="B320">
        <v>15</v>
      </c>
      <c r="C320">
        <v>21</v>
      </c>
      <c r="D320">
        <v>2006</v>
      </c>
      <c r="E320">
        <v>232.6</v>
      </c>
      <c r="F320">
        <v>3.6</v>
      </c>
      <c r="G320">
        <v>3.6</v>
      </c>
      <c r="H320">
        <v>0</v>
      </c>
      <c r="I320">
        <v>0</v>
      </c>
      <c r="J320">
        <v>52.2</v>
      </c>
      <c r="K320">
        <v>1699.7</v>
      </c>
      <c r="L320">
        <v>388</v>
      </c>
      <c r="M320">
        <v>388</v>
      </c>
      <c r="P320">
        <v>311</v>
      </c>
      <c r="Q320">
        <v>429</v>
      </c>
      <c r="R320">
        <v>118</v>
      </c>
      <c r="S320">
        <v>222.9</v>
      </c>
      <c r="T320">
        <v>390</v>
      </c>
      <c r="U320">
        <v>386</v>
      </c>
      <c r="V320">
        <v>500</v>
      </c>
      <c r="W320">
        <v>2.79</v>
      </c>
    </row>
    <row r="321" spans="1:23" x14ac:dyDescent="0.25">
      <c r="A321" t="s">
        <v>33</v>
      </c>
      <c r="B321">
        <v>15</v>
      </c>
      <c r="C321">
        <v>22</v>
      </c>
      <c r="D321">
        <v>2007</v>
      </c>
      <c r="E321">
        <v>235</v>
      </c>
      <c r="F321">
        <v>2.4</v>
      </c>
      <c r="G321">
        <v>1.5</v>
      </c>
      <c r="H321">
        <v>0.9</v>
      </c>
      <c r="I321">
        <v>37</v>
      </c>
      <c r="J321">
        <v>35.299999999999997</v>
      </c>
      <c r="K321">
        <v>1734.9</v>
      </c>
      <c r="L321">
        <v>461</v>
      </c>
      <c r="M321">
        <v>404</v>
      </c>
      <c r="N321">
        <v>556</v>
      </c>
      <c r="O321">
        <v>152</v>
      </c>
      <c r="P321">
        <v>349</v>
      </c>
      <c r="Q321">
        <v>605</v>
      </c>
      <c r="R321">
        <v>256</v>
      </c>
      <c r="S321">
        <v>222.9</v>
      </c>
      <c r="T321">
        <v>390</v>
      </c>
      <c r="U321">
        <v>386</v>
      </c>
      <c r="V321">
        <v>500</v>
      </c>
      <c r="W321">
        <v>2.79</v>
      </c>
    </row>
    <row r="322" spans="1:23" x14ac:dyDescent="0.25">
      <c r="A322" t="s">
        <v>33</v>
      </c>
      <c r="B322">
        <v>15</v>
      </c>
      <c r="C322">
        <v>23</v>
      </c>
      <c r="D322">
        <v>2008</v>
      </c>
      <c r="E322">
        <v>238.6</v>
      </c>
      <c r="F322">
        <v>3.6</v>
      </c>
      <c r="G322">
        <v>3.3</v>
      </c>
      <c r="H322">
        <v>0.3</v>
      </c>
      <c r="I322">
        <v>8</v>
      </c>
      <c r="J322">
        <v>53.6</v>
      </c>
      <c r="K322">
        <v>1788.5</v>
      </c>
      <c r="L322">
        <v>407</v>
      </c>
      <c r="M322">
        <v>395</v>
      </c>
      <c r="N322">
        <v>546</v>
      </c>
      <c r="O322">
        <v>151</v>
      </c>
      <c r="P322">
        <v>327</v>
      </c>
      <c r="Q322">
        <v>546</v>
      </c>
      <c r="R322">
        <v>219</v>
      </c>
      <c r="S322">
        <v>222.9</v>
      </c>
      <c r="T322">
        <v>390</v>
      </c>
      <c r="U322">
        <v>386</v>
      </c>
      <c r="V322">
        <v>500</v>
      </c>
      <c r="W322">
        <v>2.79</v>
      </c>
    </row>
    <row r="323" spans="1:23" x14ac:dyDescent="0.25">
      <c r="A323" t="s">
        <v>33</v>
      </c>
      <c r="B323">
        <v>15</v>
      </c>
      <c r="C323">
        <v>24</v>
      </c>
      <c r="D323">
        <v>2009</v>
      </c>
      <c r="E323">
        <v>241.9</v>
      </c>
      <c r="F323">
        <v>3.3</v>
      </c>
      <c r="G323">
        <v>3</v>
      </c>
      <c r="H323">
        <v>0.3</v>
      </c>
      <c r="I323">
        <v>9</v>
      </c>
      <c r="J323">
        <v>49.8</v>
      </c>
      <c r="K323">
        <v>1838.3</v>
      </c>
      <c r="L323">
        <v>415</v>
      </c>
      <c r="M323">
        <v>404</v>
      </c>
      <c r="N323">
        <v>521</v>
      </c>
      <c r="O323">
        <v>117</v>
      </c>
      <c r="P323">
        <v>350</v>
      </c>
      <c r="Q323">
        <v>521</v>
      </c>
      <c r="R323">
        <v>171</v>
      </c>
      <c r="S323">
        <v>222.9</v>
      </c>
      <c r="T323">
        <v>390</v>
      </c>
      <c r="U323">
        <v>386</v>
      </c>
      <c r="V323">
        <v>500</v>
      </c>
      <c r="W323">
        <v>2.79</v>
      </c>
    </row>
    <row r="324" spans="1:23" x14ac:dyDescent="0.25">
      <c r="A324" t="s">
        <v>33</v>
      </c>
      <c r="B324">
        <v>15</v>
      </c>
      <c r="C324">
        <v>25</v>
      </c>
      <c r="D324">
        <v>2010</v>
      </c>
      <c r="E324">
        <v>244</v>
      </c>
      <c r="F324">
        <v>2.1</v>
      </c>
      <c r="G324">
        <v>1.8</v>
      </c>
      <c r="H324">
        <v>0.3</v>
      </c>
      <c r="I324">
        <v>14</v>
      </c>
      <c r="J324">
        <v>32.1</v>
      </c>
      <c r="K324">
        <v>1870.4</v>
      </c>
      <c r="L324">
        <v>403</v>
      </c>
      <c r="M324">
        <v>384</v>
      </c>
      <c r="N324">
        <v>515</v>
      </c>
      <c r="O324">
        <v>131</v>
      </c>
      <c r="P324">
        <v>343</v>
      </c>
      <c r="Q324">
        <v>515</v>
      </c>
      <c r="R324">
        <v>172</v>
      </c>
      <c r="S324">
        <v>222.9</v>
      </c>
      <c r="T324">
        <v>390</v>
      </c>
      <c r="U324">
        <v>386</v>
      </c>
      <c r="V324">
        <v>500</v>
      </c>
      <c r="W324">
        <v>2.79</v>
      </c>
    </row>
    <row r="325" spans="1:23" x14ac:dyDescent="0.25">
      <c r="A325" t="s">
        <v>33</v>
      </c>
      <c r="B325">
        <v>15</v>
      </c>
      <c r="C325">
        <v>26</v>
      </c>
      <c r="D325">
        <v>2011</v>
      </c>
      <c r="E325">
        <v>245.8</v>
      </c>
      <c r="F325">
        <v>1.8</v>
      </c>
      <c r="G325">
        <v>1.5</v>
      </c>
      <c r="H325">
        <v>0.3</v>
      </c>
      <c r="I325">
        <v>16</v>
      </c>
      <c r="J325">
        <v>27.7</v>
      </c>
      <c r="K325">
        <v>1898.1</v>
      </c>
      <c r="L325">
        <v>430</v>
      </c>
      <c r="M325">
        <v>410</v>
      </c>
      <c r="N325">
        <v>528</v>
      </c>
      <c r="O325">
        <v>118</v>
      </c>
      <c r="P325">
        <v>351</v>
      </c>
      <c r="Q325">
        <v>528</v>
      </c>
      <c r="R325">
        <v>177</v>
      </c>
      <c r="S325">
        <v>222.9</v>
      </c>
      <c r="T325">
        <v>390</v>
      </c>
      <c r="U325">
        <v>386</v>
      </c>
      <c r="V325">
        <v>500</v>
      </c>
      <c r="W325">
        <v>2.79</v>
      </c>
    </row>
    <row r="326" spans="1:23" x14ac:dyDescent="0.25">
      <c r="A326" t="s">
        <v>33</v>
      </c>
      <c r="B326">
        <v>15</v>
      </c>
      <c r="C326">
        <v>27</v>
      </c>
      <c r="D326">
        <v>2012</v>
      </c>
      <c r="E326">
        <v>247.9</v>
      </c>
      <c r="F326">
        <v>2.1</v>
      </c>
      <c r="G326">
        <v>2.1</v>
      </c>
      <c r="H326">
        <v>0</v>
      </c>
      <c r="I326">
        <v>0</v>
      </c>
      <c r="J326">
        <v>32.6</v>
      </c>
      <c r="K326">
        <v>1930.6</v>
      </c>
      <c r="L326">
        <v>414</v>
      </c>
      <c r="M326">
        <v>414</v>
      </c>
      <c r="P326">
        <v>373</v>
      </c>
      <c r="Q326">
        <v>469</v>
      </c>
      <c r="R326">
        <v>96</v>
      </c>
      <c r="S326">
        <v>222.9</v>
      </c>
      <c r="T326">
        <v>390</v>
      </c>
      <c r="U326">
        <v>386</v>
      </c>
      <c r="V326">
        <v>500</v>
      </c>
      <c r="W326">
        <v>2.79</v>
      </c>
    </row>
    <row r="327" spans="1:23" x14ac:dyDescent="0.25">
      <c r="A327" t="s">
        <v>33</v>
      </c>
      <c r="B327">
        <v>14</v>
      </c>
      <c r="C327">
        <v>3</v>
      </c>
      <c r="D327">
        <v>1987</v>
      </c>
      <c r="E327">
        <v>38.4</v>
      </c>
      <c r="F327">
        <v>38.4</v>
      </c>
      <c r="G327">
        <v>23.4</v>
      </c>
      <c r="H327">
        <v>0</v>
      </c>
      <c r="I327">
        <v>0</v>
      </c>
      <c r="J327">
        <v>46.3</v>
      </c>
      <c r="K327">
        <v>46.3</v>
      </c>
      <c r="L327">
        <v>363</v>
      </c>
      <c r="M327">
        <v>363</v>
      </c>
      <c r="P327">
        <v>302</v>
      </c>
      <c r="Q327">
        <v>495</v>
      </c>
      <c r="R327">
        <v>193</v>
      </c>
      <c r="S327">
        <v>292.2</v>
      </c>
      <c r="T327">
        <v>398</v>
      </c>
      <c r="U327">
        <v>397</v>
      </c>
      <c r="V327">
        <v>500</v>
      </c>
      <c r="W327">
        <v>2.79</v>
      </c>
    </row>
    <row r="328" spans="1:23" x14ac:dyDescent="0.25">
      <c r="A328" t="s">
        <v>33</v>
      </c>
      <c r="B328">
        <v>14</v>
      </c>
      <c r="C328">
        <v>4</v>
      </c>
      <c r="D328">
        <v>1988</v>
      </c>
      <c r="E328">
        <v>62.4</v>
      </c>
      <c r="F328">
        <v>24</v>
      </c>
      <c r="G328">
        <v>24</v>
      </c>
      <c r="H328">
        <v>0</v>
      </c>
      <c r="I328">
        <v>0</v>
      </c>
      <c r="J328">
        <v>76</v>
      </c>
      <c r="K328">
        <v>122.3</v>
      </c>
      <c r="L328">
        <v>340</v>
      </c>
      <c r="M328">
        <v>340</v>
      </c>
      <c r="P328">
        <v>277</v>
      </c>
      <c r="Q328">
        <v>446</v>
      </c>
      <c r="R328">
        <v>169</v>
      </c>
      <c r="S328">
        <v>292.2</v>
      </c>
      <c r="T328">
        <v>398</v>
      </c>
      <c r="U328">
        <v>397</v>
      </c>
      <c r="V328">
        <v>500</v>
      </c>
      <c r="W328">
        <v>2.79</v>
      </c>
    </row>
    <row r="329" spans="1:23" x14ac:dyDescent="0.25">
      <c r="A329" t="s">
        <v>33</v>
      </c>
      <c r="B329">
        <v>14</v>
      </c>
      <c r="C329">
        <v>5</v>
      </c>
      <c r="D329">
        <v>1989</v>
      </c>
      <c r="E329">
        <v>77.099999999999994</v>
      </c>
      <c r="F329">
        <v>14.7</v>
      </c>
      <c r="G329">
        <v>14.4</v>
      </c>
      <c r="H329">
        <v>0.3</v>
      </c>
      <c r="I329">
        <v>2</v>
      </c>
      <c r="J329">
        <v>64.400000000000006</v>
      </c>
      <c r="K329">
        <v>186.7</v>
      </c>
      <c r="L329">
        <v>345</v>
      </c>
      <c r="M329">
        <v>341</v>
      </c>
      <c r="N329">
        <v>540</v>
      </c>
      <c r="O329">
        <v>199</v>
      </c>
      <c r="P329">
        <v>270</v>
      </c>
      <c r="Q329">
        <v>540</v>
      </c>
      <c r="R329">
        <v>270</v>
      </c>
      <c r="S329">
        <v>292.2</v>
      </c>
      <c r="T329">
        <v>398</v>
      </c>
      <c r="U329">
        <v>397</v>
      </c>
      <c r="V329">
        <v>500</v>
      </c>
      <c r="W329">
        <v>2.79</v>
      </c>
    </row>
    <row r="330" spans="1:23" x14ac:dyDescent="0.25">
      <c r="A330" t="s">
        <v>33</v>
      </c>
      <c r="B330">
        <v>14</v>
      </c>
      <c r="C330">
        <v>6</v>
      </c>
      <c r="D330">
        <v>1990</v>
      </c>
      <c r="E330">
        <v>91.5</v>
      </c>
      <c r="F330">
        <v>14.4</v>
      </c>
      <c r="G330">
        <v>13.5</v>
      </c>
      <c r="H330">
        <v>0.9</v>
      </c>
      <c r="I330">
        <v>6</v>
      </c>
      <c r="J330">
        <v>76.3</v>
      </c>
      <c r="K330">
        <v>263</v>
      </c>
      <c r="L330">
        <v>350</v>
      </c>
      <c r="M330">
        <v>339</v>
      </c>
      <c r="N330">
        <v>519</v>
      </c>
      <c r="O330">
        <v>180</v>
      </c>
      <c r="P330">
        <v>262</v>
      </c>
      <c r="Q330">
        <v>533</v>
      </c>
      <c r="R330">
        <v>271</v>
      </c>
      <c r="S330">
        <v>292.2</v>
      </c>
      <c r="T330">
        <v>398</v>
      </c>
      <c r="U330">
        <v>397</v>
      </c>
      <c r="V330">
        <v>500</v>
      </c>
      <c r="W330">
        <v>2.79</v>
      </c>
    </row>
    <row r="331" spans="1:23" x14ac:dyDescent="0.25">
      <c r="A331" t="s">
        <v>33</v>
      </c>
      <c r="B331">
        <v>14</v>
      </c>
      <c r="C331">
        <v>7</v>
      </c>
      <c r="D331">
        <v>1991</v>
      </c>
      <c r="E331">
        <v>103.8</v>
      </c>
      <c r="F331">
        <v>12.3</v>
      </c>
      <c r="G331">
        <v>11.1</v>
      </c>
      <c r="H331">
        <v>1.2</v>
      </c>
      <c r="I331">
        <v>9</v>
      </c>
      <c r="J331">
        <v>75.5</v>
      </c>
      <c r="K331">
        <v>338.5</v>
      </c>
      <c r="L331">
        <v>353</v>
      </c>
      <c r="M331">
        <v>335</v>
      </c>
      <c r="N331">
        <v>528</v>
      </c>
      <c r="O331">
        <v>193</v>
      </c>
      <c r="P331">
        <v>268</v>
      </c>
      <c r="Q331">
        <v>552</v>
      </c>
      <c r="R331">
        <v>284</v>
      </c>
      <c r="S331">
        <v>292.2</v>
      </c>
      <c r="T331">
        <v>398</v>
      </c>
      <c r="U331">
        <v>397</v>
      </c>
      <c r="V331">
        <v>500</v>
      </c>
      <c r="W331">
        <v>2.79</v>
      </c>
    </row>
    <row r="332" spans="1:23" x14ac:dyDescent="0.25">
      <c r="A332" t="s">
        <v>33</v>
      </c>
      <c r="B332">
        <v>14</v>
      </c>
      <c r="C332">
        <v>8</v>
      </c>
      <c r="D332">
        <v>1992</v>
      </c>
      <c r="E332">
        <v>119.7</v>
      </c>
      <c r="F332">
        <v>15.9</v>
      </c>
      <c r="G332">
        <v>14.7</v>
      </c>
      <c r="H332">
        <v>1.2</v>
      </c>
      <c r="I332">
        <v>7</v>
      </c>
      <c r="J332">
        <v>111.6</v>
      </c>
      <c r="K332">
        <v>450.1</v>
      </c>
      <c r="L332">
        <v>359</v>
      </c>
      <c r="M332">
        <v>347</v>
      </c>
      <c r="N332">
        <v>511</v>
      </c>
      <c r="O332">
        <v>164</v>
      </c>
      <c r="P332">
        <v>281</v>
      </c>
      <c r="Q332">
        <v>518</v>
      </c>
      <c r="R332">
        <v>237</v>
      </c>
      <c r="S332">
        <v>292.2</v>
      </c>
      <c r="T332">
        <v>398</v>
      </c>
      <c r="U332">
        <v>397</v>
      </c>
      <c r="V332">
        <v>500</v>
      </c>
      <c r="W332">
        <v>2.79</v>
      </c>
    </row>
    <row r="333" spans="1:23" x14ac:dyDescent="0.25">
      <c r="A333" t="s">
        <v>33</v>
      </c>
      <c r="B333">
        <v>14</v>
      </c>
      <c r="C333">
        <v>9</v>
      </c>
      <c r="D333">
        <v>1993</v>
      </c>
      <c r="E333">
        <v>137.1</v>
      </c>
      <c r="F333">
        <v>17.399999999999999</v>
      </c>
      <c r="G333">
        <v>15.9</v>
      </c>
      <c r="H333">
        <v>1.5</v>
      </c>
      <c r="I333">
        <v>8</v>
      </c>
      <c r="J333">
        <v>140.4</v>
      </c>
      <c r="K333">
        <v>590.5</v>
      </c>
      <c r="L333">
        <v>375</v>
      </c>
      <c r="M333">
        <v>361</v>
      </c>
      <c r="N333">
        <v>525</v>
      </c>
      <c r="O333">
        <v>164</v>
      </c>
      <c r="P333">
        <v>283</v>
      </c>
      <c r="Q333">
        <v>537</v>
      </c>
      <c r="R333">
        <v>254</v>
      </c>
      <c r="S333">
        <v>292.2</v>
      </c>
      <c r="T333">
        <v>398</v>
      </c>
      <c r="U333">
        <v>397</v>
      </c>
      <c r="V333">
        <v>500</v>
      </c>
      <c r="W333">
        <v>2.79</v>
      </c>
    </row>
    <row r="334" spans="1:23" x14ac:dyDescent="0.25">
      <c r="A334" t="s">
        <v>33</v>
      </c>
      <c r="B334">
        <v>14</v>
      </c>
      <c r="C334">
        <v>10</v>
      </c>
      <c r="D334">
        <v>1994</v>
      </c>
      <c r="E334">
        <v>151.80000000000001</v>
      </c>
      <c r="F334">
        <v>14.7</v>
      </c>
      <c r="G334">
        <v>13.8</v>
      </c>
      <c r="H334">
        <v>0.9</v>
      </c>
      <c r="I334">
        <v>6</v>
      </c>
      <c r="J334">
        <v>133.4</v>
      </c>
      <c r="K334">
        <v>723.9</v>
      </c>
      <c r="L334">
        <v>363</v>
      </c>
      <c r="M334">
        <v>352</v>
      </c>
      <c r="N334">
        <v>531</v>
      </c>
      <c r="O334">
        <v>179</v>
      </c>
      <c r="P334">
        <v>240</v>
      </c>
      <c r="Q334">
        <v>546</v>
      </c>
      <c r="R334">
        <v>306</v>
      </c>
      <c r="S334">
        <v>292.2</v>
      </c>
      <c r="T334">
        <v>398</v>
      </c>
      <c r="U334">
        <v>397</v>
      </c>
      <c r="V334">
        <v>500</v>
      </c>
      <c r="W334">
        <v>2.79</v>
      </c>
    </row>
    <row r="335" spans="1:23" x14ac:dyDescent="0.25">
      <c r="A335" t="s">
        <v>33</v>
      </c>
      <c r="B335">
        <v>14</v>
      </c>
      <c r="C335">
        <v>11</v>
      </c>
      <c r="D335">
        <v>1995</v>
      </c>
      <c r="E335">
        <v>165</v>
      </c>
      <c r="F335">
        <v>13.2</v>
      </c>
      <c r="G335">
        <v>12</v>
      </c>
      <c r="H335">
        <v>1.2</v>
      </c>
      <c r="I335">
        <v>9</v>
      </c>
      <c r="J335">
        <v>131.4</v>
      </c>
      <c r="K335">
        <v>855.3</v>
      </c>
      <c r="L335">
        <v>377</v>
      </c>
      <c r="M335">
        <v>360</v>
      </c>
      <c r="N335">
        <v>542</v>
      </c>
      <c r="O335">
        <v>182</v>
      </c>
      <c r="P335">
        <v>308</v>
      </c>
      <c r="Q335">
        <v>570</v>
      </c>
      <c r="R335">
        <v>262</v>
      </c>
      <c r="S335">
        <v>292.2</v>
      </c>
      <c r="T335">
        <v>398</v>
      </c>
      <c r="U335">
        <v>397</v>
      </c>
      <c r="V335">
        <v>500</v>
      </c>
      <c r="W335">
        <v>2.79</v>
      </c>
    </row>
    <row r="336" spans="1:23" x14ac:dyDescent="0.25">
      <c r="A336" t="s">
        <v>33</v>
      </c>
      <c r="B336">
        <v>14</v>
      </c>
      <c r="C336">
        <v>12</v>
      </c>
      <c r="D336">
        <v>1996</v>
      </c>
      <c r="E336">
        <v>178.2</v>
      </c>
      <c r="F336">
        <v>13.2</v>
      </c>
      <c r="G336">
        <v>11.4</v>
      </c>
      <c r="H336">
        <v>1.8</v>
      </c>
      <c r="I336">
        <v>13</v>
      </c>
      <c r="J336">
        <v>142.30000000000001</v>
      </c>
      <c r="K336">
        <v>997.6</v>
      </c>
      <c r="L336">
        <v>375</v>
      </c>
      <c r="M336">
        <v>349</v>
      </c>
      <c r="N336">
        <v>539</v>
      </c>
      <c r="O336">
        <v>190</v>
      </c>
      <c r="P336">
        <v>289</v>
      </c>
      <c r="Q336">
        <v>569</v>
      </c>
      <c r="R336">
        <v>280</v>
      </c>
      <c r="S336">
        <v>292.2</v>
      </c>
      <c r="T336">
        <v>398</v>
      </c>
      <c r="U336">
        <v>397</v>
      </c>
      <c r="V336">
        <v>500</v>
      </c>
      <c r="W336">
        <v>2.79</v>
      </c>
    </row>
    <row r="337" spans="1:23" x14ac:dyDescent="0.25">
      <c r="A337" t="s">
        <v>33</v>
      </c>
      <c r="B337">
        <v>14</v>
      </c>
      <c r="C337">
        <v>13</v>
      </c>
      <c r="D337">
        <v>1997</v>
      </c>
      <c r="E337">
        <v>194.4</v>
      </c>
      <c r="F337">
        <v>16.2</v>
      </c>
      <c r="G337">
        <v>14.4</v>
      </c>
      <c r="H337">
        <v>1.8</v>
      </c>
      <c r="I337">
        <v>11</v>
      </c>
      <c r="J337">
        <v>189.6</v>
      </c>
      <c r="K337">
        <v>1187.3</v>
      </c>
      <c r="L337">
        <v>377</v>
      </c>
      <c r="M337">
        <v>360</v>
      </c>
      <c r="N337">
        <v>512</v>
      </c>
      <c r="O337">
        <v>152</v>
      </c>
      <c r="P337">
        <v>302</v>
      </c>
      <c r="Q337">
        <v>523</v>
      </c>
      <c r="R337">
        <v>221</v>
      </c>
      <c r="S337">
        <v>292.2</v>
      </c>
      <c r="T337">
        <v>398</v>
      </c>
      <c r="U337">
        <v>397</v>
      </c>
      <c r="V337">
        <v>500</v>
      </c>
      <c r="W337">
        <v>2.79</v>
      </c>
    </row>
    <row r="338" spans="1:23" x14ac:dyDescent="0.25">
      <c r="A338" t="s">
        <v>33</v>
      </c>
      <c r="B338">
        <v>14</v>
      </c>
      <c r="C338">
        <v>14</v>
      </c>
      <c r="D338">
        <v>1998</v>
      </c>
      <c r="E338">
        <v>204.6</v>
      </c>
      <c r="F338">
        <v>10.199999999999999</v>
      </c>
      <c r="G338">
        <v>8.4</v>
      </c>
      <c r="H338">
        <v>1.8</v>
      </c>
      <c r="I338">
        <v>17</v>
      </c>
      <c r="J338">
        <v>127.9</v>
      </c>
      <c r="K338">
        <v>1315.1</v>
      </c>
      <c r="L338">
        <v>398</v>
      </c>
      <c r="M338">
        <v>372</v>
      </c>
      <c r="N338">
        <v>519</v>
      </c>
      <c r="O338">
        <v>147</v>
      </c>
      <c r="P338">
        <v>284</v>
      </c>
      <c r="Q338">
        <v>550</v>
      </c>
      <c r="R338">
        <v>266</v>
      </c>
      <c r="S338">
        <v>292.2</v>
      </c>
      <c r="T338">
        <v>398</v>
      </c>
      <c r="U338">
        <v>397</v>
      </c>
      <c r="V338">
        <v>500</v>
      </c>
      <c r="W338">
        <v>2.79</v>
      </c>
    </row>
    <row r="339" spans="1:23" x14ac:dyDescent="0.25">
      <c r="A339" t="s">
        <v>33</v>
      </c>
      <c r="B339">
        <v>14</v>
      </c>
      <c r="C339">
        <v>15</v>
      </c>
      <c r="D339">
        <v>1999</v>
      </c>
      <c r="E339">
        <v>217.2</v>
      </c>
      <c r="F339">
        <v>12.6</v>
      </c>
      <c r="G339">
        <v>11.4</v>
      </c>
      <c r="H339">
        <v>1.2</v>
      </c>
      <c r="I339">
        <v>9</v>
      </c>
      <c r="J339">
        <v>167</v>
      </c>
      <c r="K339">
        <v>1482.1</v>
      </c>
      <c r="L339">
        <v>394</v>
      </c>
      <c r="M339">
        <v>378</v>
      </c>
      <c r="N339">
        <v>547</v>
      </c>
      <c r="O339">
        <v>169</v>
      </c>
      <c r="P339">
        <v>323</v>
      </c>
      <c r="Q339">
        <v>575</v>
      </c>
      <c r="R339">
        <v>252</v>
      </c>
      <c r="S339">
        <v>292.2</v>
      </c>
      <c r="T339">
        <v>398</v>
      </c>
      <c r="U339">
        <v>397</v>
      </c>
      <c r="V339">
        <v>500</v>
      </c>
      <c r="W339">
        <v>2.79</v>
      </c>
    </row>
    <row r="340" spans="1:23" x14ac:dyDescent="0.25">
      <c r="A340" t="s">
        <v>33</v>
      </c>
      <c r="B340">
        <v>14</v>
      </c>
      <c r="C340">
        <v>16</v>
      </c>
      <c r="D340">
        <v>2000</v>
      </c>
      <c r="E340">
        <v>228.3</v>
      </c>
      <c r="F340">
        <v>11.1</v>
      </c>
      <c r="G340">
        <v>9.3000000000000007</v>
      </c>
      <c r="H340">
        <v>1.8</v>
      </c>
      <c r="I340">
        <v>16</v>
      </c>
      <c r="J340">
        <v>155.4</v>
      </c>
      <c r="K340">
        <v>1637.4</v>
      </c>
      <c r="L340">
        <v>382</v>
      </c>
      <c r="M340">
        <v>354</v>
      </c>
      <c r="N340">
        <v>524</v>
      </c>
      <c r="O340">
        <v>170</v>
      </c>
      <c r="P340">
        <v>305</v>
      </c>
      <c r="Q340">
        <v>545</v>
      </c>
      <c r="R340">
        <v>240</v>
      </c>
      <c r="S340">
        <v>292.2</v>
      </c>
      <c r="T340">
        <v>398</v>
      </c>
      <c r="U340">
        <v>397</v>
      </c>
      <c r="V340">
        <v>500</v>
      </c>
      <c r="W340">
        <v>2.79</v>
      </c>
    </row>
    <row r="341" spans="1:23" x14ac:dyDescent="0.25">
      <c r="A341" t="s">
        <v>33</v>
      </c>
      <c r="B341">
        <v>14</v>
      </c>
      <c r="C341">
        <v>17</v>
      </c>
      <c r="D341">
        <v>2001</v>
      </c>
      <c r="E341">
        <v>237.9</v>
      </c>
      <c r="F341">
        <v>9.6</v>
      </c>
      <c r="G341">
        <v>7.5</v>
      </c>
      <c r="H341">
        <v>2.1</v>
      </c>
      <c r="I341">
        <v>21</v>
      </c>
      <c r="J341">
        <v>140.6</v>
      </c>
      <c r="K341">
        <v>1778</v>
      </c>
      <c r="L341">
        <v>378</v>
      </c>
      <c r="M341">
        <v>334</v>
      </c>
      <c r="N341">
        <v>536</v>
      </c>
      <c r="O341">
        <v>202</v>
      </c>
      <c r="P341">
        <v>276</v>
      </c>
      <c r="Q341">
        <v>557</v>
      </c>
      <c r="R341">
        <v>281</v>
      </c>
      <c r="S341">
        <v>292.2</v>
      </c>
      <c r="T341">
        <v>398</v>
      </c>
      <c r="U341">
        <v>397</v>
      </c>
      <c r="V341">
        <v>500</v>
      </c>
      <c r="W341">
        <v>2.79</v>
      </c>
    </row>
    <row r="342" spans="1:23" x14ac:dyDescent="0.25">
      <c r="A342" t="s">
        <v>33</v>
      </c>
      <c r="B342">
        <v>14</v>
      </c>
      <c r="C342">
        <v>18</v>
      </c>
      <c r="D342">
        <v>2002</v>
      </c>
      <c r="E342">
        <v>244.8</v>
      </c>
      <c r="F342">
        <v>6.9</v>
      </c>
      <c r="G342">
        <v>4.8</v>
      </c>
      <c r="H342">
        <v>2.1</v>
      </c>
      <c r="I342">
        <v>30</v>
      </c>
      <c r="J342">
        <v>104.6</v>
      </c>
      <c r="K342">
        <v>1882.7</v>
      </c>
      <c r="L342">
        <v>423</v>
      </c>
      <c r="M342">
        <v>359</v>
      </c>
      <c r="N342">
        <v>569</v>
      </c>
      <c r="O342">
        <v>210</v>
      </c>
      <c r="P342">
        <v>305</v>
      </c>
      <c r="Q342">
        <v>624</v>
      </c>
      <c r="R342">
        <v>319</v>
      </c>
      <c r="S342">
        <v>292.2</v>
      </c>
      <c r="T342">
        <v>398</v>
      </c>
      <c r="U342">
        <v>397</v>
      </c>
      <c r="V342">
        <v>500</v>
      </c>
      <c r="W342">
        <v>2.79</v>
      </c>
    </row>
    <row r="343" spans="1:23" x14ac:dyDescent="0.25">
      <c r="A343" t="s">
        <v>33</v>
      </c>
      <c r="B343">
        <v>14</v>
      </c>
      <c r="C343">
        <v>19</v>
      </c>
      <c r="D343">
        <v>2003</v>
      </c>
      <c r="E343">
        <v>254.7</v>
      </c>
      <c r="F343">
        <v>9.9</v>
      </c>
      <c r="G343">
        <v>8.1</v>
      </c>
      <c r="H343">
        <v>1.8</v>
      </c>
      <c r="I343">
        <v>18</v>
      </c>
      <c r="J343">
        <v>155.4</v>
      </c>
      <c r="K343">
        <v>2038</v>
      </c>
      <c r="L343">
        <v>394</v>
      </c>
      <c r="M343">
        <v>363</v>
      </c>
      <c r="N343">
        <v>535</v>
      </c>
      <c r="O343">
        <v>172</v>
      </c>
      <c r="P343">
        <v>332</v>
      </c>
      <c r="Q343">
        <v>569</v>
      </c>
      <c r="R343">
        <v>237</v>
      </c>
      <c r="S343">
        <v>292.2</v>
      </c>
      <c r="T343">
        <v>398</v>
      </c>
      <c r="U343">
        <v>397</v>
      </c>
      <c r="V343">
        <v>500</v>
      </c>
      <c r="W343">
        <v>2.79</v>
      </c>
    </row>
    <row r="344" spans="1:23" x14ac:dyDescent="0.25">
      <c r="A344" t="s">
        <v>33</v>
      </c>
      <c r="B344">
        <v>14</v>
      </c>
      <c r="C344">
        <v>20</v>
      </c>
      <c r="D344">
        <v>2004</v>
      </c>
      <c r="E344">
        <v>264</v>
      </c>
      <c r="F344">
        <v>9.3000000000000007</v>
      </c>
      <c r="G344">
        <v>7.8</v>
      </c>
      <c r="H344">
        <v>1.5</v>
      </c>
      <c r="I344">
        <v>16</v>
      </c>
      <c r="J344">
        <v>151.5</v>
      </c>
      <c r="K344">
        <v>2189.6</v>
      </c>
      <c r="L344">
        <v>421</v>
      </c>
      <c r="M344">
        <v>400</v>
      </c>
      <c r="N344">
        <v>530</v>
      </c>
      <c r="O344">
        <v>130</v>
      </c>
      <c r="P344">
        <v>320</v>
      </c>
      <c r="Q344">
        <v>570</v>
      </c>
      <c r="R344">
        <v>250</v>
      </c>
      <c r="S344">
        <v>292.2</v>
      </c>
      <c r="T344">
        <v>398</v>
      </c>
      <c r="U344">
        <v>397</v>
      </c>
      <c r="V344">
        <v>500</v>
      </c>
      <c r="W344">
        <v>2.79</v>
      </c>
    </row>
    <row r="345" spans="1:23" x14ac:dyDescent="0.25">
      <c r="A345" t="s">
        <v>33</v>
      </c>
      <c r="B345">
        <v>14</v>
      </c>
      <c r="C345">
        <v>21</v>
      </c>
      <c r="D345">
        <v>2005</v>
      </c>
      <c r="E345">
        <v>272.39999999999998</v>
      </c>
      <c r="F345">
        <v>8.4</v>
      </c>
      <c r="G345">
        <v>6.9</v>
      </c>
      <c r="H345">
        <v>1.5</v>
      </c>
      <c r="I345">
        <v>17</v>
      </c>
      <c r="J345">
        <v>141.6</v>
      </c>
      <c r="K345">
        <v>2331.1</v>
      </c>
      <c r="L345">
        <v>422</v>
      </c>
      <c r="M345">
        <v>393</v>
      </c>
      <c r="N345">
        <v>556</v>
      </c>
      <c r="O345">
        <v>163</v>
      </c>
      <c r="P345">
        <v>342</v>
      </c>
      <c r="Q345">
        <v>589</v>
      </c>
      <c r="R345">
        <v>247</v>
      </c>
      <c r="S345">
        <v>292.2</v>
      </c>
      <c r="T345">
        <v>398</v>
      </c>
      <c r="U345">
        <v>397</v>
      </c>
      <c r="V345">
        <v>500</v>
      </c>
      <c r="W345">
        <v>2.79</v>
      </c>
    </row>
    <row r="346" spans="1:23" x14ac:dyDescent="0.25">
      <c r="A346" t="s">
        <v>33</v>
      </c>
      <c r="B346">
        <v>14</v>
      </c>
      <c r="C346">
        <v>22</v>
      </c>
      <c r="D346">
        <v>2006</v>
      </c>
      <c r="E346">
        <v>279</v>
      </c>
      <c r="F346">
        <v>6.6</v>
      </c>
      <c r="G346">
        <v>4.5</v>
      </c>
      <c r="H346">
        <v>2.1</v>
      </c>
      <c r="I346">
        <v>31</v>
      </c>
      <c r="J346">
        <v>114.3</v>
      </c>
      <c r="K346">
        <v>2445.4</v>
      </c>
      <c r="L346">
        <v>454</v>
      </c>
      <c r="M346">
        <v>408</v>
      </c>
      <c r="N346">
        <v>553</v>
      </c>
      <c r="O346">
        <v>145</v>
      </c>
      <c r="P346">
        <v>360</v>
      </c>
      <c r="Q346">
        <v>583</v>
      </c>
      <c r="R346">
        <v>223</v>
      </c>
      <c r="S346">
        <v>292.2</v>
      </c>
      <c r="T346">
        <v>398</v>
      </c>
      <c r="U346">
        <v>397</v>
      </c>
      <c r="V346">
        <v>500</v>
      </c>
      <c r="W346">
        <v>2.79</v>
      </c>
    </row>
    <row r="347" spans="1:23" x14ac:dyDescent="0.25">
      <c r="A347" t="s">
        <v>33</v>
      </c>
      <c r="B347">
        <v>14</v>
      </c>
      <c r="C347">
        <v>23</v>
      </c>
      <c r="D347">
        <v>2007</v>
      </c>
      <c r="E347">
        <v>283.5</v>
      </c>
      <c r="F347">
        <v>4.5</v>
      </c>
      <c r="G347">
        <v>2.4</v>
      </c>
      <c r="H347">
        <v>2.1</v>
      </c>
      <c r="I347">
        <v>46</v>
      </c>
      <c r="J347">
        <v>79.5</v>
      </c>
      <c r="K347">
        <v>2525</v>
      </c>
      <c r="L347">
        <v>475</v>
      </c>
      <c r="M347">
        <v>401</v>
      </c>
      <c r="N347">
        <v>560</v>
      </c>
      <c r="O347">
        <v>159</v>
      </c>
      <c r="P347">
        <v>361</v>
      </c>
      <c r="Q347">
        <v>606</v>
      </c>
      <c r="R347">
        <v>245</v>
      </c>
      <c r="S347">
        <v>292.2</v>
      </c>
      <c r="T347">
        <v>398</v>
      </c>
      <c r="U347">
        <v>397</v>
      </c>
      <c r="V347">
        <v>500</v>
      </c>
      <c r="W347">
        <v>2.79</v>
      </c>
    </row>
    <row r="348" spans="1:23" x14ac:dyDescent="0.25">
      <c r="A348" t="s">
        <v>33</v>
      </c>
      <c r="B348">
        <v>14</v>
      </c>
      <c r="C348">
        <v>24</v>
      </c>
      <c r="D348">
        <v>2008</v>
      </c>
      <c r="E348">
        <v>288.89999999999998</v>
      </c>
      <c r="F348">
        <v>5.4</v>
      </c>
      <c r="G348">
        <v>3.6</v>
      </c>
      <c r="H348">
        <v>1.8</v>
      </c>
      <c r="I348">
        <v>33</v>
      </c>
      <c r="J348">
        <v>97.1</v>
      </c>
      <c r="K348">
        <v>2622.1</v>
      </c>
      <c r="L348">
        <v>459</v>
      </c>
      <c r="M348">
        <v>410</v>
      </c>
      <c r="N348">
        <v>556</v>
      </c>
      <c r="O348">
        <v>146</v>
      </c>
      <c r="P348">
        <v>352</v>
      </c>
      <c r="Q348">
        <v>592</v>
      </c>
      <c r="R348">
        <v>240</v>
      </c>
      <c r="S348">
        <v>292.2</v>
      </c>
      <c r="T348">
        <v>398</v>
      </c>
      <c r="U348">
        <v>397</v>
      </c>
      <c r="V348">
        <v>500</v>
      </c>
      <c r="W348">
        <v>2.79</v>
      </c>
    </row>
    <row r="349" spans="1:23" x14ac:dyDescent="0.25">
      <c r="A349" t="s">
        <v>33</v>
      </c>
      <c r="B349">
        <v>14</v>
      </c>
      <c r="C349">
        <v>25</v>
      </c>
      <c r="D349">
        <v>2009</v>
      </c>
      <c r="E349">
        <v>295.2</v>
      </c>
      <c r="F349">
        <v>6.3</v>
      </c>
      <c r="G349">
        <v>4.2</v>
      </c>
      <c r="H349">
        <v>2.1</v>
      </c>
      <c r="I349">
        <v>33</v>
      </c>
      <c r="J349">
        <v>115.6</v>
      </c>
      <c r="K349">
        <v>2737.7</v>
      </c>
      <c r="L349">
        <v>451</v>
      </c>
      <c r="M349">
        <v>408</v>
      </c>
      <c r="N349">
        <v>537</v>
      </c>
      <c r="O349">
        <v>129</v>
      </c>
      <c r="P349">
        <v>348</v>
      </c>
      <c r="Q349">
        <v>552</v>
      </c>
      <c r="R349">
        <v>204</v>
      </c>
      <c r="S349">
        <v>292.2</v>
      </c>
      <c r="T349">
        <v>398</v>
      </c>
      <c r="U349">
        <v>397</v>
      </c>
      <c r="V349">
        <v>500</v>
      </c>
      <c r="W349">
        <v>2.79</v>
      </c>
    </row>
    <row r="350" spans="1:23" x14ac:dyDescent="0.25">
      <c r="A350" t="s">
        <v>33</v>
      </c>
      <c r="B350">
        <v>14</v>
      </c>
      <c r="C350">
        <v>26</v>
      </c>
      <c r="D350">
        <v>2010</v>
      </c>
      <c r="E350">
        <v>300.3</v>
      </c>
      <c r="F350">
        <v>5.0999999999999996</v>
      </c>
      <c r="G350">
        <v>3.3</v>
      </c>
      <c r="H350">
        <v>1.8</v>
      </c>
      <c r="I350">
        <v>35</v>
      </c>
      <c r="J350">
        <v>95.4</v>
      </c>
      <c r="K350">
        <v>2833.1</v>
      </c>
      <c r="L350">
        <v>442</v>
      </c>
      <c r="M350">
        <v>378</v>
      </c>
      <c r="N350">
        <v>558</v>
      </c>
      <c r="O350">
        <v>180</v>
      </c>
      <c r="P350">
        <v>318</v>
      </c>
      <c r="Q350">
        <v>591</v>
      </c>
      <c r="R350">
        <v>273</v>
      </c>
      <c r="S350">
        <v>292.2</v>
      </c>
      <c r="T350">
        <v>398</v>
      </c>
      <c r="U350">
        <v>397</v>
      </c>
      <c r="V350">
        <v>500</v>
      </c>
      <c r="W350">
        <v>2.79</v>
      </c>
    </row>
    <row r="351" spans="1:23" x14ac:dyDescent="0.25">
      <c r="A351" t="s">
        <v>33</v>
      </c>
      <c r="B351">
        <v>14</v>
      </c>
      <c r="C351">
        <v>27</v>
      </c>
      <c r="D351">
        <v>2011</v>
      </c>
      <c r="E351">
        <v>304.2</v>
      </c>
      <c r="F351">
        <v>3.9</v>
      </c>
      <c r="G351">
        <v>3</v>
      </c>
      <c r="H351">
        <v>0.9</v>
      </c>
      <c r="I351">
        <v>23</v>
      </c>
      <c r="J351">
        <v>74.099999999999994</v>
      </c>
      <c r="K351">
        <v>2907.2</v>
      </c>
      <c r="L351">
        <v>449</v>
      </c>
      <c r="M351">
        <v>412</v>
      </c>
      <c r="N351">
        <v>572</v>
      </c>
      <c r="O351">
        <v>160</v>
      </c>
      <c r="P351">
        <v>380</v>
      </c>
      <c r="Q351">
        <v>602</v>
      </c>
      <c r="R351">
        <v>222</v>
      </c>
      <c r="S351">
        <v>292.2</v>
      </c>
      <c r="T351">
        <v>398</v>
      </c>
      <c r="U351">
        <v>397</v>
      </c>
      <c r="V351">
        <v>500</v>
      </c>
      <c r="W351">
        <v>2.79</v>
      </c>
    </row>
    <row r="352" spans="1:23" x14ac:dyDescent="0.25">
      <c r="A352" t="s">
        <v>33</v>
      </c>
      <c r="B352">
        <v>14</v>
      </c>
      <c r="C352">
        <v>28</v>
      </c>
      <c r="D352">
        <v>2012</v>
      </c>
      <c r="E352">
        <v>307.2</v>
      </c>
      <c r="F352">
        <v>3</v>
      </c>
      <c r="G352">
        <v>2.7</v>
      </c>
      <c r="H352">
        <v>0.3</v>
      </c>
      <c r="I352">
        <v>10</v>
      </c>
      <c r="J352">
        <v>57.6</v>
      </c>
      <c r="K352">
        <v>2964.8</v>
      </c>
      <c r="L352">
        <v>432</v>
      </c>
      <c r="M352">
        <v>423</v>
      </c>
      <c r="N352">
        <v>518</v>
      </c>
      <c r="O352">
        <v>95</v>
      </c>
      <c r="P352">
        <v>361</v>
      </c>
      <c r="Q352">
        <v>518</v>
      </c>
      <c r="R352">
        <v>157</v>
      </c>
      <c r="S352">
        <v>292.2</v>
      </c>
      <c r="T352">
        <v>398</v>
      </c>
      <c r="U352">
        <v>397</v>
      </c>
      <c r="V352">
        <v>500</v>
      </c>
      <c r="W352">
        <v>2.79</v>
      </c>
    </row>
    <row r="353" spans="1:23" x14ac:dyDescent="0.25">
      <c r="A353" t="s">
        <v>33</v>
      </c>
      <c r="B353" t="s">
        <v>34</v>
      </c>
      <c r="C353">
        <v>1</v>
      </c>
      <c r="D353">
        <v>1986</v>
      </c>
      <c r="E353">
        <v>9.3000000000000007</v>
      </c>
      <c r="F353">
        <v>9.3000000000000007</v>
      </c>
      <c r="G353">
        <v>9.3000000000000007</v>
      </c>
      <c r="H353">
        <v>0</v>
      </c>
      <c r="I353">
        <v>0</v>
      </c>
      <c r="J353">
        <v>2.7</v>
      </c>
      <c r="K353">
        <v>2.7</v>
      </c>
      <c r="L353">
        <v>375</v>
      </c>
      <c r="M353">
        <v>375</v>
      </c>
      <c r="P353">
        <v>314</v>
      </c>
      <c r="Q353">
        <v>488</v>
      </c>
      <c r="R353">
        <v>174</v>
      </c>
      <c r="S353">
        <v>191.1</v>
      </c>
      <c r="T353">
        <v>411</v>
      </c>
      <c r="U353">
        <v>397</v>
      </c>
      <c r="V353">
        <v>500</v>
      </c>
      <c r="W353">
        <v>2.79</v>
      </c>
    </row>
    <row r="354" spans="1:23" x14ac:dyDescent="0.25">
      <c r="A354" t="s">
        <v>33</v>
      </c>
      <c r="B354" t="s">
        <v>34</v>
      </c>
      <c r="C354">
        <v>2</v>
      </c>
      <c r="D354">
        <v>1987</v>
      </c>
      <c r="E354">
        <v>27</v>
      </c>
      <c r="F354">
        <v>17.7</v>
      </c>
      <c r="G354">
        <v>17.7</v>
      </c>
      <c r="H354">
        <v>0</v>
      </c>
      <c r="I354">
        <v>0</v>
      </c>
      <c r="J354">
        <v>20.2</v>
      </c>
      <c r="K354">
        <v>22.9</v>
      </c>
      <c r="L354">
        <v>371</v>
      </c>
      <c r="M354">
        <v>371</v>
      </c>
      <c r="P354">
        <v>316</v>
      </c>
      <c r="Q354">
        <v>497</v>
      </c>
      <c r="R354">
        <v>181</v>
      </c>
      <c r="S354">
        <v>191.1</v>
      </c>
      <c r="T354">
        <v>411</v>
      </c>
      <c r="U354">
        <v>397</v>
      </c>
      <c r="V354">
        <v>500</v>
      </c>
      <c r="W354">
        <v>2.79</v>
      </c>
    </row>
    <row r="355" spans="1:23" x14ac:dyDescent="0.25">
      <c r="A355" t="s">
        <v>33</v>
      </c>
      <c r="B355" t="s">
        <v>34</v>
      </c>
      <c r="C355">
        <v>3</v>
      </c>
      <c r="D355">
        <v>1988</v>
      </c>
      <c r="E355">
        <v>48</v>
      </c>
      <c r="F355">
        <v>21</v>
      </c>
      <c r="G355">
        <v>21</v>
      </c>
      <c r="H355">
        <v>0</v>
      </c>
      <c r="I355">
        <v>0</v>
      </c>
      <c r="J355">
        <v>49.5</v>
      </c>
      <c r="K355">
        <v>72.400000000000006</v>
      </c>
      <c r="L355">
        <v>339</v>
      </c>
      <c r="M355">
        <v>339</v>
      </c>
      <c r="P355">
        <v>258</v>
      </c>
      <c r="Q355">
        <v>464</v>
      </c>
      <c r="R355">
        <v>206</v>
      </c>
      <c r="S355">
        <v>191.1</v>
      </c>
      <c r="T355">
        <v>411</v>
      </c>
      <c r="U355">
        <v>397</v>
      </c>
      <c r="V355">
        <v>500</v>
      </c>
      <c r="W355">
        <v>2.79</v>
      </c>
    </row>
    <row r="356" spans="1:23" x14ac:dyDescent="0.25">
      <c r="A356" t="s">
        <v>33</v>
      </c>
      <c r="B356" t="s">
        <v>34</v>
      </c>
      <c r="C356">
        <v>4</v>
      </c>
      <c r="D356">
        <v>1989</v>
      </c>
      <c r="E356">
        <v>63.6</v>
      </c>
      <c r="F356">
        <v>15.6</v>
      </c>
      <c r="G356">
        <v>15</v>
      </c>
      <c r="H356">
        <v>0.6</v>
      </c>
      <c r="I356">
        <v>3</v>
      </c>
      <c r="J356">
        <v>54.7</v>
      </c>
      <c r="K356">
        <v>127.1</v>
      </c>
      <c r="L356">
        <v>344</v>
      </c>
      <c r="M356">
        <v>338</v>
      </c>
      <c r="N356">
        <v>508</v>
      </c>
      <c r="O356">
        <v>170</v>
      </c>
      <c r="P356">
        <v>279</v>
      </c>
      <c r="Q356">
        <v>516</v>
      </c>
      <c r="R356">
        <v>237</v>
      </c>
      <c r="S356">
        <v>191.1</v>
      </c>
      <c r="T356">
        <v>411</v>
      </c>
      <c r="U356">
        <v>397</v>
      </c>
      <c r="V356">
        <v>500</v>
      </c>
      <c r="W356">
        <v>2.79</v>
      </c>
    </row>
    <row r="357" spans="1:23" x14ac:dyDescent="0.25">
      <c r="A357" t="s">
        <v>33</v>
      </c>
      <c r="B357" t="s">
        <v>34</v>
      </c>
      <c r="C357">
        <v>5</v>
      </c>
      <c r="D357">
        <v>1990</v>
      </c>
      <c r="E357">
        <v>72.599999999999994</v>
      </c>
      <c r="F357">
        <v>9</v>
      </c>
      <c r="G357">
        <v>8.1</v>
      </c>
      <c r="H357">
        <v>0.9</v>
      </c>
      <c r="I357">
        <v>9</v>
      </c>
      <c r="J357">
        <v>38.5</v>
      </c>
      <c r="K357">
        <v>165.6</v>
      </c>
      <c r="L357">
        <v>381</v>
      </c>
      <c r="M357">
        <v>361</v>
      </c>
      <c r="N357">
        <v>557</v>
      </c>
      <c r="O357">
        <v>196</v>
      </c>
      <c r="P357">
        <v>294</v>
      </c>
      <c r="Q357">
        <v>589</v>
      </c>
      <c r="R357">
        <v>295</v>
      </c>
      <c r="S357">
        <v>191.1</v>
      </c>
      <c r="T357">
        <v>411</v>
      </c>
      <c r="U357">
        <v>397</v>
      </c>
      <c r="V357">
        <v>500</v>
      </c>
      <c r="W357">
        <v>2.79</v>
      </c>
    </row>
    <row r="358" spans="1:23" x14ac:dyDescent="0.25">
      <c r="A358" t="s">
        <v>33</v>
      </c>
      <c r="B358" t="s">
        <v>34</v>
      </c>
      <c r="C358">
        <v>6</v>
      </c>
      <c r="D358">
        <v>1991</v>
      </c>
      <c r="E358">
        <v>84</v>
      </c>
      <c r="F358">
        <v>11.4</v>
      </c>
      <c r="G358">
        <v>9.9</v>
      </c>
      <c r="H358">
        <v>1.5</v>
      </c>
      <c r="I358">
        <v>13</v>
      </c>
      <c r="J358">
        <v>56.1</v>
      </c>
      <c r="K358">
        <v>221.7</v>
      </c>
      <c r="L358">
        <v>379</v>
      </c>
      <c r="M358">
        <v>354</v>
      </c>
      <c r="N358">
        <v>548</v>
      </c>
      <c r="O358">
        <v>194</v>
      </c>
      <c r="P358">
        <v>300</v>
      </c>
      <c r="Q358">
        <v>573</v>
      </c>
      <c r="R358">
        <v>273</v>
      </c>
      <c r="S358">
        <v>191.1</v>
      </c>
      <c r="T358">
        <v>411</v>
      </c>
      <c r="U358">
        <v>397</v>
      </c>
      <c r="V358">
        <v>500</v>
      </c>
      <c r="W358">
        <v>2.79</v>
      </c>
    </row>
    <row r="359" spans="1:23" x14ac:dyDescent="0.25">
      <c r="A359" t="s">
        <v>33</v>
      </c>
      <c r="B359" t="s">
        <v>34</v>
      </c>
      <c r="C359">
        <v>7</v>
      </c>
      <c r="D359">
        <v>1992</v>
      </c>
      <c r="E359">
        <v>95.7</v>
      </c>
      <c r="F359">
        <v>11.7</v>
      </c>
      <c r="G359">
        <v>11.4</v>
      </c>
      <c r="H359">
        <v>0.3</v>
      </c>
      <c r="I359">
        <v>2</v>
      </c>
      <c r="J359">
        <v>66.099999999999994</v>
      </c>
      <c r="K359">
        <v>287.7</v>
      </c>
      <c r="L359">
        <v>361</v>
      </c>
      <c r="M359">
        <v>356</v>
      </c>
      <c r="N359">
        <v>556</v>
      </c>
      <c r="O359">
        <v>200</v>
      </c>
      <c r="P359">
        <v>284</v>
      </c>
      <c r="Q359">
        <v>556</v>
      </c>
      <c r="R359">
        <v>272</v>
      </c>
      <c r="S359">
        <v>191.1</v>
      </c>
      <c r="T359">
        <v>411</v>
      </c>
      <c r="U359">
        <v>397</v>
      </c>
      <c r="V359">
        <v>500</v>
      </c>
      <c r="W359">
        <v>2.79</v>
      </c>
    </row>
    <row r="360" spans="1:23" x14ac:dyDescent="0.25">
      <c r="A360" t="s">
        <v>33</v>
      </c>
      <c r="B360" t="s">
        <v>34</v>
      </c>
      <c r="C360">
        <v>8</v>
      </c>
      <c r="D360">
        <v>1993</v>
      </c>
      <c r="E360">
        <v>106.8</v>
      </c>
      <c r="F360">
        <v>11.1</v>
      </c>
      <c r="G360">
        <v>9.6</v>
      </c>
      <c r="H360">
        <v>1.5</v>
      </c>
      <c r="I360">
        <v>13</v>
      </c>
      <c r="J360">
        <v>70.599999999999994</v>
      </c>
      <c r="K360">
        <v>358.3</v>
      </c>
      <c r="L360">
        <v>364</v>
      </c>
      <c r="M360">
        <v>338</v>
      </c>
      <c r="N360">
        <v>532</v>
      </c>
      <c r="O360">
        <v>194</v>
      </c>
      <c r="P360">
        <v>285</v>
      </c>
      <c r="Q360">
        <v>557</v>
      </c>
      <c r="R360">
        <v>272</v>
      </c>
      <c r="S360">
        <v>191.1</v>
      </c>
      <c r="T360">
        <v>411</v>
      </c>
      <c r="U360">
        <v>397</v>
      </c>
      <c r="V360">
        <v>500</v>
      </c>
      <c r="W360">
        <v>2.79</v>
      </c>
    </row>
    <row r="361" spans="1:23" x14ac:dyDescent="0.25">
      <c r="A361" t="s">
        <v>33</v>
      </c>
      <c r="B361" t="s">
        <v>34</v>
      </c>
      <c r="C361">
        <v>9</v>
      </c>
      <c r="D361">
        <v>1994</v>
      </c>
      <c r="E361">
        <v>117.3</v>
      </c>
      <c r="F361">
        <v>10.5</v>
      </c>
      <c r="G361">
        <v>9.6</v>
      </c>
      <c r="H361">
        <v>0.9</v>
      </c>
      <c r="I361">
        <v>8</v>
      </c>
      <c r="J361">
        <v>73.900000000000006</v>
      </c>
      <c r="K361">
        <v>432.3</v>
      </c>
      <c r="L361">
        <v>373</v>
      </c>
      <c r="M361">
        <v>358</v>
      </c>
      <c r="N361">
        <v>531</v>
      </c>
      <c r="O361">
        <v>173</v>
      </c>
      <c r="P361">
        <v>282</v>
      </c>
      <c r="Q361">
        <v>558</v>
      </c>
      <c r="R361">
        <v>276</v>
      </c>
      <c r="S361">
        <v>191.1</v>
      </c>
      <c r="T361">
        <v>411</v>
      </c>
      <c r="U361">
        <v>397</v>
      </c>
      <c r="V361">
        <v>500</v>
      </c>
      <c r="W361">
        <v>2.79</v>
      </c>
    </row>
    <row r="362" spans="1:23" x14ac:dyDescent="0.25">
      <c r="A362" t="s">
        <v>33</v>
      </c>
      <c r="B362" t="s">
        <v>34</v>
      </c>
      <c r="C362">
        <v>10</v>
      </c>
      <c r="D362">
        <v>1995</v>
      </c>
      <c r="E362">
        <v>125.1</v>
      </c>
      <c r="F362">
        <v>7.8</v>
      </c>
      <c r="G362">
        <v>6.9</v>
      </c>
      <c r="H362">
        <v>0.9</v>
      </c>
      <c r="I362">
        <v>11</v>
      </c>
      <c r="J362">
        <v>59.4</v>
      </c>
      <c r="K362">
        <v>491.7</v>
      </c>
      <c r="L362">
        <v>400</v>
      </c>
      <c r="M362">
        <v>383</v>
      </c>
      <c r="N362">
        <v>533</v>
      </c>
      <c r="O362">
        <v>150</v>
      </c>
      <c r="P362">
        <v>290</v>
      </c>
      <c r="Q362">
        <v>559</v>
      </c>
      <c r="R362">
        <v>269</v>
      </c>
      <c r="S362">
        <v>191.1</v>
      </c>
      <c r="T362">
        <v>411</v>
      </c>
      <c r="U362">
        <v>397</v>
      </c>
      <c r="V362">
        <v>500</v>
      </c>
      <c r="W362">
        <v>2.79</v>
      </c>
    </row>
    <row r="363" spans="1:23" x14ac:dyDescent="0.25">
      <c r="A363" t="s">
        <v>33</v>
      </c>
      <c r="B363" t="s">
        <v>34</v>
      </c>
      <c r="C363">
        <v>11</v>
      </c>
      <c r="D363">
        <v>1996</v>
      </c>
      <c r="E363">
        <v>133.80000000000001</v>
      </c>
      <c r="F363">
        <v>8.6999999999999993</v>
      </c>
      <c r="G363">
        <v>7.8</v>
      </c>
      <c r="H363">
        <v>0.9</v>
      </c>
      <c r="I363">
        <v>10</v>
      </c>
      <c r="J363">
        <v>70.8</v>
      </c>
      <c r="K363">
        <v>562.4</v>
      </c>
      <c r="L363">
        <v>368</v>
      </c>
      <c r="M363">
        <v>349</v>
      </c>
      <c r="N363">
        <v>529</v>
      </c>
      <c r="O363">
        <v>180</v>
      </c>
      <c r="P363">
        <v>293</v>
      </c>
      <c r="Q363">
        <v>537</v>
      </c>
      <c r="R363">
        <v>244</v>
      </c>
      <c r="S363">
        <v>191.1</v>
      </c>
      <c r="T363">
        <v>411</v>
      </c>
      <c r="U363">
        <v>397</v>
      </c>
      <c r="V363">
        <v>500</v>
      </c>
      <c r="W363">
        <v>2.79</v>
      </c>
    </row>
    <row r="364" spans="1:23" x14ac:dyDescent="0.25">
      <c r="A364" t="s">
        <v>33</v>
      </c>
      <c r="B364" t="s">
        <v>34</v>
      </c>
      <c r="C364">
        <v>12</v>
      </c>
      <c r="D364">
        <v>1997</v>
      </c>
      <c r="E364">
        <v>144.9</v>
      </c>
      <c r="F364">
        <v>11.1</v>
      </c>
      <c r="G364">
        <v>9.3000000000000007</v>
      </c>
      <c r="H364">
        <v>1.8</v>
      </c>
      <c r="I364">
        <v>16</v>
      </c>
      <c r="J364">
        <v>97.2</v>
      </c>
      <c r="K364">
        <v>659.6</v>
      </c>
      <c r="L364">
        <v>406</v>
      </c>
      <c r="M364">
        <v>385</v>
      </c>
      <c r="N364">
        <v>513</v>
      </c>
      <c r="O364">
        <v>128</v>
      </c>
      <c r="P364">
        <v>303</v>
      </c>
      <c r="Q364">
        <v>524</v>
      </c>
      <c r="R364">
        <v>221</v>
      </c>
      <c r="S364">
        <v>191.1</v>
      </c>
      <c r="T364">
        <v>411</v>
      </c>
      <c r="U364">
        <v>397</v>
      </c>
      <c r="V364">
        <v>500</v>
      </c>
      <c r="W364">
        <v>2.79</v>
      </c>
    </row>
    <row r="365" spans="1:23" x14ac:dyDescent="0.25">
      <c r="A365" t="s">
        <v>33</v>
      </c>
      <c r="B365" t="s">
        <v>34</v>
      </c>
      <c r="C365">
        <v>13</v>
      </c>
      <c r="D365">
        <v>1998</v>
      </c>
      <c r="E365">
        <v>150.30000000000001</v>
      </c>
      <c r="F365">
        <v>5.4</v>
      </c>
      <c r="G365">
        <v>4.8</v>
      </c>
      <c r="H365">
        <v>0.6</v>
      </c>
      <c r="I365">
        <v>11</v>
      </c>
      <c r="J365">
        <v>50.1</v>
      </c>
      <c r="K365">
        <v>709.7</v>
      </c>
      <c r="L365">
        <v>381</v>
      </c>
      <c r="M365">
        <v>364</v>
      </c>
      <c r="N365">
        <v>520</v>
      </c>
      <c r="O365">
        <v>156</v>
      </c>
      <c r="P365">
        <v>293</v>
      </c>
      <c r="Q365">
        <v>536</v>
      </c>
      <c r="R365">
        <v>243</v>
      </c>
      <c r="S365">
        <v>191.1</v>
      </c>
      <c r="T365">
        <v>411</v>
      </c>
      <c r="U365">
        <v>397</v>
      </c>
      <c r="V365">
        <v>500</v>
      </c>
      <c r="W365">
        <v>2.79</v>
      </c>
    </row>
    <row r="366" spans="1:23" x14ac:dyDescent="0.25">
      <c r="A366" t="s">
        <v>33</v>
      </c>
      <c r="B366" t="s">
        <v>34</v>
      </c>
      <c r="C366">
        <v>14</v>
      </c>
      <c r="D366">
        <v>1999</v>
      </c>
      <c r="E366">
        <v>157.80000000000001</v>
      </c>
      <c r="F366">
        <v>7.5</v>
      </c>
      <c r="G366">
        <v>6.9</v>
      </c>
      <c r="H366">
        <v>0.6</v>
      </c>
      <c r="I366">
        <v>8</v>
      </c>
      <c r="J366">
        <v>72.599999999999994</v>
      </c>
      <c r="K366">
        <v>782.3</v>
      </c>
      <c r="L366">
        <v>408</v>
      </c>
      <c r="M366">
        <v>400</v>
      </c>
      <c r="N366">
        <v>506</v>
      </c>
      <c r="O366">
        <v>106</v>
      </c>
      <c r="P366">
        <v>312</v>
      </c>
      <c r="Q366">
        <v>508</v>
      </c>
      <c r="R366">
        <v>196</v>
      </c>
      <c r="S366">
        <v>191.1</v>
      </c>
      <c r="T366">
        <v>411</v>
      </c>
      <c r="U366">
        <v>397</v>
      </c>
      <c r="V366">
        <v>500</v>
      </c>
      <c r="W366">
        <v>2.79</v>
      </c>
    </row>
    <row r="367" spans="1:23" x14ac:dyDescent="0.25">
      <c r="A367" t="s">
        <v>33</v>
      </c>
      <c r="B367" t="s">
        <v>34</v>
      </c>
      <c r="C367">
        <v>15</v>
      </c>
      <c r="D367">
        <v>2000</v>
      </c>
      <c r="E367">
        <v>164.1</v>
      </c>
      <c r="F367">
        <v>6.3</v>
      </c>
      <c r="G367">
        <v>6.3</v>
      </c>
      <c r="H367">
        <v>0</v>
      </c>
      <c r="I367">
        <v>0</v>
      </c>
      <c r="J367">
        <v>63.7</v>
      </c>
      <c r="K367">
        <v>846</v>
      </c>
      <c r="L367">
        <v>385</v>
      </c>
      <c r="M367">
        <v>385</v>
      </c>
      <c r="P367">
        <v>275</v>
      </c>
      <c r="Q367">
        <v>493</v>
      </c>
      <c r="R367">
        <v>218</v>
      </c>
      <c r="S367">
        <v>191.1</v>
      </c>
      <c r="T367">
        <v>411</v>
      </c>
      <c r="U367">
        <v>397</v>
      </c>
      <c r="V367">
        <v>500</v>
      </c>
      <c r="W367">
        <v>2.79</v>
      </c>
    </row>
    <row r="368" spans="1:23" x14ac:dyDescent="0.25">
      <c r="A368" t="s">
        <v>33</v>
      </c>
      <c r="B368" t="s">
        <v>34</v>
      </c>
      <c r="C368">
        <v>16</v>
      </c>
      <c r="D368">
        <v>2001</v>
      </c>
      <c r="E368">
        <v>167.7</v>
      </c>
      <c r="F368">
        <v>3.6</v>
      </c>
      <c r="G368">
        <v>3.3</v>
      </c>
      <c r="H368">
        <v>0.3</v>
      </c>
      <c r="I368">
        <v>8</v>
      </c>
      <c r="J368">
        <v>37.5</v>
      </c>
      <c r="K368">
        <v>883.5</v>
      </c>
      <c r="L368">
        <v>416</v>
      </c>
      <c r="M368">
        <v>401</v>
      </c>
      <c r="N368">
        <v>574</v>
      </c>
      <c r="O368">
        <v>173</v>
      </c>
      <c r="P368">
        <v>341</v>
      </c>
      <c r="Q368">
        <v>574</v>
      </c>
      <c r="R368">
        <v>233</v>
      </c>
      <c r="S368">
        <v>191.1</v>
      </c>
      <c r="T368">
        <v>411</v>
      </c>
      <c r="U368">
        <v>397</v>
      </c>
      <c r="V368">
        <v>500</v>
      </c>
      <c r="W368">
        <v>2.79</v>
      </c>
    </row>
    <row r="369" spans="1:23" x14ac:dyDescent="0.25">
      <c r="A369" t="s">
        <v>33</v>
      </c>
      <c r="B369" t="s">
        <v>34</v>
      </c>
      <c r="C369">
        <v>17</v>
      </c>
      <c r="D369">
        <v>2002</v>
      </c>
      <c r="E369">
        <v>169.8</v>
      </c>
      <c r="F369">
        <v>2.1</v>
      </c>
      <c r="G369">
        <v>0.9</v>
      </c>
      <c r="H369">
        <v>1.2</v>
      </c>
      <c r="I369">
        <v>57</v>
      </c>
      <c r="J369">
        <v>22.3</v>
      </c>
      <c r="K369">
        <v>905.8</v>
      </c>
      <c r="L369">
        <v>471</v>
      </c>
      <c r="M369">
        <v>390</v>
      </c>
      <c r="N369">
        <v>531</v>
      </c>
      <c r="O369">
        <v>141</v>
      </c>
      <c r="P369">
        <v>381</v>
      </c>
      <c r="Q369">
        <v>553</v>
      </c>
      <c r="R369">
        <v>172</v>
      </c>
      <c r="S369">
        <v>191.1</v>
      </c>
      <c r="T369">
        <v>411</v>
      </c>
      <c r="U369">
        <v>397</v>
      </c>
      <c r="V369">
        <v>500</v>
      </c>
      <c r="W369">
        <v>2.79</v>
      </c>
    </row>
    <row r="370" spans="1:23" x14ac:dyDescent="0.25">
      <c r="A370" t="s">
        <v>33</v>
      </c>
      <c r="B370" t="s">
        <v>34</v>
      </c>
      <c r="C370">
        <v>18</v>
      </c>
      <c r="D370">
        <v>2003</v>
      </c>
      <c r="E370">
        <v>173.1</v>
      </c>
      <c r="F370">
        <v>3.3</v>
      </c>
      <c r="G370">
        <v>3</v>
      </c>
      <c r="H370">
        <v>0.3</v>
      </c>
      <c r="I370">
        <v>9</v>
      </c>
      <c r="J370">
        <v>35.5</v>
      </c>
      <c r="K370">
        <v>941.3</v>
      </c>
      <c r="L370">
        <v>442</v>
      </c>
      <c r="M370">
        <v>434</v>
      </c>
      <c r="N370">
        <v>522</v>
      </c>
      <c r="O370">
        <v>88</v>
      </c>
      <c r="P370">
        <v>368</v>
      </c>
      <c r="Q370">
        <v>522</v>
      </c>
      <c r="R370">
        <v>154</v>
      </c>
      <c r="S370">
        <v>191.1</v>
      </c>
      <c r="T370">
        <v>411</v>
      </c>
      <c r="U370">
        <v>397</v>
      </c>
      <c r="V370">
        <v>500</v>
      </c>
      <c r="W370">
        <v>2.79</v>
      </c>
    </row>
    <row r="371" spans="1:23" x14ac:dyDescent="0.25">
      <c r="A371" t="s">
        <v>33</v>
      </c>
      <c r="B371" t="s">
        <v>34</v>
      </c>
      <c r="C371">
        <v>19</v>
      </c>
      <c r="D371">
        <v>2004</v>
      </c>
      <c r="E371">
        <v>176.4</v>
      </c>
      <c r="F371">
        <v>3.3</v>
      </c>
      <c r="G371">
        <v>2.1</v>
      </c>
      <c r="H371">
        <v>1.2</v>
      </c>
      <c r="I371">
        <v>36</v>
      </c>
      <c r="J371">
        <v>36.200000000000003</v>
      </c>
      <c r="K371">
        <v>977.6</v>
      </c>
      <c r="L371">
        <v>453</v>
      </c>
      <c r="M371">
        <v>398</v>
      </c>
      <c r="N371">
        <v>549</v>
      </c>
      <c r="O371">
        <v>151</v>
      </c>
      <c r="P371">
        <v>363</v>
      </c>
      <c r="Q371">
        <v>582</v>
      </c>
      <c r="R371">
        <v>219</v>
      </c>
      <c r="S371">
        <v>191.1</v>
      </c>
      <c r="T371">
        <v>411</v>
      </c>
      <c r="U371">
        <v>397</v>
      </c>
      <c r="V371">
        <v>500</v>
      </c>
      <c r="W371">
        <v>2.79</v>
      </c>
    </row>
    <row r="372" spans="1:23" x14ac:dyDescent="0.25">
      <c r="A372" t="s">
        <v>33</v>
      </c>
      <c r="B372" t="s">
        <v>34</v>
      </c>
      <c r="C372">
        <v>20</v>
      </c>
      <c r="D372">
        <v>2005</v>
      </c>
      <c r="E372">
        <v>180</v>
      </c>
      <c r="F372">
        <v>3.6</v>
      </c>
      <c r="G372">
        <v>3</v>
      </c>
      <c r="H372">
        <v>0.6</v>
      </c>
      <c r="I372">
        <v>16</v>
      </c>
      <c r="J372">
        <v>40.299999999999997</v>
      </c>
      <c r="K372">
        <v>1017.9</v>
      </c>
      <c r="L372">
        <v>444</v>
      </c>
      <c r="M372">
        <v>426</v>
      </c>
      <c r="N372">
        <v>536</v>
      </c>
      <c r="O372">
        <v>110</v>
      </c>
      <c r="P372">
        <v>335</v>
      </c>
      <c r="Q372">
        <v>560</v>
      </c>
      <c r="R372">
        <v>225</v>
      </c>
      <c r="S372">
        <v>191.1</v>
      </c>
      <c r="T372">
        <v>411</v>
      </c>
      <c r="U372">
        <v>397</v>
      </c>
      <c r="V372">
        <v>500</v>
      </c>
      <c r="W372">
        <v>2.79</v>
      </c>
    </row>
    <row r="373" spans="1:23" x14ac:dyDescent="0.25">
      <c r="A373" t="s">
        <v>33</v>
      </c>
      <c r="B373" t="s">
        <v>34</v>
      </c>
      <c r="C373">
        <v>21</v>
      </c>
      <c r="D373">
        <v>2006</v>
      </c>
      <c r="E373">
        <v>182.4</v>
      </c>
      <c r="F373">
        <v>2.4</v>
      </c>
      <c r="G373">
        <v>1.8</v>
      </c>
      <c r="H373">
        <v>0.6</v>
      </c>
      <c r="I373">
        <v>24</v>
      </c>
      <c r="J373">
        <v>27.3</v>
      </c>
      <c r="K373">
        <v>1045.2</v>
      </c>
      <c r="L373">
        <v>426</v>
      </c>
      <c r="M373">
        <v>395</v>
      </c>
      <c r="N373">
        <v>519</v>
      </c>
      <c r="O373">
        <v>124</v>
      </c>
      <c r="P373">
        <v>327</v>
      </c>
      <c r="Q373">
        <v>532</v>
      </c>
      <c r="R373">
        <v>205</v>
      </c>
      <c r="S373">
        <v>191.1</v>
      </c>
      <c r="T373">
        <v>411</v>
      </c>
      <c r="U373">
        <v>397</v>
      </c>
      <c r="V373">
        <v>500</v>
      </c>
      <c r="W373">
        <v>2.79</v>
      </c>
    </row>
    <row r="374" spans="1:23" x14ac:dyDescent="0.25">
      <c r="A374" t="s">
        <v>33</v>
      </c>
      <c r="B374" t="s">
        <v>34</v>
      </c>
      <c r="C374">
        <v>22</v>
      </c>
      <c r="D374">
        <v>2007</v>
      </c>
      <c r="E374">
        <v>183.9</v>
      </c>
      <c r="F374">
        <v>1.5</v>
      </c>
      <c r="G374">
        <v>0.9</v>
      </c>
      <c r="H374">
        <v>0.6</v>
      </c>
      <c r="I374">
        <v>40</v>
      </c>
      <c r="J374">
        <v>17.3</v>
      </c>
      <c r="K374">
        <v>1062.5</v>
      </c>
      <c r="L374">
        <v>487</v>
      </c>
      <c r="M374">
        <v>420</v>
      </c>
      <c r="N374">
        <v>588</v>
      </c>
      <c r="O374">
        <v>168</v>
      </c>
      <c r="P374">
        <v>377</v>
      </c>
      <c r="Q374">
        <v>619</v>
      </c>
      <c r="R374">
        <v>242</v>
      </c>
      <c r="S374">
        <v>191.1</v>
      </c>
      <c r="T374">
        <v>411</v>
      </c>
      <c r="U374">
        <v>397</v>
      </c>
      <c r="V374">
        <v>500</v>
      </c>
      <c r="W374">
        <v>2.79</v>
      </c>
    </row>
    <row r="375" spans="1:23" x14ac:dyDescent="0.25">
      <c r="A375" t="s">
        <v>33</v>
      </c>
      <c r="B375" t="s">
        <v>34</v>
      </c>
      <c r="C375">
        <v>23</v>
      </c>
      <c r="D375">
        <v>2008</v>
      </c>
      <c r="E375">
        <v>185.7</v>
      </c>
      <c r="F375">
        <v>1.8</v>
      </c>
      <c r="G375">
        <v>1.5</v>
      </c>
      <c r="H375">
        <v>0.3</v>
      </c>
      <c r="I375">
        <v>16</v>
      </c>
      <c r="J375">
        <v>20.9</v>
      </c>
      <c r="K375">
        <v>1083.4000000000001</v>
      </c>
      <c r="L375">
        <v>453</v>
      </c>
      <c r="M375">
        <v>430</v>
      </c>
      <c r="N375">
        <v>565</v>
      </c>
      <c r="O375">
        <v>135</v>
      </c>
      <c r="P375">
        <v>364</v>
      </c>
      <c r="Q375">
        <v>565</v>
      </c>
      <c r="R375">
        <v>201</v>
      </c>
      <c r="S375">
        <v>191.1</v>
      </c>
      <c r="T375">
        <v>411</v>
      </c>
      <c r="U375">
        <v>397</v>
      </c>
      <c r="V375">
        <v>500</v>
      </c>
      <c r="W375">
        <v>2.79</v>
      </c>
    </row>
    <row r="376" spans="1:23" x14ac:dyDescent="0.25">
      <c r="A376" t="s">
        <v>33</v>
      </c>
      <c r="B376" t="s">
        <v>34</v>
      </c>
      <c r="C376">
        <v>24</v>
      </c>
      <c r="D376">
        <v>2009</v>
      </c>
      <c r="E376">
        <v>187.5</v>
      </c>
      <c r="F376">
        <v>1.8</v>
      </c>
      <c r="G376">
        <v>0.9</v>
      </c>
      <c r="H376">
        <v>0.9</v>
      </c>
      <c r="I376">
        <v>50</v>
      </c>
      <c r="J376">
        <v>21.1</v>
      </c>
      <c r="K376">
        <v>1104.5</v>
      </c>
      <c r="L376">
        <v>497</v>
      </c>
      <c r="M376">
        <v>431</v>
      </c>
      <c r="N376">
        <v>562</v>
      </c>
      <c r="O376">
        <v>131</v>
      </c>
      <c r="P376">
        <v>375</v>
      </c>
      <c r="Q376">
        <v>568</v>
      </c>
      <c r="R376">
        <v>193</v>
      </c>
      <c r="S376">
        <v>191.1</v>
      </c>
      <c r="T376">
        <v>411</v>
      </c>
      <c r="U376">
        <v>397</v>
      </c>
      <c r="V376">
        <v>500</v>
      </c>
      <c r="W376">
        <v>2.79</v>
      </c>
    </row>
    <row r="377" spans="1:23" x14ac:dyDescent="0.25">
      <c r="A377" t="s">
        <v>33</v>
      </c>
      <c r="B377" t="s">
        <v>34</v>
      </c>
      <c r="C377">
        <v>25</v>
      </c>
      <c r="D377">
        <v>2010</v>
      </c>
      <c r="E377">
        <v>188.7</v>
      </c>
      <c r="F377">
        <v>1.2</v>
      </c>
      <c r="G377">
        <v>0.9</v>
      </c>
      <c r="H377">
        <v>0.3</v>
      </c>
      <c r="I377">
        <v>24</v>
      </c>
      <c r="J377">
        <v>14.2</v>
      </c>
      <c r="K377">
        <v>1118.5999999999999</v>
      </c>
      <c r="L377">
        <v>454</v>
      </c>
      <c r="M377">
        <v>431</v>
      </c>
      <c r="N377">
        <v>521</v>
      </c>
      <c r="O377">
        <v>90</v>
      </c>
      <c r="P377">
        <v>403</v>
      </c>
      <c r="Q377">
        <v>521</v>
      </c>
      <c r="R377">
        <v>118</v>
      </c>
      <c r="S377">
        <v>191.1</v>
      </c>
      <c r="T377">
        <v>411</v>
      </c>
      <c r="U377">
        <v>397</v>
      </c>
      <c r="V377">
        <v>500</v>
      </c>
      <c r="W377">
        <v>2.79</v>
      </c>
    </row>
    <row r="378" spans="1:23" x14ac:dyDescent="0.25">
      <c r="A378" t="s">
        <v>33</v>
      </c>
      <c r="B378" t="s">
        <v>34</v>
      </c>
      <c r="C378">
        <v>26</v>
      </c>
      <c r="D378">
        <v>2011</v>
      </c>
      <c r="E378">
        <v>190.2</v>
      </c>
      <c r="F378">
        <v>1.5</v>
      </c>
      <c r="G378">
        <v>0.6</v>
      </c>
      <c r="H378">
        <v>0.9</v>
      </c>
      <c r="I378">
        <v>60</v>
      </c>
      <c r="J378">
        <v>17.899999999999999</v>
      </c>
      <c r="K378">
        <v>1136.5</v>
      </c>
      <c r="L378">
        <v>508</v>
      </c>
      <c r="M378">
        <v>446</v>
      </c>
      <c r="N378">
        <v>549</v>
      </c>
      <c r="O378">
        <v>103</v>
      </c>
      <c r="P378">
        <v>409</v>
      </c>
      <c r="Q378">
        <v>559</v>
      </c>
      <c r="R378">
        <v>150</v>
      </c>
      <c r="S378">
        <v>191.1</v>
      </c>
      <c r="T378">
        <v>411</v>
      </c>
      <c r="U378">
        <v>397</v>
      </c>
      <c r="V378">
        <v>500</v>
      </c>
      <c r="W378">
        <v>2.79</v>
      </c>
    </row>
    <row r="379" spans="1:23" x14ac:dyDescent="0.25">
      <c r="A379" t="s">
        <v>33</v>
      </c>
      <c r="B379" t="s">
        <v>34</v>
      </c>
      <c r="C379">
        <v>27</v>
      </c>
      <c r="D379">
        <v>2012</v>
      </c>
      <c r="E379">
        <v>191.1</v>
      </c>
      <c r="F379">
        <v>0.9</v>
      </c>
      <c r="G379">
        <v>0.9</v>
      </c>
      <c r="H379">
        <v>0</v>
      </c>
      <c r="I379">
        <v>0</v>
      </c>
      <c r="J379">
        <v>10.8</v>
      </c>
      <c r="K379">
        <v>1147.3</v>
      </c>
      <c r="L379">
        <v>414</v>
      </c>
      <c r="M379">
        <v>414</v>
      </c>
      <c r="P379">
        <v>374</v>
      </c>
      <c r="Q379">
        <v>485</v>
      </c>
      <c r="R379">
        <v>111</v>
      </c>
      <c r="S379">
        <v>191.1</v>
      </c>
      <c r="T379">
        <v>411</v>
      </c>
      <c r="U379">
        <v>397</v>
      </c>
      <c r="V379">
        <v>500</v>
      </c>
      <c r="W379">
        <v>2.79</v>
      </c>
    </row>
    <row r="380" spans="1:23" x14ac:dyDescent="0.25">
      <c r="A380" t="s">
        <v>33</v>
      </c>
      <c r="B380" t="s">
        <v>35</v>
      </c>
      <c r="C380">
        <v>3</v>
      </c>
      <c r="D380">
        <v>1988</v>
      </c>
      <c r="E380">
        <v>30.8</v>
      </c>
      <c r="F380">
        <v>30.8</v>
      </c>
      <c r="G380">
        <v>22.8</v>
      </c>
      <c r="H380">
        <v>0</v>
      </c>
      <c r="I380">
        <v>0</v>
      </c>
      <c r="J380">
        <v>29.8</v>
      </c>
      <c r="K380">
        <v>29.8</v>
      </c>
      <c r="L380">
        <v>325</v>
      </c>
      <c r="M380">
        <v>325</v>
      </c>
      <c r="P380">
        <v>269</v>
      </c>
      <c r="Q380">
        <v>414</v>
      </c>
      <c r="R380">
        <v>145</v>
      </c>
      <c r="S380">
        <v>205.5</v>
      </c>
      <c r="T380">
        <v>422</v>
      </c>
      <c r="U380">
        <v>415</v>
      </c>
      <c r="V380">
        <v>500</v>
      </c>
      <c r="W380">
        <v>2.79</v>
      </c>
    </row>
    <row r="381" spans="1:23" x14ac:dyDescent="0.25">
      <c r="A381" t="s">
        <v>33</v>
      </c>
      <c r="B381" t="s">
        <v>35</v>
      </c>
      <c r="C381">
        <v>4</v>
      </c>
      <c r="D381">
        <v>1989</v>
      </c>
      <c r="E381">
        <v>47</v>
      </c>
      <c r="F381">
        <v>16.2</v>
      </c>
      <c r="G381">
        <v>15.3</v>
      </c>
      <c r="H381">
        <v>0.9</v>
      </c>
      <c r="I381">
        <v>5</v>
      </c>
      <c r="J381">
        <v>39.6</v>
      </c>
      <c r="K381">
        <v>69.400000000000006</v>
      </c>
      <c r="L381">
        <v>339</v>
      </c>
      <c r="M381">
        <v>328</v>
      </c>
      <c r="N381">
        <v>528</v>
      </c>
      <c r="O381">
        <v>200</v>
      </c>
      <c r="P381">
        <v>273</v>
      </c>
      <c r="Q381">
        <v>555</v>
      </c>
      <c r="R381">
        <v>282</v>
      </c>
      <c r="S381">
        <v>205.5</v>
      </c>
      <c r="T381">
        <v>422</v>
      </c>
      <c r="U381">
        <v>415</v>
      </c>
      <c r="V381">
        <v>500</v>
      </c>
      <c r="W381">
        <v>2.79</v>
      </c>
    </row>
    <row r="382" spans="1:23" x14ac:dyDescent="0.25">
      <c r="A382" t="s">
        <v>33</v>
      </c>
      <c r="B382" t="s">
        <v>35</v>
      </c>
      <c r="C382">
        <v>5</v>
      </c>
      <c r="D382">
        <v>1990</v>
      </c>
      <c r="E382">
        <v>59.3</v>
      </c>
      <c r="F382">
        <v>12.3</v>
      </c>
      <c r="G382">
        <v>11.7</v>
      </c>
      <c r="H382">
        <v>0.6</v>
      </c>
      <c r="I382">
        <v>4</v>
      </c>
      <c r="J382">
        <v>41.1</v>
      </c>
      <c r="K382">
        <v>110.5</v>
      </c>
      <c r="L382">
        <v>348</v>
      </c>
      <c r="M382">
        <v>339</v>
      </c>
      <c r="N382">
        <v>521</v>
      </c>
      <c r="O382">
        <v>182</v>
      </c>
      <c r="P382">
        <v>286</v>
      </c>
      <c r="Q382">
        <v>524</v>
      </c>
      <c r="R382">
        <v>238</v>
      </c>
      <c r="S382">
        <v>205.5</v>
      </c>
      <c r="T382">
        <v>422</v>
      </c>
      <c r="U382">
        <v>415</v>
      </c>
      <c r="V382">
        <v>500</v>
      </c>
      <c r="W382">
        <v>2.79</v>
      </c>
    </row>
    <row r="383" spans="1:23" x14ac:dyDescent="0.25">
      <c r="A383" t="s">
        <v>33</v>
      </c>
      <c r="B383" t="s">
        <v>35</v>
      </c>
      <c r="C383">
        <v>6</v>
      </c>
      <c r="D383">
        <v>1991</v>
      </c>
      <c r="E383">
        <v>72.2</v>
      </c>
      <c r="F383">
        <v>12.9</v>
      </c>
      <c r="G383">
        <v>11.7</v>
      </c>
      <c r="H383">
        <v>1.2</v>
      </c>
      <c r="I383">
        <v>9</v>
      </c>
      <c r="J383">
        <v>53.3</v>
      </c>
      <c r="K383">
        <v>163.80000000000001</v>
      </c>
      <c r="L383">
        <v>362</v>
      </c>
      <c r="M383">
        <v>345</v>
      </c>
      <c r="N383">
        <v>525</v>
      </c>
      <c r="O383">
        <v>180</v>
      </c>
      <c r="P383">
        <v>292</v>
      </c>
      <c r="Q383">
        <v>532</v>
      </c>
      <c r="R383">
        <v>240</v>
      </c>
      <c r="S383">
        <v>205.5</v>
      </c>
      <c r="T383">
        <v>422</v>
      </c>
      <c r="U383">
        <v>415</v>
      </c>
      <c r="V383">
        <v>500</v>
      </c>
      <c r="W383">
        <v>2.79</v>
      </c>
    </row>
    <row r="384" spans="1:23" x14ac:dyDescent="0.25">
      <c r="A384" t="s">
        <v>33</v>
      </c>
      <c r="B384" t="s">
        <v>35</v>
      </c>
      <c r="C384">
        <v>7</v>
      </c>
      <c r="D384">
        <v>1992</v>
      </c>
      <c r="E384">
        <v>87.5</v>
      </c>
      <c r="F384">
        <v>15.3</v>
      </c>
      <c r="G384">
        <v>14.4</v>
      </c>
      <c r="H384">
        <v>0.9</v>
      </c>
      <c r="I384">
        <v>5</v>
      </c>
      <c r="J384">
        <v>76.8</v>
      </c>
      <c r="K384">
        <v>240.5</v>
      </c>
      <c r="L384">
        <v>359</v>
      </c>
      <c r="M384">
        <v>348</v>
      </c>
      <c r="N384">
        <v>527</v>
      </c>
      <c r="O384">
        <v>179</v>
      </c>
      <c r="P384">
        <v>291</v>
      </c>
      <c r="Q384">
        <v>536</v>
      </c>
      <c r="R384">
        <v>245</v>
      </c>
      <c r="S384">
        <v>205.5</v>
      </c>
      <c r="T384">
        <v>422</v>
      </c>
      <c r="U384">
        <v>415</v>
      </c>
      <c r="V384">
        <v>500</v>
      </c>
      <c r="W384">
        <v>2.79</v>
      </c>
    </row>
    <row r="385" spans="1:23" x14ac:dyDescent="0.25">
      <c r="A385" t="s">
        <v>33</v>
      </c>
      <c r="B385" t="s">
        <v>35</v>
      </c>
      <c r="C385">
        <v>8</v>
      </c>
      <c r="D385">
        <v>1993</v>
      </c>
      <c r="E385">
        <v>102.5</v>
      </c>
      <c r="F385">
        <v>15</v>
      </c>
      <c r="G385">
        <v>14.1</v>
      </c>
      <c r="H385">
        <v>0.9</v>
      </c>
      <c r="I385">
        <v>6</v>
      </c>
      <c r="J385">
        <v>89.5</v>
      </c>
      <c r="K385">
        <v>330.1</v>
      </c>
      <c r="L385">
        <v>356</v>
      </c>
      <c r="M385">
        <v>346</v>
      </c>
      <c r="N385">
        <v>516</v>
      </c>
      <c r="O385">
        <v>170</v>
      </c>
      <c r="P385">
        <v>273</v>
      </c>
      <c r="Q385">
        <v>531</v>
      </c>
      <c r="R385">
        <v>258</v>
      </c>
      <c r="S385">
        <v>205.5</v>
      </c>
      <c r="T385">
        <v>422</v>
      </c>
      <c r="U385">
        <v>415</v>
      </c>
      <c r="V385">
        <v>500</v>
      </c>
      <c r="W385">
        <v>2.79</v>
      </c>
    </row>
    <row r="386" spans="1:23" x14ac:dyDescent="0.25">
      <c r="A386" t="s">
        <v>33</v>
      </c>
      <c r="B386" t="s">
        <v>35</v>
      </c>
      <c r="C386">
        <v>9</v>
      </c>
      <c r="D386">
        <v>1994</v>
      </c>
      <c r="E386">
        <v>115.1</v>
      </c>
      <c r="F386">
        <v>12.6</v>
      </c>
      <c r="G386">
        <v>12.3</v>
      </c>
      <c r="H386">
        <v>0.3</v>
      </c>
      <c r="I386">
        <v>2</v>
      </c>
      <c r="J386">
        <v>86.1</v>
      </c>
      <c r="K386">
        <v>416.2</v>
      </c>
      <c r="L386">
        <v>385</v>
      </c>
      <c r="M386">
        <v>381</v>
      </c>
      <c r="N386">
        <v>567</v>
      </c>
      <c r="O386">
        <v>186</v>
      </c>
      <c r="P386">
        <v>283</v>
      </c>
      <c r="Q386">
        <v>567</v>
      </c>
      <c r="R386">
        <v>284</v>
      </c>
      <c r="S386">
        <v>205.5</v>
      </c>
      <c r="T386">
        <v>422</v>
      </c>
      <c r="U386">
        <v>415</v>
      </c>
      <c r="V386">
        <v>500</v>
      </c>
      <c r="W386">
        <v>2.79</v>
      </c>
    </row>
    <row r="387" spans="1:23" x14ac:dyDescent="0.25">
      <c r="A387" t="s">
        <v>33</v>
      </c>
      <c r="B387" t="s">
        <v>35</v>
      </c>
      <c r="C387">
        <v>10</v>
      </c>
      <c r="D387">
        <v>1995</v>
      </c>
      <c r="E387">
        <v>127.4</v>
      </c>
      <c r="F387">
        <v>12.3</v>
      </c>
      <c r="G387">
        <v>11.1</v>
      </c>
      <c r="H387">
        <v>1.2</v>
      </c>
      <c r="I387">
        <v>9</v>
      </c>
      <c r="J387">
        <v>93.7</v>
      </c>
      <c r="K387">
        <v>509.9</v>
      </c>
      <c r="L387">
        <v>393</v>
      </c>
      <c r="M387">
        <v>376</v>
      </c>
      <c r="N387">
        <v>548</v>
      </c>
      <c r="O387">
        <v>172</v>
      </c>
      <c r="P387">
        <v>310</v>
      </c>
      <c r="Q387">
        <v>580</v>
      </c>
      <c r="R387">
        <v>270</v>
      </c>
      <c r="S387">
        <v>205.5</v>
      </c>
      <c r="T387">
        <v>422</v>
      </c>
      <c r="U387">
        <v>415</v>
      </c>
      <c r="V387">
        <v>500</v>
      </c>
      <c r="W387">
        <v>2.79</v>
      </c>
    </row>
    <row r="388" spans="1:23" x14ac:dyDescent="0.25">
      <c r="A388" t="s">
        <v>33</v>
      </c>
      <c r="B388" t="s">
        <v>35</v>
      </c>
      <c r="C388">
        <v>11</v>
      </c>
      <c r="D388">
        <v>1996</v>
      </c>
      <c r="E388">
        <v>138.5</v>
      </c>
      <c r="F388">
        <v>11.1</v>
      </c>
      <c r="G388">
        <v>9.9</v>
      </c>
      <c r="H388">
        <v>1.2</v>
      </c>
      <c r="I388">
        <v>10</v>
      </c>
      <c r="J388">
        <v>92.7</v>
      </c>
      <c r="K388">
        <v>602.6</v>
      </c>
      <c r="L388">
        <v>381</v>
      </c>
      <c r="M388">
        <v>363</v>
      </c>
      <c r="N388">
        <v>530</v>
      </c>
      <c r="O388">
        <v>167</v>
      </c>
      <c r="P388">
        <v>318</v>
      </c>
      <c r="Q388">
        <v>553</v>
      </c>
      <c r="R388">
        <v>235</v>
      </c>
      <c r="S388">
        <v>205.5</v>
      </c>
      <c r="T388">
        <v>422</v>
      </c>
      <c r="U388">
        <v>415</v>
      </c>
      <c r="V388">
        <v>500</v>
      </c>
      <c r="W388">
        <v>2.79</v>
      </c>
    </row>
    <row r="389" spans="1:23" x14ac:dyDescent="0.25">
      <c r="A389" t="s">
        <v>33</v>
      </c>
      <c r="B389" t="s">
        <v>35</v>
      </c>
      <c r="C389">
        <v>12</v>
      </c>
      <c r="D389">
        <v>1997</v>
      </c>
      <c r="E389">
        <v>149.9</v>
      </c>
      <c r="F389">
        <v>11.4</v>
      </c>
      <c r="G389">
        <v>9</v>
      </c>
      <c r="H389">
        <v>2.4</v>
      </c>
      <c r="I389">
        <v>21</v>
      </c>
      <c r="J389">
        <v>103.3</v>
      </c>
      <c r="K389">
        <v>705.9</v>
      </c>
      <c r="L389">
        <v>408</v>
      </c>
      <c r="M389">
        <v>375</v>
      </c>
      <c r="N389">
        <v>535</v>
      </c>
      <c r="O389">
        <v>160</v>
      </c>
      <c r="P389">
        <v>345</v>
      </c>
      <c r="Q389">
        <v>563</v>
      </c>
      <c r="R389">
        <v>218</v>
      </c>
      <c r="S389">
        <v>205.5</v>
      </c>
      <c r="T389">
        <v>422</v>
      </c>
      <c r="U389">
        <v>415</v>
      </c>
      <c r="V389">
        <v>500</v>
      </c>
      <c r="W389">
        <v>2.79</v>
      </c>
    </row>
    <row r="390" spans="1:23" x14ac:dyDescent="0.25">
      <c r="A390" t="s">
        <v>33</v>
      </c>
      <c r="B390" t="s">
        <v>35</v>
      </c>
      <c r="C390">
        <v>13</v>
      </c>
      <c r="D390">
        <v>1998</v>
      </c>
      <c r="E390">
        <v>156.5</v>
      </c>
      <c r="F390">
        <v>6.6</v>
      </c>
      <c r="G390">
        <v>5.4</v>
      </c>
      <c r="H390">
        <v>1.2</v>
      </c>
      <c r="I390">
        <v>18</v>
      </c>
      <c r="J390">
        <v>63.5</v>
      </c>
      <c r="K390">
        <v>769.4</v>
      </c>
      <c r="L390">
        <v>434</v>
      </c>
      <c r="M390">
        <v>406</v>
      </c>
      <c r="N390">
        <v>560</v>
      </c>
      <c r="O390">
        <v>154</v>
      </c>
      <c r="P390">
        <v>356</v>
      </c>
      <c r="Q390">
        <v>589</v>
      </c>
      <c r="R390">
        <v>233</v>
      </c>
      <c r="S390">
        <v>205.5</v>
      </c>
      <c r="T390">
        <v>422</v>
      </c>
      <c r="U390">
        <v>415</v>
      </c>
      <c r="V390">
        <v>500</v>
      </c>
      <c r="W390">
        <v>2.79</v>
      </c>
    </row>
    <row r="391" spans="1:23" x14ac:dyDescent="0.25">
      <c r="A391" t="s">
        <v>33</v>
      </c>
      <c r="B391" t="s">
        <v>35</v>
      </c>
      <c r="C391">
        <v>14</v>
      </c>
      <c r="D391">
        <v>1999</v>
      </c>
      <c r="E391">
        <v>163.69999999999999</v>
      </c>
      <c r="F391">
        <v>7.2</v>
      </c>
      <c r="G391">
        <v>6.6</v>
      </c>
      <c r="H391">
        <v>0.6</v>
      </c>
      <c r="I391">
        <v>8</v>
      </c>
      <c r="J391">
        <v>72.400000000000006</v>
      </c>
      <c r="K391">
        <v>841.9</v>
      </c>
      <c r="L391">
        <v>427</v>
      </c>
      <c r="M391">
        <v>417</v>
      </c>
      <c r="N391">
        <v>540</v>
      </c>
      <c r="O391">
        <v>123</v>
      </c>
      <c r="P391">
        <v>381</v>
      </c>
      <c r="Q391">
        <v>546</v>
      </c>
      <c r="R391">
        <v>165</v>
      </c>
      <c r="S391">
        <v>205.5</v>
      </c>
      <c r="T391">
        <v>422</v>
      </c>
      <c r="U391">
        <v>415</v>
      </c>
      <c r="V391">
        <v>500</v>
      </c>
      <c r="W391">
        <v>2.79</v>
      </c>
    </row>
    <row r="392" spans="1:23" x14ac:dyDescent="0.25">
      <c r="A392" t="s">
        <v>33</v>
      </c>
      <c r="B392" t="s">
        <v>35</v>
      </c>
      <c r="C392">
        <v>15</v>
      </c>
      <c r="D392">
        <v>2000</v>
      </c>
      <c r="E392">
        <v>169.7</v>
      </c>
      <c r="F392">
        <v>6</v>
      </c>
      <c r="G392">
        <v>5.0999999999999996</v>
      </c>
      <c r="H392">
        <v>0.9</v>
      </c>
      <c r="I392">
        <v>15</v>
      </c>
      <c r="J392">
        <v>62.8</v>
      </c>
      <c r="K392">
        <v>904.7</v>
      </c>
      <c r="L392">
        <v>422</v>
      </c>
      <c r="M392">
        <v>398</v>
      </c>
      <c r="N392">
        <v>558</v>
      </c>
      <c r="O392">
        <v>160</v>
      </c>
      <c r="P392">
        <v>352</v>
      </c>
      <c r="Q392">
        <v>609</v>
      </c>
      <c r="R392">
        <v>257</v>
      </c>
      <c r="S392">
        <v>205.5</v>
      </c>
      <c r="T392">
        <v>422</v>
      </c>
      <c r="U392">
        <v>415</v>
      </c>
      <c r="V392">
        <v>500</v>
      </c>
      <c r="W392">
        <v>2.79</v>
      </c>
    </row>
    <row r="393" spans="1:23" x14ac:dyDescent="0.25">
      <c r="A393" t="s">
        <v>33</v>
      </c>
      <c r="B393" t="s">
        <v>35</v>
      </c>
      <c r="C393">
        <v>16</v>
      </c>
      <c r="D393">
        <v>2001</v>
      </c>
      <c r="E393">
        <v>175.1</v>
      </c>
      <c r="F393">
        <v>5.4</v>
      </c>
      <c r="G393">
        <v>4.8</v>
      </c>
      <c r="H393">
        <v>0.6</v>
      </c>
      <c r="I393">
        <v>11</v>
      </c>
      <c r="J393">
        <v>58.5</v>
      </c>
      <c r="K393">
        <v>963.2</v>
      </c>
      <c r="L393">
        <v>447</v>
      </c>
      <c r="M393">
        <v>430</v>
      </c>
      <c r="N393">
        <v>588</v>
      </c>
      <c r="O393">
        <v>158</v>
      </c>
      <c r="P393">
        <v>406</v>
      </c>
      <c r="Q393">
        <v>616</v>
      </c>
      <c r="R393">
        <v>210</v>
      </c>
      <c r="S393">
        <v>205.5</v>
      </c>
      <c r="T393">
        <v>422</v>
      </c>
      <c r="U393">
        <v>415</v>
      </c>
      <c r="V393">
        <v>500</v>
      </c>
      <c r="W393">
        <v>2.79</v>
      </c>
    </row>
    <row r="394" spans="1:23" x14ac:dyDescent="0.25">
      <c r="A394" t="s">
        <v>33</v>
      </c>
      <c r="B394" t="s">
        <v>35</v>
      </c>
      <c r="C394">
        <v>17</v>
      </c>
      <c r="D394">
        <v>2002</v>
      </c>
      <c r="E394">
        <v>179.9</v>
      </c>
      <c r="F394">
        <v>4.8</v>
      </c>
      <c r="G394">
        <v>2.7</v>
      </c>
      <c r="H394">
        <v>2.1</v>
      </c>
      <c r="I394">
        <v>43</v>
      </c>
      <c r="J394">
        <v>53.5</v>
      </c>
      <c r="K394">
        <v>1016.7</v>
      </c>
      <c r="L394">
        <v>481</v>
      </c>
      <c r="M394">
        <v>421</v>
      </c>
      <c r="N394">
        <v>558</v>
      </c>
      <c r="O394">
        <v>137</v>
      </c>
      <c r="P394">
        <v>393</v>
      </c>
      <c r="Q394">
        <v>652</v>
      </c>
      <c r="R394">
        <v>259</v>
      </c>
      <c r="S394">
        <v>205.5</v>
      </c>
      <c r="T394">
        <v>422</v>
      </c>
      <c r="U394">
        <v>415</v>
      </c>
      <c r="V394">
        <v>500</v>
      </c>
      <c r="W394">
        <v>2.79</v>
      </c>
    </row>
    <row r="395" spans="1:23" x14ac:dyDescent="0.25">
      <c r="A395" t="s">
        <v>33</v>
      </c>
      <c r="B395" t="s">
        <v>35</v>
      </c>
      <c r="C395">
        <v>18</v>
      </c>
      <c r="D395">
        <v>2003</v>
      </c>
      <c r="E395">
        <v>184.4</v>
      </c>
      <c r="F395">
        <v>4.5</v>
      </c>
      <c r="G395">
        <v>2.7</v>
      </c>
      <c r="H395">
        <v>1.8</v>
      </c>
      <c r="I395">
        <v>40</v>
      </c>
      <c r="J395">
        <v>51.5</v>
      </c>
      <c r="K395">
        <v>1068.2</v>
      </c>
      <c r="L395">
        <v>479</v>
      </c>
      <c r="M395">
        <v>439</v>
      </c>
      <c r="N395">
        <v>539</v>
      </c>
      <c r="O395">
        <v>100</v>
      </c>
      <c r="P395">
        <v>430</v>
      </c>
      <c r="Q395">
        <v>580</v>
      </c>
      <c r="R395">
        <v>150</v>
      </c>
      <c r="S395">
        <v>205.5</v>
      </c>
      <c r="T395">
        <v>422</v>
      </c>
      <c r="U395">
        <v>415</v>
      </c>
      <c r="V395">
        <v>500</v>
      </c>
      <c r="W395">
        <v>2.79</v>
      </c>
    </row>
    <row r="396" spans="1:23" x14ac:dyDescent="0.25">
      <c r="A396" t="s">
        <v>33</v>
      </c>
      <c r="B396" t="s">
        <v>35</v>
      </c>
      <c r="C396">
        <v>19</v>
      </c>
      <c r="D396">
        <v>2004</v>
      </c>
      <c r="E396">
        <v>188</v>
      </c>
      <c r="F396">
        <v>3.6</v>
      </c>
      <c r="G396">
        <v>2.1</v>
      </c>
      <c r="H396">
        <v>1.5</v>
      </c>
      <c r="I396">
        <v>41</v>
      </c>
      <c r="J396">
        <v>42.1</v>
      </c>
      <c r="K396">
        <v>1110.4000000000001</v>
      </c>
      <c r="L396">
        <v>487</v>
      </c>
      <c r="M396">
        <v>439</v>
      </c>
      <c r="N396">
        <v>555</v>
      </c>
      <c r="O396">
        <v>116</v>
      </c>
      <c r="P396">
        <v>425</v>
      </c>
      <c r="Q396">
        <v>598</v>
      </c>
      <c r="R396">
        <v>173</v>
      </c>
      <c r="S396">
        <v>205.5</v>
      </c>
      <c r="T396">
        <v>422</v>
      </c>
      <c r="U396">
        <v>415</v>
      </c>
      <c r="V396">
        <v>500</v>
      </c>
      <c r="W396">
        <v>2.79</v>
      </c>
    </row>
    <row r="397" spans="1:23" x14ac:dyDescent="0.25">
      <c r="A397" t="s">
        <v>33</v>
      </c>
      <c r="B397" t="s">
        <v>35</v>
      </c>
      <c r="C397">
        <v>20</v>
      </c>
      <c r="D397">
        <v>2005</v>
      </c>
      <c r="E397">
        <v>191.3</v>
      </c>
      <c r="F397">
        <v>3.3</v>
      </c>
      <c r="G397">
        <v>1.8</v>
      </c>
      <c r="H397">
        <v>1.5</v>
      </c>
      <c r="I397">
        <v>45</v>
      </c>
      <c r="J397">
        <v>39.299999999999997</v>
      </c>
      <c r="K397">
        <v>1149.7</v>
      </c>
      <c r="L397">
        <v>476</v>
      </c>
      <c r="M397">
        <v>439</v>
      </c>
      <c r="N397">
        <v>521</v>
      </c>
      <c r="O397">
        <v>82</v>
      </c>
      <c r="P397">
        <v>398</v>
      </c>
      <c r="Q397">
        <v>546</v>
      </c>
      <c r="R397">
        <v>148</v>
      </c>
      <c r="S397">
        <v>205.5</v>
      </c>
      <c r="T397">
        <v>422</v>
      </c>
      <c r="U397">
        <v>415</v>
      </c>
      <c r="V397">
        <v>500</v>
      </c>
      <c r="W397">
        <v>2.79</v>
      </c>
    </row>
    <row r="398" spans="1:23" x14ac:dyDescent="0.25">
      <c r="A398" t="s">
        <v>33</v>
      </c>
      <c r="B398" t="s">
        <v>35</v>
      </c>
      <c r="C398">
        <v>21</v>
      </c>
      <c r="D398">
        <v>2006</v>
      </c>
      <c r="E398">
        <v>194.9</v>
      </c>
      <c r="F398">
        <v>3.6</v>
      </c>
      <c r="G398">
        <v>3.3</v>
      </c>
      <c r="H398">
        <v>0.3</v>
      </c>
      <c r="I398">
        <v>8</v>
      </c>
      <c r="J398">
        <v>43.7</v>
      </c>
      <c r="K398">
        <v>1193.4000000000001</v>
      </c>
      <c r="L398">
        <v>449</v>
      </c>
      <c r="M398">
        <v>442</v>
      </c>
      <c r="N398">
        <v>525</v>
      </c>
      <c r="O398">
        <v>83</v>
      </c>
      <c r="P398">
        <v>360</v>
      </c>
      <c r="Q398">
        <v>525</v>
      </c>
      <c r="R398">
        <v>165</v>
      </c>
      <c r="S398">
        <v>205.5</v>
      </c>
      <c r="T398">
        <v>422</v>
      </c>
      <c r="U398">
        <v>415</v>
      </c>
      <c r="V398">
        <v>500</v>
      </c>
      <c r="W398">
        <v>2.79</v>
      </c>
    </row>
    <row r="399" spans="1:23" x14ac:dyDescent="0.25">
      <c r="A399" t="s">
        <v>33</v>
      </c>
      <c r="B399" t="s">
        <v>35</v>
      </c>
      <c r="C399">
        <v>22</v>
      </c>
      <c r="D399">
        <v>2007</v>
      </c>
      <c r="E399">
        <v>197.9</v>
      </c>
      <c r="F399">
        <v>3</v>
      </c>
      <c r="G399">
        <v>1.5</v>
      </c>
      <c r="H399">
        <v>1.5</v>
      </c>
      <c r="I399">
        <v>50</v>
      </c>
      <c r="J399">
        <v>37</v>
      </c>
      <c r="K399">
        <v>1230.4000000000001</v>
      </c>
      <c r="L399">
        <v>503</v>
      </c>
      <c r="M399">
        <v>449</v>
      </c>
      <c r="N399">
        <v>556</v>
      </c>
      <c r="O399">
        <v>107</v>
      </c>
      <c r="P399">
        <v>388</v>
      </c>
      <c r="Q399">
        <v>597</v>
      </c>
      <c r="R399">
        <v>209</v>
      </c>
      <c r="S399">
        <v>205.5</v>
      </c>
      <c r="T399">
        <v>422</v>
      </c>
      <c r="U399">
        <v>415</v>
      </c>
      <c r="V399">
        <v>500</v>
      </c>
      <c r="W399">
        <v>2.79</v>
      </c>
    </row>
    <row r="400" spans="1:23" x14ac:dyDescent="0.25">
      <c r="A400" t="s">
        <v>33</v>
      </c>
      <c r="B400" t="s">
        <v>35</v>
      </c>
      <c r="C400">
        <v>23</v>
      </c>
      <c r="D400">
        <v>2008</v>
      </c>
      <c r="E400">
        <v>201.5</v>
      </c>
      <c r="F400">
        <v>3.6</v>
      </c>
      <c r="G400">
        <v>2.4</v>
      </c>
      <c r="H400">
        <v>1.2</v>
      </c>
      <c r="I400">
        <v>33</v>
      </c>
      <c r="J400">
        <v>45.2</v>
      </c>
      <c r="K400">
        <v>1275.5999999999999</v>
      </c>
      <c r="L400">
        <v>465</v>
      </c>
      <c r="M400">
        <v>437</v>
      </c>
      <c r="N400">
        <v>521</v>
      </c>
      <c r="O400">
        <v>84</v>
      </c>
      <c r="P400">
        <v>385</v>
      </c>
      <c r="Q400">
        <v>548</v>
      </c>
      <c r="R400">
        <v>163</v>
      </c>
      <c r="S400">
        <v>205.5</v>
      </c>
      <c r="T400">
        <v>422</v>
      </c>
      <c r="U400">
        <v>415</v>
      </c>
      <c r="V400">
        <v>500</v>
      </c>
      <c r="W400">
        <v>2.79</v>
      </c>
    </row>
    <row r="401" spans="1:23" x14ac:dyDescent="0.25">
      <c r="A401" t="s">
        <v>33</v>
      </c>
      <c r="B401" t="s">
        <v>35</v>
      </c>
      <c r="C401">
        <v>24</v>
      </c>
      <c r="D401">
        <v>2009</v>
      </c>
      <c r="E401">
        <v>204.2</v>
      </c>
      <c r="F401">
        <v>2.7</v>
      </c>
      <c r="G401">
        <v>1.5</v>
      </c>
      <c r="H401">
        <v>1.2</v>
      </c>
      <c r="I401">
        <v>44</v>
      </c>
      <c r="J401">
        <v>34.4</v>
      </c>
      <c r="K401">
        <v>1310</v>
      </c>
      <c r="L401">
        <v>500</v>
      </c>
      <c r="M401">
        <v>467</v>
      </c>
      <c r="N401">
        <v>541</v>
      </c>
      <c r="O401">
        <v>74</v>
      </c>
      <c r="P401">
        <v>428</v>
      </c>
      <c r="Q401">
        <v>561</v>
      </c>
      <c r="R401">
        <v>133</v>
      </c>
      <c r="S401">
        <v>205.5</v>
      </c>
      <c r="T401">
        <v>422</v>
      </c>
      <c r="U401">
        <v>415</v>
      </c>
      <c r="V401">
        <v>500</v>
      </c>
      <c r="W401">
        <v>2.79</v>
      </c>
    </row>
    <row r="402" spans="1:23" x14ac:dyDescent="0.25">
      <c r="A402" t="s">
        <v>33</v>
      </c>
      <c r="B402" t="s">
        <v>35</v>
      </c>
      <c r="C402">
        <v>25</v>
      </c>
      <c r="D402">
        <v>2010</v>
      </c>
      <c r="E402">
        <v>206.9</v>
      </c>
      <c r="F402">
        <v>2.7</v>
      </c>
      <c r="G402">
        <v>1.8</v>
      </c>
      <c r="H402">
        <v>0.9</v>
      </c>
      <c r="I402">
        <v>33</v>
      </c>
      <c r="J402">
        <v>34.9</v>
      </c>
      <c r="K402">
        <v>1344.8</v>
      </c>
      <c r="L402">
        <v>461</v>
      </c>
      <c r="M402">
        <v>427</v>
      </c>
      <c r="N402">
        <v>529</v>
      </c>
      <c r="O402">
        <v>102</v>
      </c>
      <c r="P402">
        <v>362</v>
      </c>
      <c r="Q402">
        <v>568</v>
      </c>
      <c r="R402">
        <v>206</v>
      </c>
      <c r="S402">
        <v>205.5</v>
      </c>
      <c r="T402">
        <v>422</v>
      </c>
      <c r="U402">
        <v>415</v>
      </c>
      <c r="V402">
        <v>500</v>
      </c>
      <c r="W402">
        <v>2.79</v>
      </c>
    </row>
    <row r="403" spans="1:23" x14ac:dyDescent="0.25">
      <c r="A403" t="s">
        <v>33</v>
      </c>
      <c r="B403" t="s">
        <v>35</v>
      </c>
      <c r="C403">
        <v>26</v>
      </c>
      <c r="D403">
        <v>2011</v>
      </c>
      <c r="E403">
        <v>210.2</v>
      </c>
      <c r="F403">
        <v>3.3</v>
      </c>
      <c r="G403">
        <v>2.7</v>
      </c>
      <c r="H403">
        <v>0.6</v>
      </c>
      <c r="I403">
        <v>18</v>
      </c>
      <c r="J403">
        <v>43.2</v>
      </c>
      <c r="K403">
        <v>1388.1</v>
      </c>
      <c r="L403">
        <v>449</v>
      </c>
      <c r="M403">
        <v>428</v>
      </c>
      <c r="N403">
        <v>543</v>
      </c>
      <c r="O403">
        <v>115</v>
      </c>
      <c r="P403">
        <v>348</v>
      </c>
      <c r="Q403">
        <v>545</v>
      </c>
      <c r="R403">
        <v>197</v>
      </c>
      <c r="S403">
        <v>205.5</v>
      </c>
      <c r="T403">
        <v>422</v>
      </c>
      <c r="U403">
        <v>415</v>
      </c>
      <c r="V403">
        <v>500</v>
      </c>
      <c r="W403">
        <v>2.79</v>
      </c>
    </row>
    <row r="404" spans="1:23" x14ac:dyDescent="0.25">
      <c r="A404" t="s">
        <v>33</v>
      </c>
      <c r="B404" t="s">
        <v>35</v>
      </c>
      <c r="C404">
        <v>27</v>
      </c>
      <c r="D404">
        <v>2012</v>
      </c>
      <c r="E404">
        <v>213.5</v>
      </c>
      <c r="F404">
        <v>3.3</v>
      </c>
      <c r="G404">
        <v>3.3</v>
      </c>
      <c r="H404">
        <v>0</v>
      </c>
      <c r="I404">
        <v>0</v>
      </c>
      <c r="J404">
        <v>43.9</v>
      </c>
      <c r="K404">
        <v>1432</v>
      </c>
      <c r="L404">
        <v>436</v>
      </c>
      <c r="M404">
        <v>436</v>
      </c>
      <c r="P404">
        <v>395</v>
      </c>
      <c r="Q404">
        <v>475</v>
      </c>
      <c r="R404">
        <v>80</v>
      </c>
      <c r="S404">
        <v>205.5</v>
      </c>
      <c r="T404">
        <v>422</v>
      </c>
      <c r="U404">
        <v>415</v>
      </c>
      <c r="V404">
        <v>500</v>
      </c>
      <c r="W404">
        <v>2.79</v>
      </c>
    </row>
    <row r="405" spans="1:23" x14ac:dyDescent="0.25">
      <c r="A405" t="s">
        <v>36</v>
      </c>
      <c r="B405">
        <v>1</v>
      </c>
      <c r="C405">
        <v>3</v>
      </c>
      <c r="D405">
        <v>1988</v>
      </c>
      <c r="E405">
        <v>37.9</v>
      </c>
      <c r="F405">
        <v>37.9</v>
      </c>
      <c r="G405">
        <v>12.9</v>
      </c>
      <c r="H405">
        <v>0</v>
      </c>
      <c r="I405">
        <v>0</v>
      </c>
      <c r="J405">
        <v>45.1</v>
      </c>
      <c r="K405">
        <v>45.1</v>
      </c>
      <c r="L405">
        <v>356</v>
      </c>
      <c r="M405">
        <v>356</v>
      </c>
      <c r="P405">
        <v>266</v>
      </c>
      <c r="Q405">
        <v>460</v>
      </c>
      <c r="R405">
        <v>194</v>
      </c>
      <c r="S405">
        <v>184.2</v>
      </c>
      <c r="T405">
        <v>438</v>
      </c>
      <c r="U405">
        <v>433</v>
      </c>
      <c r="V405">
        <v>500</v>
      </c>
      <c r="W405">
        <v>2.79</v>
      </c>
    </row>
    <row r="406" spans="1:23" x14ac:dyDescent="0.25">
      <c r="A406" t="s">
        <v>36</v>
      </c>
      <c r="B406">
        <v>1</v>
      </c>
      <c r="C406">
        <v>4</v>
      </c>
      <c r="D406">
        <v>1989</v>
      </c>
      <c r="E406">
        <v>60.4</v>
      </c>
      <c r="F406">
        <v>22.5</v>
      </c>
      <c r="G406">
        <v>21.6</v>
      </c>
      <c r="H406">
        <v>0.9</v>
      </c>
      <c r="I406">
        <v>4</v>
      </c>
      <c r="J406">
        <v>69.5</v>
      </c>
      <c r="K406">
        <v>114.6</v>
      </c>
      <c r="L406">
        <v>353</v>
      </c>
      <c r="M406">
        <v>346</v>
      </c>
      <c r="N406">
        <v>512</v>
      </c>
      <c r="O406">
        <v>166</v>
      </c>
      <c r="P406">
        <v>288</v>
      </c>
      <c r="Q406">
        <v>522</v>
      </c>
      <c r="R406">
        <v>234</v>
      </c>
      <c r="S406">
        <v>184.2</v>
      </c>
      <c r="T406">
        <v>438</v>
      </c>
      <c r="U406">
        <v>433</v>
      </c>
      <c r="V406">
        <v>500</v>
      </c>
      <c r="W406">
        <v>2.79</v>
      </c>
    </row>
    <row r="407" spans="1:23" x14ac:dyDescent="0.25">
      <c r="A407" t="s">
        <v>36</v>
      </c>
      <c r="B407">
        <v>1</v>
      </c>
      <c r="C407">
        <v>5</v>
      </c>
      <c r="D407">
        <v>1990</v>
      </c>
      <c r="E407">
        <v>74.8</v>
      </c>
      <c r="F407">
        <v>14.4</v>
      </c>
      <c r="G407">
        <v>13.2</v>
      </c>
      <c r="H407">
        <v>1.2</v>
      </c>
      <c r="I407">
        <v>8</v>
      </c>
      <c r="J407">
        <v>61.2</v>
      </c>
      <c r="K407">
        <v>175.8</v>
      </c>
      <c r="L407">
        <v>362</v>
      </c>
      <c r="M407">
        <v>347</v>
      </c>
      <c r="N407">
        <v>529</v>
      </c>
      <c r="O407">
        <v>182</v>
      </c>
      <c r="P407">
        <v>293</v>
      </c>
      <c r="Q407">
        <v>561</v>
      </c>
      <c r="R407">
        <v>268</v>
      </c>
      <c r="S407">
        <v>184.2</v>
      </c>
      <c r="T407">
        <v>438</v>
      </c>
      <c r="U407">
        <v>433</v>
      </c>
      <c r="V407">
        <v>500</v>
      </c>
      <c r="W407">
        <v>2.79</v>
      </c>
    </row>
    <row r="408" spans="1:23" x14ac:dyDescent="0.25">
      <c r="A408" t="s">
        <v>36</v>
      </c>
      <c r="B408">
        <v>1</v>
      </c>
      <c r="C408">
        <v>6</v>
      </c>
      <c r="D408">
        <v>1991</v>
      </c>
      <c r="E408">
        <v>87.1</v>
      </c>
      <c r="F408">
        <v>12.3</v>
      </c>
      <c r="G408">
        <v>11.1</v>
      </c>
      <c r="H408">
        <v>1.2</v>
      </c>
      <c r="I408">
        <v>9</v>
      </c>
      <c r="J408">
        <v>62.6</v>
      </c>
      <c r="K408">
        <v>238.3</v>
      </c>
      <c r="L408">
        <v>368</v>
      </c>
      <c r="M408">
        <v>349</v>
      </c>
      <c r="N408">
        <v>549</v>
      </c>
      <c r="O408">
        <v>200</v>
      </c>
      <c r="P408">
        <v>302</v>
      </c>
      <c r="Q408">
        <v>574</v>
      </c>
      <c r="R408">
        <v>272</v>
      </c>
      <c r="S408">
        <v>184.2</v>
      </c>
      <c r="T408">
        <v>438</v>
      </c>
      <c r="U408">
        <v>433</v>
      </c>
      <c r="V408">
        <v>500</v>
      </c>
      <c r="W408">
        <v>2.79</v>
      </c>
    </row>
    <row r="409" spans="1:23" x14ac:dyDescent="0.25">
      <c r="A409" t="s">
        <v>36</v>
      </c>
      <c r="B409">
        <v>1</v>
      </c>
      <c r="C409">
        <v>7</v>
      </c>
      <c r="D409">
        <v>1992</v>
      </c>
      <c r="E409">
        <v>99.4</v>
      </c>
      <c r="F409">
        <v>12.3</v>
      </c>
      <c r="G409">
        <v>9.9</v>
      </c>
      <c r="H409">
        <v>2.4</v>
      </c>
      <c r="I409">
        <v>19</v>
      </c>
      <c r="J409">
        <v>72.099999999999994</v>
      </c>
      <c r="K409">
        <v>310.39999999999998</v>
      </c>
      <c r="L409">
        <v>410</v>
      </c>
      <c r="M409">
        <v>381</v>
      </c>
      <c r="N409">
        <v>531</v>
      </c>
      <c r="O409">
        <v>150</v>
      </c>
      <c r="P409">
        <v>334</v>
      </c>
      <c r="Q409">
        <v>564</v>
      </c>
      <c r="R409">
        <v>230</v>
      </c>
      <c r="S409">
        <v>184.2</v>
      </c>
      <c r="T409">
        <v>438</v>
      </c>
      <c r="U409">
        <v>433</v>
      </c>
      <c r="V409">
        <v>500</v>
      </c>
      <c r="W409">
        <v>2.79</v>
      </c>
    </row>
    <row r="410" spans="1:23" x14ac:dyDescent="0.25">
      <c r="A410" t="s">
        <v>36</v>
      </c>
      <c r="B410">
        <v>1</v>
      </c>
      <c r="C410">
        <v>8</v>
      </c>
      <c r="D410">
        <v>1993</v>
      </c>
      <c r="E410">
        <v>111.4</v>
      </c>
      <c r="F410">
        <v>12</v>
      </c>
      <c r="G410">
        <v>9.9</v>
      </c>
      <c r="H410">
        <v>2.1</v>
      </c>
      <c r="I410">
        <v>17</v>
      </c>
      <c r="J410">
        <v>79.5</v>
      </c>
      <c r="K410">
        <v>389.9</v>
      </c>
      <c r="L410">
        <v>414</v>
      </c>
      <c r="M410">
        <v>387</v>
      </c>
      <c r="N410">
        <v>541</v>
      </c>
      <c r="O410">
        <v>154</v>
      </c>
      <c r="P410">
        <v>340</v>
      </c>
      <c r="Q410">
        <v>570</v>
      </c>
      <c r="R410">
        <v>230</v>
      </c>
      <c r="S410">
        <v>184.2</v>
      </c>
      <c r="T410">
        <v>438</v>
      </c>
      <c r="U410">
        <v>433</v>
      </c>
      <c r="V410">
        <v>500</v>
      </c>
      <c r="W410">
        <v>2.79</v>
      </c>
    </row>
    <row r="411" spans="1:23" x14ac:dyDescent="0.25">
      <c r="A411" t="s">
        <v>36</v>
      </c>
      <c r="B411">
        <v>1</v>
      </c>
      <c r="C411">
        <v>9</v>
      </c>
      <c r="D411">
        <v>1994</v>
      </c>
      <c r="E411">
        <v>120.1</v>
      </c>
      <c r="F411">
        <v>8.6999999999999993</v>
      </c>
      <c r="G411">
        <v>7.2</v>
      </c>
      <c r="H411">
        <v>1.5</v>
      </c>
      <c r="I411">
        <v>17</v>
      </c>
      <c r="J411">
        <v>63.3</v>
      </c>
      <c r="K411">
        <v>453.1</v>
      </c>
      <c r="L411">
        <v>417</v>
      </c>
      <c r="M411">
        <v>394</v>
      </c>
      <c r="N411">
        <v>528</v>
      </c>
      <c r="O411">
        <v>134</v>
      </c>
      <c r="P411">
        <v>326</v>
      </c>
      <c r="Q411">
        <v>551</v>
      </c>
      <c r="R411">
        <v>225</v>
      </c>
      <c r="S411">
        <v>184.2</v>
      </c>
      <c r="T411">
        <v>438</v>
      </c>
      <c r="U411">
        <v>433</v>
      </c>
      <c r="V411">
        <v>500</v>
      </c>
      <c r="W411">
        <v>2.79</v>
      </c>
    </row>
    <row r="412" spans="1:23" x14ac:dyDescent="0.25">
      <c r="A412" t="s">
        <v>36</v>
      </c>
      <c r="B412">
        <v>1</v>
      </c>
      <c r="C412">
        <v>10</v>
      </c>
      <c r="D412">
        <v>1995</v>
      </c>
      <c r="E412">
        <v>126.7</v>
      </c>
      <c r="F412">
        <v>6.6</v>
      </c>
      <c r="G412">
        <v>6</v>
      </c>
      <c r="H412">
        <v>0.6</v>
      </c>
      <c r="I412">
        <v>9</v>
      </c>
      <c r="J412">
        <v>51.2</v>
      </c>
      <c r="K412">
        <v>504.3</v>
      </c>
      <c r="L412">
        <v>419</v>
      </c>
      <c r="M412">
        <v>407</v>
      </c>
      <c r="N412">
        <v>546</v>
      </c>
      <c r="O412">
        <v>139</v>
      </c>
      <c r="P412">
        <v>318</v>
      </c>
      <c r="Q412">
        <v>566</v>
      </c>
      <c r="R412">
        <v>248</v>
      </c>
      <c r="S412">
        <v>184.2</v>
      </c>
      <c r="T412">
        <v>438</v>
      </c>
      <c r="U412">
        <v>433</v>
      </c>
      <c r="V412">
        <v>500</v>
      </c>
      <c r="W412">
        <v>2.79</v>
      </c>
    </row>
    <row r="413" spans="1:23" x14ac:dyDescent="0.25">
      <c r="A413" t="s">
        <v>36</v>
      </c>
      <c r="B413">
        <v>1</v>
      </c>
      <c r="C413">
        <v>11</v>
      </c>
      <c r="D413">
        <v>1996</v>
      </c>
      <c r="E413">
        <v>136.30000000000001</v>
      </c>
      <c r="F413">
        <v>9.6</v>
      </c>
      <c r="G413">
        <v>8.4</v>
      </c>
      <c r="H413">
        <v>1.2</v>
      </c>
      <c r="I413">
        <v>12</v>
      </c>
      <c r="J413">
        <v>79.3</v>
      </c>
      <c r="K413">
        <v>583.6</v>
      </c>
      <c r="L413">
        <v>423</v>
      </c>
      <c r="M413">
        <v>404</v>
      </c>
      <c r="N413">
        <v>555</v>
      </c>
      <c r="O413">
        <v>151</v>
      </c>
      <c r="P413">
        <v>349</v>
      </c>
      <c r="Q413">
        <v>579</v>
      </c>
      <c r="R413">
        <v>230</v>
      </c>
      <c r="S413">
        <v>184.2</v>
      </c>
      <c r="T413">
        <v>438</v>
      </c>
      <c r="U413">
        <v>433</v>
      </c>
      <c r="V413">
        <v>500</v>
      </c>
      <c r="W413">
        <v>2.79</v>
      </c>
    </row>
    <row r="414" spans="1:23" x14ac:dyDescent="0.25">
      <c r="A414" t="s">
        <v>36</v>
      </c>
      <c r="B414">
        <v>1</v>
      </c>
      <c r="C414">
        <v>12</v>
      </c>
      <c r="D414">
        <v>1997</v>
      </c>
      <c r="E414">
        <v>145.9</v>
      </c>
      <c r="F414">
        <v>9.6</v>
      </c>
      <c r="G414">
        <v>7.5</v>
      </c>
      <c r="H414">
        <v>2.1</v>
      </c>
      <c r="I414">
        <v>21</v>
      </c>
      <c r="J414">
        <v>85.1</v>
      </c>
      <c r="K414">
        <v>668.7</v>
      </c>
      <c r="L414">
        <v>449</v>
      </c>
      <c r="M414">
        <v>421</v>
      </c>
      <c r="N414">
        <v>550</v>
      </c>
      <c r="O414">
        <v>129</v>
      </c>
      <c r="P414">
        <v>380</v>
      </c>
      <c r="Q414">
        <v>583</v>
      </c>
      <c r="R414">
        <v>203</v>
      </c>
      <c r="S414">
        <v>184.2</v>
      </c>
      <c r="T414">
        <v>438</v>
      </c>
      <c r="U414">
        <v>433</v>
      </c>
      <c r="V414">
        <v>500</v>
      </c>
      <c r="W414">
        <v>2.79</v>
      </c>
    </row>
    <row r="415" spans="1:23" x14ac:dyDescent="0.25">
      <c r="A415" t="s">
        <v>36</v>
      </c>
      <c r="B415">
        <v>1</v>
      </c>
      <c r="C415">
        <v>13</v>
      </c>
      <c r="D415">
        <v>1998</v>
      </c>
      <c r="E415">
        <v>151.9</v>
      </c>
      <c r="F415">
        <v>6</v>
      </c>
      <c r="G415">
        <v>4.5</v>
      </c>
      <c r="H415">
        <v>1.5</v>
      </c>
      <c r="I415">
        <v>25</v>
      </c>
      <c r="J415">
        <v>56.1</v>
      </c>
      <c r="K415">
        <v>724.9</v>
      </c>
      <c r="L415">
        <v>451</v>
      </c>
      <c r="M415">
        <v>424</v>
      </c>
      <c r="N415">
        <v>530</v>
      </c>
      <c r="O415">
        <v>106</v>
      </c>
      <c r="P415">
        <v>373</v>
      </c>
      <c r="Q415">
        <v>572</v>
      </c>
      <c r="R415">
        <v>199</v>
      </c>
      <c r="S415">
        <v>184.2</v>
      </c>
      <c r="T415">
        <v>438</v>
      </c>
      <c r="U415">
        <v>433</v>
      </c>
      <c r="V415">
        <v>500</v>
      </c>
      <c r="W415">
        <v>2.79</v>
      </c>
    </row>
    <row r="416" spans="1:23" x14ac:dyDescent="0.25">
      <c r="A416" t="s">
        <v>36</v>
      </c>
      <c r="B416">
        <v>1</v>
      </c>
      <c r="C416">
        <v>14</v>
      </c>
      <c r="D416">
        <v>1999</v>
      </c>
      <c r="E416">
        <v>158.5</v>
      </c>
      <c r="F416">
        <v>6.6</v>
      </c>
      <c r="G416">
        <v>6.3</v>
      </c>
      <c r="H416">
        <v>0.3</v>
      </c>
      <c r="I416">
        <v>4</v>
      </c>
      <c r="J416">
        <v>64.400000000000006</v>
      </c>
      <c r="K416">
        <v>789.2</v>
      </c>
      <c r="L416">
        <v>448</v>
      </c>
      <c r="M416">
        <v>444</v>
      </c>
      <c r="N416">
        <v>534</v>
      </c>
      <c r="O416">
        <v>90</v>
      </c>
      <c r="P416">
        <v>375</v>
      </c>
      <c r="Q416">
        <v>534</v>
      </c>
      <c r="R416">
        <v>159</v>
      </c>
      <c r="S416">
        <v>184.2</v>
      </c>
      <c r="T416">
        <v>438</v>
      </c>
      <c r="U416">
        <v>433</v>
      </c>
      <c r="V416">
        <v>500</v>
      </c>
      <c r="W416">
        <v>2.79</v>
      </c>
    </row>
    <row r="417" spans="1:23" x14ac:dyDescent="0.25">
      <c r="A417" t="s">
        <v>36</v>
      </c>
      <c r="B417">
        <v>1</v>
      </c>
      <c r="C417">
        <v>15</v>
      </c>
      <c r="D417">
        <v>2000</v>
      </c>
      <c r="E417">
        <v>166.3</v>
      </c>
      <c r="F417">
        <v>7.8</v>
      </c>
      <c r="G417">
        <v>6.9</v>
      </c>
      <c r="H417">
        <v>0.9</v>
      </c>
      <c r="I417">
        <v>11</v>
      </c>
      <c r="J417">
        <v>79.599999999999994</v>
      </c>
      <c r="K417">
        <v>868.8</v>
      </c>
      <c r="L417">
        <v>444</v>
      </c>
      <c r="M417">
        <v>432</v>
      </c>
      <c r="N417">
        <v>532</v>
      </c>
      <c r="O417">
        <v>100</v>
      </c>
      <c r="P417">
        <v>362</v>
      </c>
      <c r="Q417">
        <v>548</v>
      </c>
      <c r="R417">
        <v>186</v>
      </c>
      <c r="S417">
        <v>184.2</v>
      </c>
      <c r="T417">
        <v>438</v>
      </c>
      <c r="U417">
        <v>433</v>
      </c>
      <c r="V417">
        <v>500</v>
      </c>
      <c r="W417">
        <v>2.79</v>
      </c>
    </row>
    <row r="418" spans="1:23" x14ac:dyDescent="0.25">
      <c r="A418" t="s">
        <v>36</v>
      </c>
      <c r="B418">
        <v>1</v>
      </c>
      <c r="C418">
        <v>16</v>
      </c>
      <c r="D418">
        <v>2001</v>
      </c>
      <c r="E418">
        <v>172.3</v>
      </c>
      <c r="F418">
        <v>6</v>
      </c>
      <c r="G418">
        <v>4.5</v>
      </c>
      <c r="H418">
        <v>1.5</v>
      </c>
      <c r="I418">
        <v>25</v>
      </c>
      <c r="J418">
        <v>63.8</v>
      </c>
      <c r="K418">
        <v>932.7</v>
      </c>
      <c r="L418">
        <v>464</v>
      </c>
      <c r="M418">
        <v>436</v>
      </c>
      <c r="N418">
        <v>546</v>
      </c>
      <c r="O418">
        <v>110</v>
      </c>
      <c r="P418">
        <v>401</v>
      </c>
      <c r="Q418">
        <v>584</v>
      </c>
      <c r="R418">
        <v>183</v>
      </c>
      <c r="S418">
        <v>184.2</v>
      </c>
      <c r="T418">
        <v>438</v>
      </c>
      <c r="U418">
        <v>433</v>
      </c>
      <c r="V418">
        <v>500</v>
      </c>
      <c r="W418">
        <v>2.79</v>
      </c>
    </row>
    <row r="419" spans="1:23" x14ac:dyDescent="0.25">
      <c r="A419" t="s">
        <v>36</v>
      </c>
      <c r="B419">
        <v>1</v>
      </c>
      <c r="C419">
        <v>17</v>
      </c>
      <c r="D419">
        <v>2002</v>
      </c>
      <c r="E419">
        <v>179.5</v>
      </c>
      <c r="F419">
        <v>7.2</v>
      </c>
      <c r="G419">
        <v>5.4</v>
      </c>
      <c r="H419">
        <v>1.8</v>
      </c>
      <c r="I419">
        <v>25</v>
      </c>
      <c r="J419">
        <v>79.599999999999994</v>
      </c>
      <c r="K419">
        <v>1012.2</v>
      </c>
      <c r="L419">
        <v>449</v>
      </c>
      <c r="M419">
        <v>416</v>
      </c>
      <c r="N419">
        <v>549</v>
      </c>
      <c r="O419">
        <v>133</v>
      </c>
      <c r="P419">
        <v>379</v>
      </c>
      <c r="Q419">
        <v>591</v>
      </c>
      <c r="R419">
        <v>212</v>
      </c>
      <c r="S419">
        <v>184.2</v>
      </c>
      <c r="T419">
        <v>438</v>
      </c>
      <c r="U419">
        <v>433</v>
      </c>
      <c r="V419">
        <v>500</v>
      </c>
      <c r="W419">
        <v>2.79</v>
      </c>
    </row>
    <row r="420" spans="1:23" x14ac:dyDescent="0.25">
      <c r="A420" t="s">
        <v>36</v>
      </c>
      <c r="B420">
        <v>1</v>
      </c>
      <c r="C420">
        <v>18</v>
      </c>
      <c r="D420">
        <v>2003</v>
      </c>
      <c r="E420">
        <v>183.4</v>
      </c>
      <c r="F420">
        <v>3.9</v>
      </c>
      <c r="G420">
        <v>3.6</v>
      </c>
      <c r="H420">
        <v>0.3</v>
      </c>
      <c r="I420">
        <v>7</v>
      </c>
      <c r="J420">
        <v>44.5</v>
      </c>
      <c r="K420">
        <v>1056.7</v>
      </c>
      <c r="L420">
        <v>446</v>
      </c>
      <c r="M420">
        <v>437</v>
      </c>
      <c r="N420">
        <v>554</v>
      </c>
      <c r="O420">
        <v>117</v>
      </c>
      <c r="P420">
        <v>386</v>
      </c>
      <c r="Q420">
        <v>554</v>
      </c>
      <c r="R420">
        <v>168</v>
      </c>
      <c r="S420">
        <v>184.2</v>
      </c>
      <c r="T420">
        <v>438</v>
      </c>
      <c r="U420">
        <v>433</v>
      </c>
      <c r="V420">
        <v>500</v>
      </c>
      <c r="W420">
        <v>2.79</v>
      </c>
    </row>
    <row r="421" spans="1:23" x14ac:dyDescent="0.25">
      <c r="A421" t="s">
        <v>36</v>
      </c>
      <c r="B421">
        <v>1</v>
      </c>
      <c r="C421">
        <v>19</v>
      </c>
      <c r="D421">
        <v>2004</v>
      </c>
      <c r="E421">
        <v>186.1</v>
      </c>
      <c r="F421">
        <v>2.7</v>
      </c>
      <c r="G421">
        <v>1.8</v>
      </c>
      <c r="H421">
        <v>0.9</v>
      </c>
      <c r="I421">
        <v>33</v>
      </c>
      <c r="J421">
        <v>31.3</v>
      </c>
      <c r="K421">
        <v>1088</v>
      </c>
      <c r="L421">
        <v>475</v>
      </c>
      <c r="M421">
        <v>436</v>
      </c>
      <c r="N421">
        <v>552</v>
      </c>
      <c r="O421">
        <v>116</v>
      </c>
      <c r="P421">
        <v>397</v>
      </c>
      <c r="Q421">
        <v>589</v>
      </c>
      <c r="R421">
        <v>192</v>
      </c>
      <c r="S421">
        <v>184.2</v>
      </c>
      <c r="T421">
        <v>438</v>
      </c>
      <c r="U421">
        <v>433</v>
      </c>
      <c r="V421">
        <v>500</v>
      </c>
      <c r="W421">
        <v>2.79</v>
      </c>
    </row>
    <row r="422" spans="1:23" x14ac:dyDescent="0.25">
      <c r="A422" t="s">
        <v>36</v>
      </c>
      <c r="B422">
        <v>1</v>
      </c>
      <c r="C422">
        <v>20</v>
      </c>
      <c r="D422">
        <v>2005</v>
      </c>
      <c r="E422">
        <v>188.5</v>
      </c>
      <c r="F422">
        <v>2.4</v>
      </c>
      <c r="G422">
        <v>1.5</v>
      </c>
      <c r="H422">
        <v>0.9</v>
      </c>
      <c r="I422">
        <v>37</v>
      </c>
      <c r="J422">
        <v>28.2</v>
      </c>
      <c r="K422">
        <v>1116.3</v>
      </c>
      <c r="L422">
        <v>474</v>
      </c>
      <c r="M422">
        <v>446</v>
      </c>
      <c r="N422">
        <v>521</v>
      </c>
      <c r="O422">
        <v>75</v>
      </c>
      <c r="P422">
        <v>407</v>
      </c>
      <c r="Q422">
        <v>553</v>
      </c>
      <c r="R422">
        <v>146</v>
      </c>
      <c r="S422">
        <v>184.2</v>
      </c>
      <c r="T422">
        <v>438</v>
      </c>
      <c r="U422">
        <v>433</v>
      </c>
      <c r="V422">
        <v>500</v>
      </c>
      <c r="W422">
        <v>2.79</v>
      </c>
    </row>
    <row r="423" spans="1:23" x14ac:dyDescent="0.25">
      <c r="A423" t="s">
        <v>36</v>
      </c>
      <c r="B423">
        <v>1</v>
      </c>
      <c r="C423">
        <v>21</v>
      </c>
      <c r="D423">
        <v>2006</v>
      </c>
      <c r="E423">
        <v>190.6</v>
      </c>
      <c r="F423">
        <v>2.1</v>
      </c>
      <c r="G423">
        <v>1.5</v>
      </c>
      <c r="H423">
        <v>0.6</v>
      </c>
      <c r="I423">
        <v>28</v>
      </c>
      <c r="J423">
        <v>25</v>
      </c>
      <c r="K423">
        <v>1141.3</v>
      </c>
      <c r="L423">
        <v>478</v>
      </c>
      <c r="M423">
        <v>457</v>
      </c>
      <c r="N423">
        <v>528</v>
      </c>
      <c r="O423">
        <v>71</v>
      </c>
      <c r="P423">
        <v>391</v>
      </c>
      <c r="Q423">
        <v>541</v>
      </c>
      <c r="R423">
        <v>150</v>
      </c>
      <c r="S423">
        <v>184.2</v>
      </c>
      <c r="T423">
        <v>438</v>
      </c>
      <c r="U423">
        <v>433</v>
      </c>
      <c r="V423">
        <v>500</v>
      </c>
      <c r="W423">
        <v>2.79</v>
      </c>
    </row>
    <row r="424" spans="1:23" x14ac:dyDescent="0.25">
      <c r="A424" t="s">
        <v>36</v>
      </c>
      <c r="B424">
        <v>1</v>
      </c>
      <c r="C424">
        <v>22</v>
      </c>
      <c r="D424">
        <v>2007</v>
      </c>
      <c r="E424">
        <v>192.7</v>
      </c>
      <c r="F424">
        <v>2.1</v>
      </c>
      <c r="G424">
        <v>1.2</v>
      </c>
      <c r="H424">
        <v>0.9</v>
      </c>
      <c r="I424">
        <v>42</v>
      </c>
      <c r="J424">
        <v>25.3</v>
      </c>
      <c r="K424">
        <v>1166.5999999999999</v>
      </c>
      <c r="L424">
        <v>490</v>
      </c>
      <c r="M424">
        <v>440</v>
      </c>
      <c r="N424">
        <v>557</v>
      </c>
      <c r="O424">
        <v>117</v>
      </c>
      <c r="P424">
        <v>408</v>
      </c>
      <c r="Q424">
        <v>616</v>
      </c>
      <c r="R424">
        <v>208</v>
      </c>
      <c r="S424">
        <v>184.2</v>
      </c>
      <c r="T424">
        <v>438</v>
      </c>
      <c r="U424">
        <v>433</v>
      </c>
      <c r="V424">
        <v>500</v>
      </c>
      <c r="W424">
        <v>2.79</v>
      </c>
    </row>
    <row r="425" spans="1:23" x14ac:dyDescent="0.25">
      <c r="A425" t="s">
        <v>36</v>
      </c>
      <c r="B425">
        <v>1</v>
      </c>
      <c r="C425">
        <v>23</v>
      </c>
      <c r="D425">
        <v>2008</v>
      </c>
      <c r="E425">
        <v>197.8</v>
      </c>
      <c r="F425">
        <v>5.0999999999999996</v>
      </c>
      <c r="G425">
        <v>3.3</v>
      </c>
      <c r="H425">
        <v>1.8</v>
      </c>
      <c r="I425">
        <v>35</v>
      </c>
      <c r="J425">
        <v>62.6</v>
      </c>
      <c r="K425">
        <v>1229.0999999999999</v>
      </c>
      <c r="L425">
        <v>484</v>
      </c>
      <c r="M425">
        <v>445</v>
      </c>
      <c r="N425">
        <v>556</v>
      </c>
      <c r="O425">
        <v>111</v>
      </c>
      <c r="P425">
        <v>377</v>
      </c>
      <c r="Q425">
        <v>584</v>
      </c>
      <c r="R425">
        <v>207</v>
      </c>
      <c r="S425">
        <v>184.2</v>
      </c>
      <c r="T425">
        <v>438</v>
      </c>
      <c r="U425">
        <v>433</v>
      </c>
      <c r="V425">
        <v>500</v>
      </c>
      <c r="W425">
        <v>2.79</v>
      </c>
    </row>
    <row r="426" spans="1:23" x14ac:dyDescent="0.25">
      <c r="A426" t="s">
        <v>36</v>
      </c>
      <c r="B426">
        <v>1</v>
      </c>
      <c r="C426">
        <v>24</v>
      </c>
      <c r="D426">
        <v>2009</v>
      </c>
      <c r="E426">
        <v>203.2</v>
      </c>
      <c r="F426">
        <v>5.4</v>
      </c>
      <c r="G426">
        <v>3.3</v>
      </c>
      <c r="H426">
        <v>2.1</v>
      </c>
      <c r="I426">
        <v>38</v>
      </c>
      <c r="J426">
        <v>68</v>
      </c>
      <c r="K426">
        <v>1297.2</v>
      </c>
      <c r="L426">
        <v>501</v>
      </c>
      <c r="M426">
        <v>468</v>
      </c>
      <c r="N426">
        <v>554</v>
      </c>
      <c r="O426">
        <v>86</v>
      </c>
      <c r="P426">
        <v>414</v>
      </c>
      <c r="Q426">
        <v>601</v>
      </c>
      <c r="R426">
        <v>187</v>
      </c>
      <c r="S426">
        <v>184.2</v>
      </c>
      <c r="T426">
        <v>438</v>
      </c>
      <c r="U426">
        <v>433</v>
      </c>
      <c r="V426">
        <v>500</v>
      </c>
      <c r="W426">
        <v>2.79</v>
      </c>
    </row>
    <row r="427" spans="1:23" x14ac:dyDescent="0.25">
      <c r="A427" t="s">
        <v>36</v>
      </c>
      <c r="B427">
        <v>1</v>
      </c>
      <c r="C427">
        <v>25</v>
      </c>
      <c r="D427">
        <v>2010</v>
      </c>
      <c r="E427">
        <v>205.9</v>
      </c>
      <c r="F427">
        <v>2.7</v>
      </c>
      <c r="G427">
        <v>1.8</v>
      </c>
      <c r="H427">
        <v>0.9</v>
      </c>
      <c r="I427">
        <v>33</v>
      </c>
      <c r="J427">
        <v>34.700000000000003</v>
      </c>
      <c r="K427">
        <v>1331.9</v>
      </c>
      <c r="L427">
        <v>495</v>
      </c>
      <c r="M427">
        <v>459</v>
      </c>
      <c r="N427">
        <v>568</v>
      </c>
      <c r="O427">
        <v>109</v>
      </c>
      <c r="P427">
        <v>424</v>
      </c>
      <c r="Q427">
        <v>587</v>
      </c>
      <c r="R427">
        <v>163</v>
      </c>
      <c r="S427">
        <v>184.2</v>
      </c>
      <c r="T427">
        <v>438</v>
      </c>
      <c r="U427">
        <v>433</v>
      </c>
      <c r="V427">
        <v>500</v>
      </c>
      <c r="W427">
        <v>2.79</v>
      </c>
    </row>
    <row r="428" spans="1:23" x14ac:dyDescent="0.25">
      <c r="A428" t="s">
        <v>36</v>
      </c>
      <c r="B428">
        <v>1</v>
      </c>
      <c r="C428">
        <v>26</v>
      </c>
      <c r="D428">
        <v>2011</v>
      </c>
      <c r="E428">
        <v>208</v>
      </c>
      <c r="F428">
        <v>2.1</v>
      </c>
      <c r="G428">
        <v>1.5</v>
      </c>
      <c r="H428">
        <v>0.6</v>
      </c>
      <c r="I428">
        <v>28</v>
      </c>
      <c r="J428">
        <v>27.3</v>
      </c>
      <c r="K428">
        <v>1359.2</v>
      </c>
      <c r="L428">
        <v>466</v>
      </c>
      <c r="M428">
        <v>419</v>
      </c>
      <c r="N428">
        <v>585</v>
      </c>
      <c r="O428">
        <v>166</v>
      </c>
      <c r="P428">
        <v>389</v>
      </c>
      <c r="Q428">
        <v>618</v>
      </c>
      <c r="R428">
        <v>229</v>
      </c>
      <c r="S428">
        <v>184.2</v>
      </c>
      <c r="T428">
        <v>438</v>
      </c>
      <c r="U428">
        <v>433</v>
      </c>
      <c r="V428">
        <v>500</v>
      </c>
      <c r="W428">
        <v>2.79</v>
      </c>
    </row>
    <row r="429" spans="1:23" x14ac:dyDescent="0.25">
      <c r="A429" t="s">
        <v>36</v>
      </c>
      <c r="B429">
        <v>1</v>
      </c>
      <c r="C429">
        <v>27</v>
      </c>
      <c r="D429">
        <v>2012</v>
      </c>
      <c r="E429">
        <v>209.2</v>
      </c>
      <c r="F429">
        <v>1.2</v>
      </c>
      <c r="G429">
        <v>0.9</v>
      </c>
      <c r="H429">
        <v>0.3</v>
      </c>
      <c r="I429">
        <v>24</v>
      </c>
      <c r="J429">
        <v>15.7</v>
      </c>
      <c r="K429">
        <v>1374.9</v>
      </c>
      <c r="L429">
        <v>438</v>
      </c>
      <c r="M429">
        <v>411</v>
      </c>
      <c r="N429">
        <v>520</v>
      </c>
      <c r="O429">
        <v>109</v>
      </c>
      <c r="P429">
        <v>368</v>
      </c>
      <c r="Q429">
        <v>520</v>
      </c>
      <c r="R429">
        <v>152</v>
      </c>
      <c r="S429">
        <v>184.2</v>
      </c>
      <c r="T429">
        <v>438</v>
      </c>
      <c r="U429">
        <v>433</v>
      </c>
      <c r="V429">
        <v>500</v>
      </c>
      <c r="W429">
        <v>2.79</v>
      </c>
    </row>
    <row r="430" spans="1:23" x14ac:dyDescent="0.25">
      <c r="A430" t="s">
        <v>36</v>
      </c>
      <c r="B430">
        <v>2</v>
      </c>
      <c r="C430">
        <v>4</v>
      </c>
      <c r="D430">
        <v>1989</v>
      </c>
      <c r="E430">
        <v>22.6</v>
      </c>
      <c r="F430">
        <v>22.6</v>
      </c>
      <c r="G430">
        <v>12.6</v>
      </c>
      <c r="H430">
        <v>0</v>
      </c>
      <c r="I430">
        <v>0</v>
      </c>
      <c r="J430">
        <v>16</v>
      </c>
      <c r="K430">
        <v>16</v>
      </c>
      <c r="L430">
        <v>339</v>
      </c>
      <c r="M430">
        <v>339</v>
      </c>
      <c r="P430">
        <v>262</v>
      </c>
      <c r="Q430">
        <v>499</v>
      </c>
      <c r="R430">
        <v>237</v>
      </c>
      <c r="S430">
        <v>195.9</v>
      </c>
      <c r="T430">
        <v>414</v>
      </c>
      <c r="U430">
        <v>411</v>
      </c>
      <c r="V430">
        <v>500</v>
      </c>
      <c r="W430">
        <v>2.79</v>
      </c>
    </row>
    <row r="431" spans="1:23" x14ac:dyDescent="0.25">
      <c r="A431" t="s">
        <v>36</v>
      </c>
      <c r="B431">
        <v>2</v>
      </c>
      <c r="C431">
        <v>5</v>
      </c>
      <c r="D431">
        <v>1990</v>
      </c>
      <c r="E431">
        <v>33.1</v>
      </c>
      <c r="F431">
        <v>10.5</v>
      </c>
      <c r="G431">
        <v>9.3000000000000007</v>
      </c>
      <c r="H431">
        <v>1.2</v>
      </c>
      <c r="I431">
        <v>11</v>
      </c>
      <c r="J431">
        <v>18.399999999999999</v>
      </c>
      <c r="K431">
        <v>34.4</v>
      </c>
      <c r="L431">
        <v>394</v>
      </c>
      <c r="M431">
        <v>377</v>
      </c>
      <c r="N431">
        <v>526</v>
      </c>
      <c r="O431">
        <v>149</v>
      </c>
      <c r="P431">
        <v>316</v>
      </c>
      <c r="Q431">
        <v>540</v>
      </c>
      <c r="R431">
        <v>224</v>
      </c>
      <c r="S431">
        <v>195.9</v>
      </c>
      <c r="T431">
        <v>414</v>
      </c>
      <c r="U431">
        <v>411</v>
      </c>
      <c r="V431">
        <v>500</v>
      </c>
      <c r="W431">
        <v>2.79</v>
      </c>
    </row>
    <row r="432" spans="1:23" x14ac:dyDescent="0.25">
      <c r="A432" t="s">
        <v>36</v>
      </c>
      <c r="B432">
        <v>2</v>
      </c>
      <c r="C432">
        <v>6</v>
      </c>
      <c r="D432">
        <v>1991</v>
      </c>
      <c r="E432">
        <v>49.3</v>
      </c>
      <c r="F432">
        <v>16.2</v>
      </c>
      <c r="G432">
        <v>16.2</v>
      </c>
      <c r="H432">
        <v>0</v>
      </c>
      <c r="I432">
        <v>0</v>
      </c>
      <c r="J432">
        <v>41.9</v>
      </c>
      <c r="K432">
        <v>76.400000000000006</v>
      </c>
      <c r="L432">
        <v>362</v>
      </c>
      <c r="M432">
        <v>362</v>
      </c>
      <c r="P432">
        <v>303</v>
      </c>
      <c r="Q432">
        <v>467</v>
      </c>
      <c r="R432">
        <v>164</v>
      </c>
      <c r="S432">
        <v>195.9</v>
      </c>
      <c r="T432">
        <v>414</v>
      </c>
      <c r="U432">
        <v>411</v>
      </c>
      <c r="V432">
        <v>500</v>
      </c>
      <c r="W432">
        <v>2.79</v>
      </c>
    </row>
    <row r="433" spans="1:23" x14ac:dyDescent="0.25">
      <c r="A433" t="s">
        <v>36</v>
      </c>
      <c r="B433">
        <v>2</v>
      </c>
      <c r="C433">
        <v>7</v>
      </c>
      <c r="D433">
        <v>1992</v>
      </c>
      <c r="E433">
        <v>70.3</v>
      </c>
      <c r="F433">
        <v>21</v>
      </c>
      <c r="G433">
        <v>20.7</v>
      </c>
      <c r="H433">
        <v>0.3</v>
      </c>
      <c r="I433">
        <v>1</v>
      </c>
      <c r="J433">
        <v>78.900000000000006</v>
      </c>
      <c r="K433">
        <v>155.30000000000001</v>
      </c>
      <c r="L433">
        <v>365</v>
      </c>
      <c r="M433">
        <v>363</v>
      </c>
      <c r="N433">
        <v>517</v>
      </c>
      <c r="O433">
        <v>154</v>
      </c>
      <c r="P433">
        <v>311</v>
      </c>
      <c r="Q433">
        <v>517</v>
      </c>
      <c r="R433">
        <v>206</v>
      </c>
      <c r="S433">
        <v>195.9</v>
      </c>
      <c r="T433">
        <v>414</v>
      </c>
      <c r="U433">
        <v>411</v>
      </c>
      <c r="V433">
        <v>500</v>
      </c>
      <c r="W433">
        <v>2.79</v>
      </c>
    </row>
    <row r="434" spans="1:23" x14ac:dyDescent="0.25">
      <c r="A434" t="s">
        <v>36</v>
      </c>
      <c r="B434">
        <v>2</v>
      </c>
      <c r="C434">
        <v>8</v>
      </c>
      <c r="D434">
        <v>1993</v>
      </c>
      <c r="E434">
        <v>83.8</v>
      </c>
      <c r="F434">
        <v>13.5</v>
      </c>
      <c r="G434">
        <v>12.6</v>
      </c>
      <c r="H434">
        <v>0.9</v>
      </c>
      <c r="I434">
        <v>6</v>
      </c>
      <c r="J434">
        <v>65.400000000000006</v>
      </c>
      <c r="K434">
        <v>220.6</v>
      </c>
      <c r="L434">
        <v>387</v>
      </c>
      <c r="M434">
        <v>376</v>
      </c>
      <c r="N434">
        <v>542</v>
      </c>
      <c r="O434">
        <v>166</v>
      </c>
      <c r="P434">
        <v>317</v>
      </c>
      <c r="Q434">
        <v>552</v>
      </c>
      <c r="R434">
        <v>235</v>
      </c>
      <c r="S434">
        <v>195.9</v>
      </c>
      <c r="T434">
        <v>414</v>
      </c>
      <c r="U434">
        <v>411</v>
      </c>
      <c r="V434">
        <v>500</v>
      </c>
      <c r="W434">
        <v>2.79</v>
      </c>
    </row>
    <row r="435" spans="1:23" x14ac:dyDescent="0.25">
      <c r="A435" t="s">
        <v>36</v>
      </c>
      <c r="B435">
        <v>2</v>
      </c>
      <c r="C435">
        <v>9</v>
      </c>
      <c r="D435">
        <v>1994</v>
      </c>
      <c r="E435">
        <v>92.8</v>
      </c>
      <c r="F435">
        <v>9</v>
      </c>
      <c r="G435">
        <v>8.4</v>
      </c>
      <c r="H435">
        <v>0.6</v>
      </c>
      <c r="I435">
        <v>6</v>
      </c>
      <c r="J435">
        <v>49.9</v>
      </c>
      <c r="K435">
        <v>270.5</v>
      </c>
      <c r="L435">
        <v>404</v>
      </c>
      <c r="M435">
        <v>396</v>
      </c>
      <c r="N435">
        <v>520</v>
      </c>
      <c r="O435">
        <v>124</v>
      </c>
      <c r="P435">
        <v>302</v>
      </c>
      <c r="Q435">
        <v>532</v>
      </c>
      <c r="R435">
        <v>230</v>
      </c>
      <c r="S435">
        <v>195.9</v>
      </c>
      <c r="T435">
        <v>414</v>
      </c>
      <c r="U435">
        <v>411</v>
      </c>
      <c r="V435">
        <v>500</v>
      </c>
      <c r="W435">
        <v>2.79</v>
      </c>
    </row>
    <row r="436" spans="1:23" x14ac:dyDescent="0.25">
      <c r="A436" t="s">
        <v>36</v>
      </c>
      <c r="B436">
        <v>2</v>
      </c>
      <c r="C436">
        <v>10</v>
      </c>
      <c r="D436">
        <v>1995</v>
      </c>
      <c r="E436">
        <v>101.2</v>
      </c>
      <c r="F436">
        <v>8.4</v>
      </c>
      <c r="G436">
        <v>7.2</v>
      </c>
      <c r="H436">
        <v>1.2</v>
      </c>
      <c r="I436">
        <v>14</v>
      </c>
      <c r="J436">
        <v>51.2</v>
      </c>
      <c r="K436">
        <v>321.7</v>
      </c>
      <c r="L436">
        <v>396</v>
      </c>
      <c r="M436">
        <v>375</v>
      </c>
      <c r="N436">
        <v>525</v>
      </c>
      <c r="O436">
        <v>150</v>
      </c>
      <c r="P436">
        <v>328</v>
      </c>
      <c r="Q436">
        <v>547</v>
      </c>
      <c r="R436">
        <v>219</v>
      </c>
      <c r="S436">
        <v>195.9</v>
      </c>
      <c r="T436">
        <v>414</v>
      </c>
      <c r="U436">
        <v>411</v>
      </c>
      <c r="V436">
        <v>500</v>
      </c>
      <c r="W436">
        <v>2.79</v>
      </c>
    </row>
    <row r="437" spans="1:23" x14ac:dyDescent="0.25">
      <c r="A437" t="s">
        <v>36</v>
      </c>
      <c r="B437">
        <v>2</v>
      </c>
      <c r="C437">
        <v>11</v>
      </c>
      <c r="D437">
        <v>1996</v>
      </c>
      <c r="E437">
        <v>110.8</v>
      </c>
      <c r="F437">
        <v>9.6</v>
      </c>
      <c r="G437">
        <v>7.5</v>
      </c>
      <c r="H437">
        <v>2.1</v>
      </c>
      <c r="I437">
        <v>21</v>
      </c>
      <c r="J437">
        <v>63.9</v>
      </c>
      <c r="K437">
        <v>385.7</v>
      </c>
      <c r="L437">
        <v>404</v>
      </c>
      <c r="M437">
        <v>369</v>
      </c>
      <c r="N437">
        <v>528</v>
      </c>
      <c r="O437">
        <v>159</v>
      </c>
      <c r="P437">
        <v>330</v>
      </c>
      <c r="Q437">
        <v>580</v>
      </c>
      <c r="R437">
        <v>250</v>
      </c>
      <c r="S437">
        <v>195.9</v>
      </c>
      <c r="T437">
        <v>414</v>
      </c>
      <c r="U437">
        <v>411</v>
      </c>
      <c r="V437">
        <v>500</v>
      </c>
      <c r="W437">
        <v>2.79</v>
      </c>
    </row>
    <row r="438" spans="1:23" x14ac:dyDescent="0.25">
      <c r="A438" t="s">
        <v>36</v>
      </c>
      <c r="B438">
        <v>2</v>
      </c>
      <c r="C438">
        <v>12</v>
      </c>
      <c r="D438">
        <v>1997</v>
      </c>
      <c r="E438">
        <v>121.3</v>
      </c>
      <c r="F438">
        <v>10.5</v>
      </c>
      <c r="G438">
        <v>9.9</v>
      </c>
      <c r="H438">
        <v>0.6</v>
      </c>
      <c r="I438">
        <v>5</v>
      </c>
      <c r="J438">
        <v>76.599999999999994</v>
      </c>
      <c r="K438">
        <v>462.2</v>
      </c>
      <c r="L438">
        <v>410</v>
      </c>
      <c r="M438">
        <v>403</v>
      </c>
      <c r="N438">
        <v>532</v>
      </c>
      <c r="O438">
        <v>129</v>
      </c>
      <c r="P438">
        <v>336</v>
      </c>
      <c r="Q438">
        <v>554</v>
      </c>
      <c r="R438">
        <v>218</v>
      </c>
      <c r="S438">
        <v>195.9</v>
      </c>
      <c r="T438">
        <v>414</v>
      </c>
      <c r="U438">
        <v>411</v>
      </c>
      <c r="V438">
        <v>500</v>
      </c>
      <c r="W438">
        <v>2.79</v>
      </c>
    </row>
    <row r="439" spans="1:23" x14ac:dyDescent="0.25">
      <c r="A439" t="s">
        <v>36</v>
      </c>
      <c r="B439">
        <v>2</v>
      </c>
      <c r="C439">
        <v>13</v>
      </c>
      <c r="D439">
        <v>1998</v>
      </c>
      <c r="E439">
        <v>130</v>
      </c>
      <c r="F439">
        <v>8.6999999999999993</v>
      </c>
      <c r="G439">
        <v>6.9</v>
      </c>
      <c r="H439">
        <v>1.8</v>
      </c>
      <c r="I439">
        <v>20</v>
      </c>
      <c r="J439">
        <v>68.7</v>
      </c>
      <c r="K439">
        <v>530.9</v>
      </c>
      <c r="L439">
        <v>443</v>
      </c>
      <c r="M439">
        <v>423</v>
      </c>
      <c r="N439">
        <v>522</v>
      </c>
      <c r="O439">
        <v>99</v>
      </c>
      <c r="P439">
        <v>370</v>
      </c>
      <c r="Q439">
        <v>537</v>
      </c>
      <c r="R439">
        <v>167</v>
      </c>
      <c r="S439">
        <v>195.9</v>
      </c>
      <c r="T439">
        <v>414</v>
      </c>
      <c r="U439">
        <v>411</v>
      </c>
      <c r="V439">
        <v>500</v>
      </c>
      <c r="W439">
        <v>2.79</v>
      </c>
    </row>
    <row r="440" spans="1:23" x14ac:dyDescent="0.25">
      <c r="A440" t="s">
        <v>36</v>
      </c>
      <c r="B440">
        <v>2</v>
      </c>
      <c r="C440">
        <v>14</v>
      </c>
      <c r="D440">
        <v>1999</v>
      </c>
      <c r="E440">
        <v>140.5</v>
      </c>
      <c r="F440">
        <v>10.5</v>
      </c>
      <c r="G440">
        <v>9.6</v>
      </c>
      <c r="H440">
        <v>0.9</v>
      </c>
      <c r="I440">
        <v>8</v>
      </c>
      <c r="J440">
        <v>89.2</v>
      </c>
      <c r="K440">
        <v>620.20000000000005</v>
      </c>
      <c r="L440">
        <v>408</v>
      </c>
      <c r="M440">
        <v>396</v>
      </c>
      <c r="N440">
        <v>527</v>
      </c>
      <c r="O440">
        <v>131</v>
      </c>
      <c r="P440">
        <v>348</v>
      </c>
      <c r="Q440">
        <v>549</v>
      </c>
      <c r="R440">
        <v>201</v>
      </c>
      <c r="S440">
        <v>195.9</v>
      </c>
      <c r="T440">
        <v>414</v>
      </c>
      <c r="U440">
        <v>411</v>
      </c>
      <c r="V440">
        <v>500</v>
      </c>
      <c r="W440">
        <v>2.79</v>
      </c>
    </row>
    <row r="441" spans="1:23" x14ac:dyDescent="0.25">
      <c r="A441" t="s">
        <v>36</v>
      </c>
      <c r="B441">
        <v>2</v>
      </c>
      <c r="C441">
        <v>15</v>
      </c>
      <c r="D441">
        <v>2000</v>
      </c>
      <c r="E441">
        <v>151.6</v>
      </c>
      <c r="F441">
        <v>11.1</v>
      </c>
      <c r="G441">
        <v>9.6</v>
      </c>
      <c r="H441">
        <v>1.5</v>
      </c>
      <c r="I441">
        <v>13</v>
      </c>
      <c r="J441">
        <v>101.9</v>
      </c>
      <c r="K441">
        <v>722</v>
      </c>
      <c r="L441">
        <v>393</v>
      </c>
      <c r="M441">
        <v>373</v>
      </c>
      <c r="N441">
        <v>519</v>
      </c>
      <c r="O441">
        <v>146</v>
      </c>
      <c r="P441">
        <v>325</v>
      </c>
      <c r="Q441">
        <v>550</v>
      </c>
      <c r="R441">
        <v>225</v>
      </c>
      <c r="S441">
        <v>195.9</v>
      </c>
      <c r="T441">
        <v>414</v>
      </c>
      <c r="U441">
        <v>411</v>
      </c>
      <c r="V441">
        <v>500</v>
      </c>
      <c r="W441">
        <v>2.79</v>
      </c>
    </row>
    <row r="442" spans="1:23" x14ac:dyDescent="0.25">
      <c r="A442" t="s">
        <v>36</v>
      </c>
      <c r="B442">
        <v>2</v>
      </c>
      <c r="C442">
        <v>16</v>
      </c>
      <c r="D442">
        <v>2001</v>
      </c>
      <c r="E442">
        <v>159.4</v>
      </c>
      <c r="F442">
        <v>7.8</v>
      </c>
      <c r="G442">
        <v>6.6</v>
      </c>
      <c r="H442">
        <v>1.2</v>
      </c>
      <c r="I442">
        <v>15</v>
      </c>
      <c r="J442">
        <v>76.2</v>
      </c>
      <c r="K442">
        <v>798.2</v>
      </c>
      <c r="L442">
        <v>412</v>
      </c>
      <c r="M442">
        <v>387</v>
      </c>
      <c r="N442">
        <v>545</v>
      </c>
      <c r="O442">
        <v>158</v>
      </c>
      <c r="P442">
        <v>352</v>
      </c>
      <c r="Q442">
        <v>573</v>
      </c>
      <c r="R442">
        <v>221</v>
      </c>
      <c r="S442">
        <v>195.9</v>
      </c>
      <c r="T442">
        <v>414</v>
      </c>
      <c r="U442">
        <v>411</v>
      </c>
      <c r="V442">
        <v>500</v>
      </c>
      <c r="W442">
        <v>2.79</v>
      </c>
    </row>
    <row r="443" spans="1:23" x14ac:dyDescent="0.25">
      <c r="A443" t="s">
        <v>36</v>
      </c>
      <c r="B443">
        <v>2</v>
      </c>
      <c r="C443">
        <v>17</v>
      </c>
      <c r="D443">
        <v>2002</v>
      </c>
      <c r="E443">
        <v>167.8</v>
      </c>
      <c r="F443">
        <v>8.4</v>
      </c>
      <c r="G443">
        <v>7.2</v>
      </c>
      <c r="H443">
        <v>1.2</v>
      </c>
      <c r="I443">
        <v>14</v>
      </c>
      <c r="J443">
        <v>86.3</v>
      </c>
      <c r="K443">
        <v>884.6</v>
      </c>
      <c r="L443">
        <v>409</v>
      </c>
      <c r="M443">
        <v>389</v>
      </c>
      <c r="N443">
        <v>533</v>
      </c>
      <c r="O443">
        <v>144</v>
      </c>
      <c r="P443">
        <v>336</v>
      </c>
      <c r="Q443">
        <v>543</v>
      </c>
      <c r="R443">
        <v>207</v>
      </c>
      <c r="S443">
        <v>195.9</v>
      </c>
      <c r="T443">
        <v>414</v>
      </c>
      <c r="U443">
        <v>411</v>
      </c>
      <c r="V443">
        <v>500</v>
      </c>
      <c r="W443">
        <v>2.79</v>
      </c>
    </row>
    <row r="444" spans="1:23" x14ac:dyDescent="0.25">
      <c r="A444" t="s">
        <v>36</v>
      </c>
      <c r="B444">
        <v>2</v>
      </c>
      <c r="C444">
        <v>18</v>
      </c>
      <c r="D444">
        <v>2003</v>
      </c>
      <c r="E444">
        <v>175.3</v>
      </c>
      <c r="F444">
        <v>7.5</v>
      </c>
      <c r="G444">
        <v>6.6</v>
      </c>
      <c r="H444">
        <v>0.9</v>
      </c>
      <c r="I444">
        <v>12</v>
      </c>
      <c r="J444">
        <v>80.8</v>
      </c>
      <c r="K444">
        <v>965.4</v>
      </c>
      <c r="L444">
        <v>405</v>
      </c>
      <c r="M444">
        <v>391</v>
      </c>
      <c r="N444">
        <v>510</v>
      </c>
      <c r="O444">
        <v>119</v>
      </c>
      <c r="P444">
        <v>348</v>
      </c>
      <c r="Q444">
        <v>520</v>
      </c>
      <c r="R444">
        <v>172</v>
      </c>
      <c r="S444">
        <v>195.9</v>
      </c>
      <c r="T444">
        <v>414</v>
      </c>
      <c r="U444">
        <v>411</v>
      </c>
      <c r="V444">
        <v>500</v>
      </c>
      <c r="W444">
        <v>2.79</v>
      </c>
    </row>
    <row r="445" spans="1:23" x14ac:dyDescent="0.25">
      <c r="A445" t="s">
        <v>36</v>
      </c>
      <c r="B445">
        <v>2</v>
      </c>
      <c r="C445">
        <v>19</v>
      </c>
      <c r="D445">
        <v>2004</v>
      </c>
      <c r="E445">
        <v>182.8</v>
      </c>
      <c r="F445">
        <v>7.5</v>
      </c>
      <c r="G445">
        <v>5.7</v>
      </c>
      <c r="H445">
        <v>1.8</v>
      </c>
      <c r="I445">
        <v>24</v>
      </c>
      <c r="J445">
        <v>84.4</v>
      </c>
      <c r="K445">
        <v>1049.8</v>
      </c>
      <c r="L445">
        <v>422</v>
      </c>
      <c r="M445">
        <v>390</v>
      </c>
      <c r="N445">
        <v>523</v>
      </c>
      <c r="O445">
        <v>133</v>
      </c>
      <c r="P445">
        <v>345</v>
      </c>
      <c r="Q445">
        <v>549</v>
      </c>
      <c r="R445">
        <v>204</v>
      </c>
      <c r="S445">
        <v>195.9</v>
      </c>
      <c r="T445">
        <v>414</v>
      </c>
      <c r="U445">
        <v>411</v>
      </c>
      <c r="V445">
        <v>500</v>
      </c>
      <c r="W445">
        <v>2.79</v>
      </c>
    </row>
    <row r="446" spans="1:23" x14ac:dyDescent="0.25">
      <c r="A446" t="s">
        <v>36</v>
      </c>
      <c r="B446">
        <v>2</v>
      </c>
      <c r="C446">
        <v>20</v>
      </c>
      <c r="D446">
        <v>2005</v>
      </c>
      <c r="E446">
        <v>187.3</v>
      </c>
      <c r="F446">
        <v>4.5</v>
      </c>
      <c r="G446">
        <v>3.9</v>
      </c>
      <c r="H446">
        <v>0.6</v>
      </c>
      <c r="I446">
        <v>13</v>
      </c>
      <c r="J446">
        <v>52.3</v>
      </c>
      <c r="K446">
        <v>1102.0999999999999</v>
      </c>
      <c r="L446">
        <v>431</v>
      </c>
      <c r="M446">
        <v>419</v>
      </c>
      <c r="N446">
        <v>508</v>
      </c>
      <c r="O446">
        <v>89</v>
      </c>
      <c r="P446">
        <v>379</v>
      </c>
      <c r="Q446">
        <v>515</v>
      </c>
      <c r="R446">
        <v>136</v>
      </c>
      <c r="S446">
        <v>195.9</v>
      </c>
      <c r="T446">
        <v>414</v>
      </c>
      <c r="U446">
        <v>411</v>
      </c>
      <c r="V446">
        <v>500</v>
      </c>
      <c r="W446">
        <v>2.79</v>
      </c>
    </row>
    <row r="447" spans="1:23" x14ac:dyDescent="0.25">
      <c r="A447" t="s">
        <v>36</v>
      </c>
      <c r="B447">
        <v>2</v>
      </c>
      <c r="C447">
        <v>21</v>
      </c>
      <c r="D447">
        <v>2006</v>
      </c>
      <c r="E447">
        <v>190</v>
      </c>
      <c r="F447">
        <v>2.7</v>
      </c>
      <c r="G447">
        <v>2.1</v>
      </c>
      <c r="H447">
        <v>0.6</v>
      </c>
      <c r="I447">
        <v>22</v>
      </c>
      <c r="J447">
        <v>32</v>
      </c>
      <c r="K447">
        <v>1134.0999999999999</v>
      </c>
      <c r="L447">
        <v>424</v>
      </c>
      <c r="M447">
        <v>398</v>
      </c>
      <c r="N447">
        <v>515</v>
      </c>
      <c r="O447">
        <v>117</v>
      </c>
      <c r="P447">
        <v>350</v>
      </c>
      <c r="Q447">
        <v>519</v>
      </c>
      <c r="R447">
        <v>169</v>
      </c>
      <c r="S447">
        <v>195.9</v>
      </c>
      <c r="T447">
        <v>414</v>
      </c>
      <c r="U447">
        <v>411</v>
      </c>
      <c r="V447">
        <v>500</v>
      </c>
      <c r="W447">
        <v>2.79</v>
      </c>
    </row>
    <row r="448" spans="1:23" x14ac:dyDescent="0.25">
      <c r="A448" t="s">
        <v>36</v>
      </c>
      <c r="B448">
        <v>2</v>
      </c>
      <c r="C448">
        <v>22</v>
      </c>
      <c r="D448">
        <v>2007</v>
      </c>
      <c r="E448">
        <v>192.1</v>
      </c>
      <c r="F448">
        <v>2.1</v>
      </c>
      <c r="G448">
        <v>1.8</v>
      </c>
      <c r="H448">
        <v>0.3</v>
      </c>
      <c r="I448">
        <v>14</v>
      </c>
      <c r="J448">
        <v>25.2</v>
      </c>
      <c r="K448">
        <v>1159.3</v>
      </c>
      <c r="L448">
        <v>468</v>
      </c>
      <c r="M448">
        <v>453</v>
      </c>
      <c r="N448">
        <v>554</v>
      </c>
      <c r="O448">
        <v>101</v>
      </c>
      <c r="P448">
        <v>397</v>
      </c>
      <c r="Q448">
        <v>554</v>
      </c>
      <c r="R448">
        <v>157</v>
      </c>
      <c r="S448">
        <v>195.9</v>
      </c>
      <c r="T448">
        <v>414</v>
      </c>
      <c r="U448">
        <v>411</v>
      </c>
      <c r="V448">
        <v>500</v>
      </c>
      <c r="W448">
        <v>2.79</v>
      </c>
    </row>
    <row r="449" spans="1:23" x14ac:dyDescent="0.25">
      <c r="A449" t="s">
        <v>36</v>
      </c>
      <c r="B449">
        <v>2</v>
      </c>
      <c r="C449">
        <v>23</v>
      </c>
      <c r="D449">
        <v>2008</v>
      </c>
      <c r="E449">
        <v>195.1</v>
      </c>
      <c r="F449">
        <v>3</v>
      </c>
      <c r="G449">
        <v>2.4</v>
      </c>
      <c r="H449">
        <v>0.6</v>
      </c>
      <c r="I449">
        <v>20</v>
      </c>
      <c r="J449">
        <v>36.5</v>
      </c>
      <c r="K449">
        <v>1195.8</v>
      </c>
      <c r="L449">
        <v>447</v>
      </c>
      <c r="M449">
        <v>426</v>
      </c>
      <c r="N449">
        <v>531</v>
      </c>
      <c r="O449">
        <v>105</v>
      </c>
      <c r="P449">
        <v>366</v>
      </c>
      <c r="Q449">
        <v>546</v>
      </c>
      <c r="R449">
        <v>180</v>
      </c>
      <c r="S449">
        <v>195.9</v>
      </c>
      <c r="T449">
        <v>414</v>
      </c>
      <c r="U449">
        <v>411</v>
      </c>
      <c r="V449">
        <v>500</v>
      </c>
      <c r="W449">
        <v>2.79</v>
      </c>
    </row>
    <row r="450" spans="1:23" x14ac:dyDescent="0.25">
      <c r="A450" t="s">
        <v>36</v>
      </c>
      <c r="B450">
        <v>2</v>
      </c>
      <c r="C450">
        <v>24</v>
      </c>
      <c r="D450">
        <v>2009</v>
      </c>
      <c r="E450">
        <v>197.8</v>
      </c>
      <c r="F450">
        <v>2.7</v>
      </c>
      <c r="G450">
        <v>2.1</v>
      </c>
      <c r="H450">
        <v>0.6</v>
      </c>
      <c r="I450">
        <v>22</v>
      </c>
      <c r="J450">
        <v>33.299999999999997</v>
      </c>
      <c r="K450">
        <v>1229.0999999999999</v>
      </c>
      <c r="L450">
        <v>467</v>
      </c>
      <c r="M450">
        <v>445</v>
      </c>
      <c r="N450">
        <v>543</v>
      </c>
      <c r="O450">
        <v>98</v>
      </c>
      <c r="P450">
        <v>412</v>
      </c>
      <c r="Q450">
        <v>545</v>
      </c>
      <c r="R450">
        <v>133</v>
      </c>
      <c r="S450">
        <v>195.9</v>
      </c>
      <c r="T450">
        <v>414</v>
      </c>
      <c r="U450">
        <v>411</v>
      </c>
      <c r="V450">
        <v>500</v>
      </c>
      <c r="W450">
        <v>2.79</v>
      </c>
    </row>
    <row r="451" spans="1:23" x14ac:dyDescent="0.25">
      <c r="A451" t="s">
        <v>36</v>
      </c>
      <c r="B451">
        <v>2</v>
      </c>
      <c r="C451">
        <v>25</v>
      </c>
      <c r="D451">
        <v>2010</v>
      </c>
      <c r="E451">
        <v>200.8</v>
      </c>
      <c r="F451">
        <v>3</v>
      </c>
      <c r="G451">
        <v>2.4</v>
      </c>
      <c r="H451">
        <v>0.6</v>
      </c>
      <c r="I451">
        <v>20</v>
      </c>
      <c r="J451">
        <v>37.6</v>
      </c>
      <c r="K451">
        <v>1266.7</v>
      </c>
      <c r="L451">
        <v>464</v>
      </c>
      <c r="M451">
        <v>439</v>
      </c>
      <c r="N451">
        <v>561</v>
      </c>
      <c r="O451">
        <v>122</v>
      </c>
      <c r="P451">
        <v>383</v>
      </c>
      <c r="Q451">
        <v>564</v>
      </c>
      <c r="R451">
        <v>181</v>
      </c>
      <c r="S451">
        <v>195.9</v>
      </c>
      <c r="T451">
        <v>414</v>
      </c>
      <c r="U451">
        <v>411</v>
      </c>
      <c r="V451">
        <v>500</v>
      </c>
      <c r="W451">
        <v>2.79</v>
      </c>
    </row>
    <row r="452" spans="1:23" x14ac:dyDescent="0.25">
      <c r="A452" t="s">
        <v>36</v>
      </c>
      <c r="B452">
        <v>2</v>
      </c>
      <c r="C452">
        <v>26</v>
      </c>
      <c r="D452">
        <v>2011</v>
      </c>
      <c r="E452">
        <v>203.5</v>
      </c>
      <c r="F452">
        <v>2.7</v>
      </c>
      <c r="G452">
        <v>1.8</v>
      </c>
      <c r="H452">
        <v>0.9</v>
      </c>
      <c r="I452">
        <v>33</v>
      </c>
      <c r="J452">
        <v>34.299999999999997</v>
      </c>
      <c r="K452">
        <v>1301</v>
      </c>
      <c r="L452">
        <v>471</v>
      </c>
      <c r="M452">
        <v>441</v>
      </c>
      <c r="N452">
        <v>531</v>
      </c>
      <c r="O452">
        <v>90</v>
      </c>
      <c r="P452">
        <v>388</v>
      </c>
      <c r="Q452">
        <v>534</v>
      </c>
      <c r="R452">
        <v>146</v>
      </c>
      <c r="S452">
        <v>195.9</v>
      </c>
      <c r="T452">
        <v>414</v>
      </c>
      <c r="U452">
        <v>411</v>
      </c>
      <c r="V452">
        <v>500</v>
      </c>
      <c r="W452">
        <v>2.79</v>
      </c>
    </row>
    <row r="453" spans="1:23" x14ac:dyDescent="0.25">
      <c r="A453" t="s">
        <v>36</v>
      </c>
      <c r="B453">
        <v>2</v>
      </c>
      <c r="C453">
        <v>27</v>
      </c>
      <c r="D453">
        <v>2012</v>
      </c>
      <c r="E453">
        <v>205.9</v>
      </c>
      <c r="F453">
        <v>2.4</v>
      </c>
      <c r="G453">
        <v>2.4</v>
      </c>
      <c r="H453">
        <v>0</v>
      </c>
      <c r="I453">
        <v>0</v>
      </c>
      <c r="J453">
        <v>30.9</v>
      </c>
      <c r="K453">
        <v>1331.9</v>
      </c>
      <c r="L453">
        <v>417</v>
      </c>
      <c r="M453">
        <v>417</v>
      </c>
      <c r="P453">
        <v>226</v>
      </c>
      <c r="Q453">
        <v>493</v>
      </c>
      <c r="R453">
        <v>267</v>
      </c>
      <c r="S453">
        <v>195.9</v>
      </c>
      <c r="T453">
        <v>414</v>
      </c>
      <c r="U453">
        <v>411</v>
      </c>
      <c r="V453">
        <v>500</v>
      </c>
      <c r="W453">
        <v>2.79</v>
      </c>
    </row>
    <row r="454" spans="1:23" x14ac:dyDescent="0.25">
      <c r="A454" t="s">
        <v>36</v>
      </c>
      <c r="B454">
        <v>3</v>
      </c>
      <c r="C454">
        <v>3</v>
      </c>
      <c r="D454">
        <v>1988</v>
      </c>
      <c r="E454">
        <v>43.6</v>
      </c>
      <c r="F454">
        <v>43.6</v>
      </c>
      <c r="G454">
        <v>18.3</v>
      </c>
      <c r="H454">
        <v>0.3</v>
      </c>
      <c r="I454">
        <v>0</v>
      </c>
      <c r="J454">
        <v>59.7</v>
      </c>
      <c r="K454">
        <v>59.7</v>
      </c>
      <c r="L454">
        <v>362</v>
      </c>
      <c r="M454">
        <v>360</v>
      </c>
      <c r="N454">
        <v>500</v>
      </c>
      <c r="O454">
        <v>140</v>
      </c>
      <c r="P454">
        <v>105</v>
      </c>
      <c r="Q454">
        <v>500</v>
      </c>
      <c r="R454">
        <v>395</v>
      </c>
      <c r="S454">
        <v>252.9</v>
      </c>
      <c r="T454">
        <v>370</v>
      </c>
      <c r="U454">
        <v>365</v>
      </c>
      <c r="V454">
        <v>500</v>
      </c>
      <c r="W454">
        <v>2.79</v>
      </c>
    </row>
    <row r="455" spans="1:23" x14ac:dyDescent="0.25">
      <c r="A455" t="s">
        <v>36</v>
      </c>
      <c r="B455">
        <v>3</v>
      </c>
      <c r="C455">
        <v>4</v>
      </c>
      <c r="D455">
        <v>1989</v>
      </c>
      <c r="E455">
        <v>70.599999999999994</v>
      </c>
      <c r="F455">
        <v>27</v>
      </c>
      <c r="G455">
        <v>26.1</v>
      </c>
      <c r="H455">
        <v>0.9</v>
      </c>
      <c r="I455">
        <v>3</v>
      </c>
      <c r="J455">
        <v>96.9</v>
      </c>
      <c r="K455">
        <v>156.6</v>
      </c>
      <c r="L455">
        <v>378</v>
      </c>
      <c r="M455">
        <v>373</v>
      </c>
      <c r="N455">
        <v>520</v>
      </c>
      <c r="O455">
        <v>147</v>
      </c>
      <c r="P455">
        <v>291</v>
      </c>
      <c r="Q455">
        <v>526</v>
      </c>
      <c r="R455">
        <v>235</v>
      </c>
      <c r="S455">
        <v>252.9</v>
      </c>
      <c r="T455">
        <v>370</v>
      </c>
      <c r="U455">
        <v>365</v>
      </c>
      <c r="V455">
        <v>500</v>
      </c>
      <c r="W455">
        <v>2.79</v>
      </c>
    </row>
    <row r="456" spans="1:23" x14ac:dyDescent="0.25">
      <c r="A456" t="s">
        <v>36</v>
      </c>
      <c r="B456">
        <v>3</v>
      </c>
      <c r="C456">
        <v>5</v>
      </c>
      <c r="D456">
        <v>1990</v>
      </c>
      <c r="E456">
        <v>96.7</v>
      </c>
      <c r="F456">
        <v>26.1</v>
      </c>
      <c r="G456">
        <v>25.8</v>
      </c>
      <c r="H456">
        <v>0.3</v>
      </c>
      <c r="I456">
        <v>1</v>
      </c>
      <c r="J456">
        <v>137.19999999999999</v>
      </c>
      <c r="K456">
        <v>293.8</v>
      </c>
      <c r="L456">
        <v>338</v>
      </c>
      <c r="M456">
        <v>336</v>
      </c>
      <c r="N456">
        <v>509</v>
      </c>
      <c r="O456">
        <v>173</v>
      </c>
      <c r="P456">
        <v>261</v>
      </c>
      <c r="Q456">
        <v>509</v>
      </c>
      <c r="R456">
        <v>248</v>
      </c>
      <c r="S456">
        <v>252.9</v>
      </c>
      <c r="T456">
        <v>370</v>
      </c>
      <c r="U456">
        <v>365</v>
      </c>
      <c r="V456">
        <v>500</v>
      </c>
      <c r="W456">
        <v>2.79</v>
      </c>
    </row>
    <row r="457" spans="1:23" x14ac:dyDescent="0.25">
      <c r="A457" t="s">
        <v>36</v>
      </c>
      <c r="B457">
        <v>3</v>
      </c>
      <c r="C457">
        <v>6</v>
      </c>
      <c r="D457">
        <v>1991</v>
      </c>
      <c r="E457">
        <v>113.5</v>
      </c>
      <c r="F457">
        <v>16.8</v>
      </c>
      <c r="G457">
        <v>16.2</v>
      </c>
      <c r="H457">
        <v>0.6</v>
      </c>
      <c r="I457">
        <v>3</v>
      </c>
      <c r="J457">
        <v>110.9</v>
      </c>
      <c r="K457">
        <v>404.7</v>
      </c>
      <c r="L457">
        <v>341</v>
      </c>
      <c r="M457">
        <v>335</v>
      </c>
      <c r="N457">
        <v>513</v>
      </c>
      <c r="O457">
        <v>178</v>
      </c>
      <c r="P457">
        <v>287</v>
      </c>
      <c r="Q457">
        <v>525</v>
      </c>
      <c r="R457">
        <v>238</v>
      </c>
      <c r="S457">
        <v>252.9</v>
      </c>
      <c r="T457">
        <v>370</v>
      </c>
      <c r="U457">
        <v>365</v>
      </c>
      <c r="V457">
        <v>500</v>
      </c>
      <c r="W457">
        <v>2.79</v>
      </c>
    </row>
    <row r="458" spans="1:23" x14ac:dyDescent="0.25">
      <c r="A458" t="s">
        <v>36</v>
      </c>
      <c r="B458">
        <v>3</v>
      </c>
      <c r="C458">
        <v>7</v>
      </c>
      <c r="D458">
        <v>1992</v>
      </c>
      <c r="E458">
        <v>129.69999999999999</v>
      </c>
      <c r="F458">
        <v>16.2</v>
      </c>
      <c r="G458">
        <v>15.9</v>
      </c>
      <c r="H458">
        <v>0.3</v>
      </c>
      <c r="I458">
        <v>1</v>
      </c>
      <c r="J458">
        <v>123.8</v>
      </c>
      <c r="K458">
        <v>528.5</v>
      </c>
      <c r="L458">
        <v>338</v>
      </c>
      <c r="M458">
        <v>334</v>
      </c>
      <c r="N458">
        <v>512</v>
      </c>
      <c r="O458">
        <v>178</v>
      </c>
      <c r="P458">
        <v>269</v>
      </c>
      <c r="Q458">
        <v>512</v>
      </c>
      <c r="R458">
        <v>243</v>
      </c>
      <c r="S458">
        <v>252.9</v>
      </c>
      <c r="T458">
        <v>370</v>
      </c>
      <c r="U458">
        <v>365</v>
      </c>
      <c r="V458">
        <v>500</v>
      </c>
      <c r="W458">
        <v>2.79</v>
      </c>
    </row>
    <row r="459" spans="1:23" x14ac:dyDescent="0.25">
      <c r="A459" t="s">
        <v>36</v>
      </c>
      <c r="B459">
        <v>3</v>
      </c>
      <c r="C459">
        <v>8</v>
      </c>
      <c r="D459">
        <v>1993</v>
      </c>
      <c r="E459">
        <v>142.6</v>
      </c>
      <c r="F459">
        <v>12.9</v>
      </c>
      <c r="G459">
        <v>11.7</v>
      </c>
      <c r="H459">
        <v>1.2</v>
      </c>
      <c r="I459">
        <v>9</v>
      </c>
      <c r="J459">
        <v>110.4</v>
      </c>
      <c r="K459">
        <v>638.79999999999995</v>
      </c>
      <c r="L459">
        <v>353</v>
      </c>
      <c r="M459">
        <v>335</v>
      </c>
      <c r="N459">
        <v>531</v>
      </c>
      <c r="O459">
        <v>196</v>
      </c>
      <c r="P459">
        <v>277</v>
      </c>
      <c r="Q459">
        <v>551</v>
      </c>
      <c r="R459">
        <v>274</v>
      </c>
      <c r="S459">
        <v>252.9</v>
      </c>
      <c r="T459">
        <v>370</v>
      </c>
      <c r="U459">
        <v>365</v>
      </c>
      <c r="V459">
        <v>500</v>
      </c>
      <c r="W459">
        <v>2.79</v>
      </c>
    </row>
    <row r="460" spans="1:23" x14ac:dyDescent="0.25">
      <c r="A460" t="s">
        <v>36</v>
      </c>
      <c r="B460">
        <v>3</v>
      </c>
      <c r="C460">
        <v>9</v>
      </c>
      <c r="D460">
        <v>1994</v>
      </c>
      <c r="E460">
        <v>157</v>
      </c>
      <c r="F460">
        <v>14.4</v>
      </c>
      <c r="G460">
        <v>13.5</v>
      </c>
      <c r="H460">
        <v>0.9</v>
      </c>
      <c r="I460">
        <v>6</v>
      </c>
      <c r="J460">
        <v>135.5</v>
      </c>
      <c r="K460">
        <v>774.4</v>
      </c>
      <c r="L460">
        <v>344</v>
      </c>
      <c r="M460">
        <v>332</v>
      </c>
      <c r="N460">
        <v>521</v>
      </c>
      <c r="O460">
        <v>189</v>
      </c>
      <c r="P460">
        <v>278</v>
      </c>
      <c r="Q460">
        <v>530</v>
      </c>
      <c r="R460">
        <v>252</v>
      </c>
      <c r="S460">
        <v>252.9</v>
      </c>
      <c r="T460">
        <v>370</v>
      </c>
      <c r="U460">
        <v>365</v>
      </c>
      <c r="V460">
        <v>500</v>
      </c>
      <c r="W460">
        <v>2.79</v>
      </c>
    </row>
    <row r="461" spans="1:23" x14ac:dyDescent="0.25">
      <c r="A461" t="s">
        <v>36</v>
      </c>
      <c r="B461">
        <v>3</v>
      </c>
      <c r="C461">
        <v>10</v>
      </c>
      <c r="D461">
        <v>1995</v>
      </c>
      <c r="E461">
        <v>167.2</v>
      </c>
      <c r="F461">
        <v>10.199999999999999</v>
      </c>
      <c r="G461">
        <v>10.199999999999999</v>
      </c>
      <c r="H461">
        <v>0</v>
      </c>
      <c r="I461">
        <v>0</v>
      </c>
      <c r="J461">
        <v>103.9</v>
      </c>
      <c r="K461">
        <v>878.3</v>
      </c>
      <c r="L461">
        <v>345</v>
      </c>
      <c r="M461">
        <v>345</v>
      </c>
      <c r="P461">
        <v>292</v>
      </c>
      <c r="Q461">
        <v>467</v>
      </c>
      <c r="R461">
        <v>175</v>
      </c>
      <c r="S461">
        <v>252.9</v>
      </c>
      <c r="T461">
        <v>370</v>
      </c>
      <c r="U461">
        <v>365</v>
      </c>
      <c r="V461">
        <v>500</v>
      </c>
      <c r="W461">
        <v>2.79</v>
      </c>
    </row>
    <row r="462" spans="1:23" x14ac:dyDescent="0.25">
      <c r="A462" t="s">
        <v>36</v>
      </c>
      <c r="B462">
        <v>3</v>
      </c>
      <c r="C462">
        <v>11</v>
      </c>
      <c r="D462">
        <v>1996</v>
      </c>
      <c r="E462">
        <v>179.2</v>
      </c>
      <c r="F462">
        <v>12</v>
      </c>
      <c r="G462">
        <v>10.8</v>
      </c>
      <c r="H462">
        <v>1.2</v>
      </c>
      <c r="I462">
        <v>10</v>
      </c>
      <c r="J462">
        <v>130.6</v>
      </c>
      <c r="K462">
        <v>1008.8</v>
      </c>
      <c r="L462">
        <v>350</v>
      </c>
      <c r="M462">
        <v>331</v>
      </c>
      <c r="N462">
        <v>522</v>
      </c>
      <c r="O462">
        <v>191</v>
      </c>
      <c r="P462">
        <v>255</v>
      </c>
      <c r="Q462">
        <v>542</v>
      </c>
      <c r="R462">
        <v>287</v>
      </c>
      <c r="S462">
        <v>252.9</v>
      </c>
      <c r="T462">
        <v>370</v>
      </c>
      <c r="U462">
        <v>365</v>
      </c>
      <c r="V462">
        <v>500</v>
      </c>
      <c r="W462">
        <v>2.79</v>
      </c>
    </row>
    <row r="463" spans="1:23" x14ac:dyDescent="0.25">
      <c r="A463" t="s">
        <v>36</v>
      </c>
      <c r="B463">
        <v>3</v>
      </c>
      <c r="C463">
        <v>12</v>
      </c>
      <c r="D463">
        <v>1997</v>
      </c>
      <c r="E463">
        <v>192.4</v>
      </c>
      <c r="F463">
        <v>13.2</v>
      </c>
      <c r="G463">
        <v>12</v>
      </c>
      <c r="H463">
        <v>1.2</v>
      </c>
      <c r="I463">
        <v>9</v>
      </c>
      <c r="J463">
        <v>154.1</v>
      </c>
      <c r="K463">
        <v>1162.9000000000001</v>
      </c>
      <c r="L463">
        <v>356</v>
      </c>
      <c r="M463">
        <v>337</v>
      </c>
      <c r="N463">
        <v>545</v>
      </c>
      <c r="O463">
        <v>208</v>
      </c>
      <c r="P463">
        <v>288</v>
      </c>
      <c r="Q463">
        <v>567</v>
      </c>
      <c r="R463">
        <v>279</v>
      </c>
      <c r="S463">
        <v>252.9</v>
      </c>
      <c r="T463">
        <v>370</v>
      </c>
      <c r="U463">
        <v>365</v>
      </c>
      <c r="V463">
        <v>500</v>
      </c>
      <c r="W463">
        <v>2.79</v>
      </c>
    </row>
    <row r="464" spans="1:23" x14ac:dyDescent="0.25">
      <c r="A464" t="s">
        <v>36</v>
      </c>
      <c r="B464">
        <v>3</v>
      </c>
      <c r="C464">
        <v>13</v>
      </c>
      <c r="D464">
        <v>1998</v>
      </c>
      <c r="E464">
        <v>199</v>
      </c>
      <c r="F464">
        <v>6.6</v>
      </c>
      <c r="G464">
        <v>6.3</v>
      </c>
      <c r="H464">
        <v>0.3</v>
      </c>
      <c r="I464">
        <v>4</v>
      </c>
      <c r="J464">
        <v>81.2</v>
      </c>
      <c r="K464">
        <v>1244.0999999999999</v>
      </c>
      <c r="L464">
        <v>361</v>
      </c>
      <c r="M464">
        <v>354</v>
      </c>
      <c r="N464">
        <v>511</v>
      </c>
      <c r="O464">
        <v>157</v>
      </c>
      <c r="P464">
        <v>325</v>
      </c>
      <c r="Q464">
        <v>511</v>
      </c>
      <c r="R464">
        <v>186</v>
      </c>
      <c r="S464">
        <v>252.9</v>
      </c>
      <c r="T464">
        <v>370</v>
      </c>
      <c r="U464">
        <v>365</v>
      </c>
      <c r="V464">
        <v>500</v>
      </c>
      <c r="W464">
        <v>2.79</v>
      </c>
    </row>
    <row r="465" spans="1:23" x14ac:dyDescent="0.25">
      <c r="A465" t="s">
        <v>36</v>
      </c>
      <c r="B465">
        <v>3</v>
      </c>
      <c r="C465">
        <v>14</v>
      </c>
      <c r="D465">
        <v>1999</v>
      </c>
      <c r="E465">
        <v>208.6</v>
      </c>
      <c r="F465">
        <v>9.6</v>
      </c>
      <c r="G465">
        <v>9.3000000000000007</v>
      </c>
      <c r="H465">
        <v>0.3</v>
      </c>
      <c r="I465">
        <v>3</v>
      </c>
      <c r="J465">
        <v>122.9</v>
      </c>
      <c r="K465">
        <v>1367</v>
      </c>
      <c r="L465">
        <v>360</v>
      </c>
      <c r="M465">
        <v>355</v>
      </c>
      <c r="N465">
        <v>526</v>
      </c>
      <c r="O465">
        <v>171</v>
      </c>
      <c r="P465">
        <v>294</v>
      </c>
      <c r="Q465">
        <v>526</v>
      </c>
      <c r="R465">
        <v>232</v>
      </c>
      <c r="S465">
        <v>252.9</v>
      </c>
      <c r="T465">
        <v>370</v>
      </c>
      <c r="U465">
        <v>365</v>
      </c>
      <c r="V465">
        <v>500</v>
      </c>
      <c r="W465">
        <v>2.79</v>
      </c>
    </row>
    <row r="466" spans="1:23" x14ac:dyDescent="0.25">
      <c r="A466" t="s">
        <v>36</v>
      </c>
      <c r="B466">
        <v>3</v>
      </c>
      <c r="C466">
        <v>15</v>
      </c>
      <c r="D466">
        <v>2000</v>
      </c>
      <c r="E466">
        <v>216.7</v>
      </c>
      <c r="F466">
        <v>8.1</v>
      </c>
      <c r="G466">
        <v>7.8</v>
      </c>
      <c r="H466">
        <v>0.3</v>
      </c>
      <c r="I466">
        <v>3</v>
      </c>
      <c r="J466">
        <v>108.2</v>
      </c>
      <c r="K466">
        <v>1475.3</v>
      </c>
      <c r="L466">
        <v>358</v>
      </c>
      <c r="M466">
        <v>351</v>
      </c>
      <c r="N466">
        <v>538</v>
      </c>
      <c r="O466">
        <v>187</v>
      </c>
      <c r="P466">
        <v>302</v>
      </c>
      <c r="Q466">
        <v>538</v>
      </c>
      <c r="R466">
        <v>236</v>
      </c>
      <c r="S466">
        <v>252.9</v>
      </c>
      <c r="T466">
        <v>370</v>
      </c>
      <c r="U466">
        <v>365</v>
      </c>
      <c r="V466">
        <v>500</v>
      </c>
      <c r="W466">
        <v>2.79</v>
      </c>
    </row>
    <row r="467" spans="1:23" x14ac:dyDescent="0.25">
      <c r="A467" t="s">
        <v>36</v>
      </c>
      <c r="B467">
        <v>3</v>
      </c>
      <c r="C467">
        <v>16</v>
      </c>
      <c r="D467">
        <v>2001</v>
      </c>
      <c r="E467">
        <v>225.7</v>
      </c>
      <c r="F467">
        <v>9</v>
      </c>
      <c r="G467">
        <v>8.6999999999999993</v>
      </c>
      <c r="H467">
        <v>0.3</v>
      </c>
      <c r="I467">
        <v>3</v>
      </c>
      <c r="J467">
        <v>125.1</v>
      </c>
      <c r="K467">
        <v>1600.3</v>
      </c>
      <c r="L467">
        <v>358</v>
      </c>
      <c r="M467">
        <v>353</v>
      </c>
      <c r="N467">
        <v>511</v>
      </c>
      <c r="O467">
        <v>158</v>
      </c>
      <c r="P467">
        <v>296</v>
      </c>
      <c r="Q467">
        <v>511</v>
      </c>
      <c r="R467">
        <v>215</v>
      </c>
      <c r="S467">
        <v>252.9</v>
      </c>
      <c r="T467">
        <v>370</v>
      </c>
      <c r="U467">
        <v>365</v>
      </c>
      <c r="V467">
        <v>500</v>
      </c>
      <c r="W467">
        <v>2.79</v>
      </c>
    </row>
    <row r="468" spans="1:23" x14ac:dyDescent="0.25">
      <c r="A468" t="s">
        <v>36</v>
      </c>
      <c r="B468">
        <v>3</v>
      </c>
      <c r="C468">
        <v>17</v>
      </c>
      <c r="D468">
        <v>2002</v>
      </c>
      <c r="E468">
        <v>232.6</v>
      </c>
      <c r="F468">
        <v>6.9</v>
      </c>
      <c r="G468">
        <v>6.6</v>
      </c>
      <c r="H468">
        <v>0.3</v>
      </c>
      <c r="I468">
        <v>4</v>
      </c>
      <c r="J468">
        <v>99.3</v>
      </c>
      <c r="K468">
        <v>1699.7</v>
      </c>
      <c r="L468">
        <v>358</v>
      </c>
      <c r="M468">
        <v>350</v>
      </c>
      <c r="N468">
        <v>524</v>
      </c>
      <c r="O468">
        <v>174</v>
      </c>
      <c r="P468">
        <v>311</v>
      </c>
      <c r="Q468">
        <v>524</v>
      </c>
      <c r="R468">
        <v>213</v>
      </c>
      <c r="S468">
        <v>252.9</v>
      </c>
      <c r="T468">
        <v>370</v>
      </c>
      <c r="U468">
        <v>365</v>
      </c>
      <c r="V468">
        <v>500</v>
      </c>
      <c r="W468">
        <v>2.79</v>
      </c>
    </row>
    <row r="469" spans="1:23" x14ac:dyDescent="0.25">
      <c r="A469" t="s">
        <v>36</v>
      </c>
      <c r="B469">
        <v>3</v>
      </c>
      <c r="C469">
        <v>18</v>
      </c>
      <c r="D469">
        <v>2003</v>
      </c>
      <c r="E469">
        <v>236.8</v>
      </c>
      <c r="F469">
        <v>4.2</v>
      </c>
      <c r="G469">
        <v>4.2</v>
      </c>
      <c r="H469">
        <v>0</v>
      </c>
      <c r="I469">
        <v>0</v>
      </c>
      <c r="J469">
        <v>61.9</v>
      </c>
      <c r="K469">
        <v>1761.6</v>
      </c>
      <c r="L469">
        <v>384</v>
      </c>
      <c r="M469">
        <v>384</v>
      </c>
      <c r="P469">
        <v>364</v>
      </c>
      <c r="Q469">
        <v>441</v>
      </c>
      <c r="R469">
        <v>77</v>
      </c>
      <c r="S469">
        <v>252.9</v>
      </c>
      <c r="T469">
        <v>370</v>
      </c>
      <c r="U469">
        <v>365</v>
      </c>
      <c r="V469">
        <v>500</v>
      </c>
      <c r="W469">
        <v>2.79</v>
      </c>
    </row>
    <row r="470" spans="1:23" x14ac:dyDescent="0.25">
      <c r="A470" t="s">
        <v>36</v>
      </c>
      <c r="B470">
        <v>3</v>
      </c>
      <c r="C470">
        <v>19</v>
      </c>
      <c r="D470">
        <v>2004</v>
      </c>
      <c r="E470">
        <v>241.6</v>
      </c>
      <c r="F470">
        <v>4.8</v>
      </c>
      <c r="G470">
        <v>4.8</v>
      </c>
      <c r="H470">
        <v>0</v>
      </c>
      <c r="I470">
        <v>0</v>
      </c>
      <c r="J470">
        <v>72.099999999999994</v>
      </c>
      <c r="K470">
        <v>1833.8</v>
      </c>
      <c r="L470">
        <v>394</v>
      </c>
      <c r="M470">
        <v>394</v>
      </c>
      <c r="P470">
        <v>350</v>
      </c>
      <c r="Q470">
        <v>499</v>
      </c>
      <c r="R470">
        <v>149</v>
      </c>
      <c r="S470">
        <v>252.9</v>
      </c>
      <c r="T470">
        <v>370</v>
      </c>
      <c r="U470">
        <v>365</v>
      </c>
      <c r="V470">
        <v>500</v>
      </c>
      <c r="W470">
        <v>2.79</v>
      </c>
    </row>
    <row r="471" spans="1:23" x14ac:dyDescent="0.25">
      <c r="A471" t="s">
        <v>36</v>
      </c>
      <c r="B471">
        <v>3</v>
      </c>
      <c r="C471">
        <v>20</v>
      </c>
      <c r="D471">
        <v>2005</v>
      </c>
      <c r="E471">
        <v>245.2</v>
      </c>
      <c r="F471">
        <v>3.6</v>
      </c>
      <c r="G471">
        <v>3.6</v>
      </c>
      <c r="H471">
        <v>0</v>
      </c>
      <c r="I471">
        <v>0</v>
      </c>
      <c r="J471">
        <v>55.1</v>
      </c>
      <c r="K471">
        <v>1888.8</v>
      </c>
      <c r="L471">
        <v>389</v>
      </c>
      <c r="M471">
        <v>389</v>
      </c>
      <c r="P471">
        <v>348</v>
      </c>
      <c r="Q471">
        <v>481</v>
      </c>
      <c r="R471">
        <v>133</v>
      </c>
      <c r="S471">
        <v>252.9</v>
      </c>
      <c r="T471">
        <v>370</v>
      </c>
      <c r="U471">
        <v>365</v>
      </c>
      <c r="V471">
        <v>500</v>
      </c>
      <c r="W471">
        <v>2.79</v>
      </c>
    </row>
    <row r="472" spans="1:23" x14ac:dyDescent="0.25">
      <c r="A472" t="s">
        <v>36</v>
      </c>
      <c r="B472">
        <v>3</v>
      </c>
      <c r="C472">
        <v>21</v>
      </c>
      <c r="D472">
        <v>2006</v>
      </c>
      <c r="E472">
        <v>247.9</v>
      </c>
      <c r="F472">
        <v>2.7</v>
      </c>
      <c r="G472">
        <v>2.7</v>
      </c>
      <c r="H472">
        <v>0</v>
      </c>
      <c r="I472">
        <v>0</v>
      </c>
      <c r="J472">
        <v>41.8</v>
      </c>
      <c r="K472">
        <v>1930.6</v>
      </c>
      <c r="L472">
        <v>403</v>
      </c>
      <c r="M472">
        <v>403</v>
      </c>
      <c r="P472">
        <v>357</v>
      </c>
      <c r="Q472">
        <v>471</v>
      </c>
      <c r="R472">
        <v>114</v>
      </c>
      <c r="S472">
        <v>252.9</v>
      </c>
      <c r="T472">
        <v>370</v>
      </c>
      <c r="U472">
        <v>365</v>
      </c>
      <c r="V472">
        <v>500</v>
      </c>
      <c r="W472">
        <v>2.79</v>
      </c>
    </row>
    <row r="473" spans="1:23" x14ac:dyDescent="0.25">
      <c r="A473" t="s">
        <v>36</v>
      </c>
      <c r="B473">
        <v>3</v>
      </c>
      <c r="C473">
        <v>22</v>
      </c>
      <c r="D473">
        <v>2007</v>
      </c>
      <c r="E473">
        <v>250.6</v>
      </c>
      <c r="F473">
        <v>2.7</v>
      </c>
      <c r="G473">
        <v>2.7</v>
      </c>
      <c r="H473">
        <v>0</v>
      </c>
      <c r="I473">
        <v>0</v>
      </c>
      <c r="J473">
        <v>42.3</v>
      </c>
      <c r="K473">
        <v>1972.9</v>
      </c>
      <c r="L473">
        <v>387</v>
      </c>
      <c r="M473">
        <v>387</v>
      </c>
      <c r="P473">
        <v>333</v>
      </c>
      <c r="Q473">
        <v>482</v>
      </c>
      <c r="R473">
        <v>149</v>
      </c>
      <c r="S473">
        <v>252.9</v>
      </c>
      <c r="T473">
        <v>370</v>
      </c>
      <c r="U473">
        <v>365</v>
      </c>
      <c r="V473">
        <v>500</v>
      </c>
      <c r="W473">
        <v>2.79</v>
      </c>
    </row>
    <row r="474" spans="1:23" x14ac:dyDescent="0.25">
      <c r="A474" t="s">
        <v>36</v>
      </c>
      <c r="B474">
        <v>3</v>
      </c>
      <c r="C474">
        <v>23</v>
      </c>
      <c r="D474">
        <v>2008</v>
      </c>
      <c r="E474">
        <v>255.1</v>
      </c>
      <c r="F474">
        <v>4.5</v>
      </c>
      <c r="G474">
        <v>4.2</v>
      </c>
      <c r="H474">
        <v>0.3</v>
      </c>
      <c r="I474">
        <v>6</v>
      </c>
      <c r="J474">
        <v>71.5</v>
      </c>
      <c r="K474">
        <v>2044.4</v>
      </c>
      <c r="L474">
        <v>391</v>
      </c>
      <c r="M474">
        <v>380</v>
      </c>
      <c r="N474">
        <v>550</v>
      </c>
      <c r="O474">
        <v>170</v>
      </c>
      <c r="P474">
        <v>317</v>
      </c>
      <c r="Q474">
        <v>550</v>
      </c>
      <c r="R474">
        <v>233</v>
      </c>
      <c r="S474">
        <v>252.9</v>
      </c>
      <c r="T474">
        <v>370</v>
      </c>
      <c r="U474">
        <v>365</v>
      </c>
      <c r="V474">
        <v>500</v>
      </c>
      <c r="W474">
        <v>2.79</v>
      </c>
    </row>
    <row r="475" spans="1:23" x14ac:dyDescent="0.25">
      <c r="A475" t="s">
        <v>36</v>
      </c>
      <c r="B475">
        <v>3</v>
      </c>
      <c r="C475">
        <v>24</v>
      </c>
      <c r="D475">
        <v>2009</v>
      </c>
      <c r="E475">
        <v>261.10000000000002</v>
      </c>
      <c r="F475">
        <v>6</v>
      </c>
      <c r="G475">
        <v>5.0999999999999996</v>
      </c>
      <c r="H475">
        <v>0.9</v>
      </c>
      <c r="I475">
        <v>15</v>
      </c>
      <c r="J475">
        <v>97.3</v>
      </c>
      <c r="K475">
        <v>2141.6999999999998</v>
      </c>
      <c r="L475">
        <v>408</v>
      </c>
      <c r="M475">
        <v>386</v>
      </c>
      <c r="N475">
        <v>531</v>
      </c>
      <c r="O475">
        <v>145</v>
      </c>
      <c r="P475">
        <v>326</v>
      </c>
      <c r="Q475">
        <v>552</v>
      </c>
      <c r="R475">
        <v>226</v>
      </c>
      <c r="S475">
        <v>252.9</v>
      </c>
      <c r="T475">
        <v>370</v>
      </c>
      <c r="U475">
        <v>365</v>
      </c>
      <c r="V475">
        <v>500</v>
      </c>
      <c r="W475">
        <v>2.79</v>
      </c>
    </row>
    <row r="476" spans="1:23" x14ac:dyDescent="0.25">
      <c r="A476" t="s">
        <v>36</v>
      </c>
      <c r="B476">
        <v>3</v>
      </c>
      <c r="C476">
        <v>25</v>
      </c>
      <c r="D476">
        <v>2010</v>
      </c>
      <c r="E476">
        <v>267.7</v>
      </c>
      <c r="F476">
        <v>6.6</v>
      </c>
      <c r="G476">
        <v>6.3</v>
      </c>
      <c r="H476">
        <v>0.3</v>
      </c>
      <c r="I476">
        <v>4</v>
      </c>
      <c r="J476">
        <v>109.6</v>
      </c>
      <c r="K476">
        <v>2251.4</v>
      </c>
      <c r="L476">
        <v>390</v>
      </c>
      <c r="M476">
        <v>381</v>
      </c>
      <c r="N476">
        <v>569</v>
      </c>
      <c r="O476">
        <v>188</v>
      </c>
      <c r="P476">
        <v>356</v>
      </c>
      <c r="Q476">
        <v>569</v>
      </c>
      <c r="R476">
        <v>213</v>
      </c>
      <c r="S476">
        <v>252.9</v>
      </c>
      <c r="T476">
        <v>370</v>
      </c>
      <c r="U476">
        <v>365</v>
      </c>
      <c r="V476">
        <v>500</v>
      </c>
      <c r="W476">
        <v>2.79</v>
      </c>
    </row>
    <row r="477" spans="1:23" x14ac:dyDescent="0.25">
      <c r="A477" t="s">
        <v>36</v>
      </c>
      <c r="B477">
        <v>3</v>
      </c>
      <c r="C477">
        <v>26</v>
      </c>
      <c r="D477">
        <v>2011</v>
      </c>
      <c r="E477">
        <v>273.39999999999998</v>
      </c>
      <c r="F477">
        <v>5.7</v>
      </c>
      <c r="G477">
        <v>5.0999999999999996</v>
      </c>
      <c r="H477">
        <v>0.6</v>
      </c>
      <c r="I477">
        <v>10</v>
      </c>
      <c r="J477">
        <v>96.9</v>
      </c>
      <c r="K477">
        <v>2348.3000000000002</v>
      </c>
      <c r="L477">
        <v>402</v>
      </c>
      <c r="M477">
        <v>386</v>
      </c>
      <c r="N477">
        <v>537</v>
      </c>
      <c r="O477">
        <v>151</v>
      </c>
      <c r="P477">
        <v>348</v>
      </c>
      <c r="Q477">
        <v>539</v>
      </c>
      <c r="R477">
        <v>191</v>
      </c>
      <c r="S477">
        <v>252.9</v>
      </c>
      <c r="T477">
        <v>370</v>
      </c>
      <c r="U477">
        <v>365</v>
      </c>
      <c r="V477">
        <v>500</v>
      </c>
      <c r="W477">
        <v>2.79</v>
      </c>
    </row>
    <row r="478" spans="1:23" x14ac:dyDescent="0.25">
      <c r="A478" t="s">
        <v>36</v>
      </c>
      <c r="B478">
        <v>3</v>
      </c>
      <c r="C478">
        <v>27</v>
      </c>
      <c r="D478">
        <v>2012</v>
      </c>
      <c r="E478">
        <v>277.89999999999998</v>
      </c>
      <c r="F478">
        <v>4.5</v>
      </c>
      <c r="G478">
        <v>4.5</v>
      </c>
      <c r="H478">
        <v>0</v>
      </c>
      <c r="I478">
        <v>0</v>
      </c>
      <c r="J478">
        <v>77.900000000000006</v>
      </c>
      <c r="K478">
        <v>2426.1999999999998</v>
      </c>
      <c r="L478">
        <v>417</v>
      </c>
      <c r="M478">
        <v>417</v>
      </c>
      <c r="P478">
        <v>345</v>
      </c>
      <c r="Q478">
        <v>494</v>
      </c>
      <c r="R478">
        <v>149</v>
      </c>
      <c r="S478">
        <v>252.9</v>
      </c>
      <c r="T478">
        <v>370</v>
      </c>
      <c r="U478">
        <v>365</v>
      </c>
      <c r="V478">
        <v>500</v>
      </c>
      <c r="W478">
        <v>2.79</v>
      </c>
    </row>
    <row r="479" spans="1:23" x14ac:dyDescent="0.25">
      <c r="A479" t="s">
        <v>36</v>
      </c>
      <c r="B479">
        <v>5</v>
      </c>
      <c r="C479">
        <v>3</v>
      </c>
      <c r="D479">
        <v>1988</v>
      </c>
      <c r="E479">
        <v>21.3</v>
      </c>
      <c r="F479">
        <v>21.3</v>
      </c>
      <c r="G479">
        <v>18</v>
      </c>
      <c r="H479">
        <v>0.3</v>
      </c>
      <c r="I479">
        <v>1</v>
      </c>
      <c r="J479">
        <v>14.3</v>
      </c>
      <c r="K479">
        <v>14.3</v>
      </c>
      <c r="L479">
        <v>394</v>
      </c>
      <c r="M479">
        <v>392</v>
      </c>
      <c r="N479">
        <v>504</v>
      </c>
      <c r="O479">
        <v>112</v>
      </c>
      <c r="P479">
        <v>180</v>
      </c>
      <c r="Q479">
        <v>504</v>
      </c>
      <c r="R479">
        <v>324</v>
      </c>
      <c r="S479">
        <v>221.1</v>
      </c>
      <c r="T479">
        <v>426</v>
      </c>
      <c r="U479">
        <v>420</v>
      </c>
      <c r="V479">
        <v>500</v>
      </c>
      <c r="W479">
        <v>2.79</v>
      </c>
    </row>
    <row r="480" spans="1:23" x14ac:dyDescent="0.25">
      <c r="A480" t="s">
        <v>36</v>
      </c>
      <c r="B480">
        <v>5</v>
      </c>
      <c r="C480">
        <v>4</v>
      </c>
      <c r="D480">
        <v>1989</v>
      </c>
      <c r="E480">
        <v>42.3</v>
      </c>
      <c r="F480">
        <v>21</v>
      </c>
      <c r="G480">
        <v>19.5</v>
      </c>
      <c r="H480">
        <v>1.5</v>
      </c>
      <c r="I480">
        <v>7</v>
      </c>
      <c r="J480">
        <v>42</v>
      </c>
      <c r="K480">
        <v>56.2</v>
      </c>
      <c r="L480">
        <v>414</v>
      </c>
      <c r="M480">
        <v>405</v>
      </c>
      <c r="N480">
        <v>541</v>
      </c>
      <c r="O480">
        <v>136</v>
      </c>
      <c r="P480">
        <v>357</v>
      </c>
      <c r="Q480">
        <v>574</v>
      </c>
      <c r="R480">
        <v>217</v>
      </c>
      <c r="S480">
        <v>221.1</v>
      </c>
      <c r="T480">
        <v>426</v>
      </c>
      <c r="U480">
        <v>420</v>
      </c>
      <c r="V480">
        <v>500</v>
      </c>
      <c r="W480">
        <v>2.79</v>
      </c>
    </row>
    <row r="481" spans="1:23" x14ac:dyDescent="0.25">
      <c r="A481" t="s">
        <v>36</v>
      </c>
      <c r="B481">
        <v>5</v>
      </c>
      <c r="C481">
        <v>5</v>
      </c>
      <c r="D481">
        <v>1990</v>
      </c>
      <c r="E481">
        <v>57.3</v>
      </c>
      <c r="F481">
        <v>15</v>
      </c>
      <c r="G481">
        <v>13.2</v>
      </c>
      <c r="H481">
        <v>1.8</v>
      </c>
      <c r="I481">
        <v>12</v>
      </c>
      <c r="J481">
        <v>46.9</v>
      </c>
      <c r="K481">
        <v>103.1</v>
      </c>
      <c r="L481">
        <v>425</v>
      </c>
      <c r="M481">
        <v>411</v>
      </c>
      <c r="N481">
        <v>532</v>
      </c>
      <c r="O481">
        <v>121</v>
      </c>
      <c r="P481">
        <v>377</v>
      </c>
      <c r="Q481">
        <v>601</v>
      </c>
      <c r="R481">
        <v>224</v>
      </c>
      <c r="S481">
        <v>221.1</v>
      </c>
      <c r="T481">
        <v>426</v>
      </c>
      <c r="U481">
        <v>420</v>
      </c>
      <c r="V481">
        <v>500</v>
      </c>
      <c r="W481">
        <v>2.79</v>
      </c>
    </row>
    <row r="482" spans="1:23" x14ac:dyDescent="0.25">
      <c r="A482" t="s">
        <v>36</v>
      </c>
      <c r="B482">
        <v>5</v>
      </c>
      <c r="C482">
        <v>6</v>
      </c>
      <c r="D482">
        <v>1991</v>
      </c>
      <c r="E482">
        <v>72.599999999999994</v>
      </c>
      <c r="F482">
        <v>15.3</v>
      </c>
      <c r="G482">
        <v>13.8</v>
      </c>
      <c r="H482">
        <v>1.5</v>
      </c>
      <c r="I482">
        <v>9</v>
      </c>
      <c r="J482">
        <v>62.4</v>
      </c>
      <c r="K482">
        <v>165.6</v>
      </c>
      <c r="L482">
        <v>417</v>
      </c>
      <c r="M482">
        <v>402</v>
      </c>
      <c r="N482">
        <v>556</v>
      </c>
      <c r="O482">
        <v>154</v>
      </c>
      <c r="P482">
        <v>355</v>
      </c>
      <c r="Q482">
        <v>589</v>
      </c>
      <c r="R482">
        <v>234</v>
      </c>
      <c r="S482">
        <v>221.1</v>
      </c>
      <c r="T482">
        <v>426</v>
      </c>
      <c r="U482">
        <v>420</v>
      </c>
      <c r="V482">
        <v>500</v>
      </c>
      <c r="W482">
        <v>2.79</v>
      </c>
    </row>
    <row r="483" spans="1:23" x14ac:dyDescent="0.25">
      <c r="A483" t="s">
        <v>36</v>
      </c>
      <c r="B483">
        <v>5</v>
      </c>
      <c r="C483">
        <v>7</v>
      </c>
      <c r="D483">
        <v>1992</v>
      </c>
      <c r="E483">
        <v>87.3</v>
      </c>
      <c r="F483">
        <v>14.7</v>
      </c>
      <c r="G483">
        <v>12</v>
      </c>
      <c r="H483">
        <v>2.7</v>
      </c>
      <c r="I483">
        <v>18</v>
      </c>
      <c r="J483">
        <v>73.8</v>
      </c>
      <c r="K483">
        <v>239.4</v>
      </c>
      <c r="L483">
        <v>447</v>
      </c>
      <c r="M483">
        <v>424</v>
      </c>
      <c r="N483">
        <v>553</v>
      </c>
      <c r="O483">
        <v>129</v>
      </c>
      <c r="P483">
        <v>374</v>
      </c>
      <c r="Q483">
        <v>592</v>
      </c>
      <c r="R483">
        <v>218</v>
      </c>
      <c r="S483">
        <v>221.1</v>
      </c>
      <c r="T483">
        <v>426</v>
      </c>
      <c r="U483">
        <v>420</v>
      </c>
      <c r="V483">
        <v>500</v>
      </c>
      <c r="W483">
        <v>2.79</v>
      </c>
    </row>
    <row r="484" spans="1:23" x14ac:dyDescent="0.25">
      <c r="A484" t="s">
        <v>36</v>
      </c>
      <c r="B484">
        <v>5</v>
      </c>
      <c r="C484">
        <v>8</v>
      </c>
      <c r="D484">
        <v>1993</v>
      </c>
      <c r="E484">
        <v>102.6</v>
      </c>
      <c r="F484">
        <v>15.3</v>
      </c>
      <c r="G484">
        <v>12.3</v>
      </c>
      <c r="H484">
        <v>3</v>
      </c>
      <c r="I484">
        <v>19</v>
      </c>
      <c r="J484">
        <v>91.3</v>
      </c>
      <c r="K484">
        <v>330.7</v>
      </c>
      <c r="L484">
        <v>443</v>
      </c>
      <c r="M484">
        <v>421</v>
      </c>
      <c r="N484">
        <v>536</v>
      </c>
      <c r="O484">
        <v>115</v>
      </c>
      <c r="P484">
        <v>367</v>
      </c>
      <c r="Q484">
        <v>583</v>
      </c>
      <c r="R484">
        <v>216</v>
      </c>
      <c r="S484">
        <v>221.1</v>
      </c>
      <c r="T484">
        <v>426</v>
      </c>
      <c r="U484">
        <v>420</v>
      </c>
      <c r="V484">
        <v>500</v>
      </c>
      <c r="W484">
        <v>2.79</v>
      </c>
    </row>
    <row r="485" spans="1:23" x14ac:dyDescent="0.25">
      <c r="A485" t="s">
        <v>36</v>
      </c>
      <c r="B485">
        <v>5</v>
      </c>
      <c r="C485">
        <v>9</v>
      </c>
      <c r="D485">
        <v>1994</v>
      </c>
      <c r="E485">
        <v>119.1</v>
      </c>
      <c r="F485">
        <v>16.5</v>
      </c>
      <c r="G485">
        <v>15.3</v>
      </c>
      <c r="H485">
        <v>1.2</v>
      </c>
      <c r="I485">
        <v>7</v>
      </c>
      <c r="J485">
        <v>114.9</v>
      </c>
      <c r="K485">
        <v>445.6</v>
      </c>
      <c r="L485">
        <v>411</v>
      </c>
      <c r="M485">
        <v>403</v>
      </c>
      <c r="N485">
        <v>515</v>
      </c>
      <c r="O485">
        <v>112</v>
      </c>
      <c r="P485">
        <v>354</v>
      </c>
      <c r="Q485">
        <v>537</v>
      </c>
      <c r="R485">
        <v>183</v>
      </c>
      <c r="S485">
        <v>221.1</v>
      </c>
      <c r="T485">
        <v>426</v>
      </c>
      <c r="U485">
        <v>420</v>
      </c>
      <c r="V485">
        <v>500</v>
      </c>
      <c r="W485">
        <v>2.79</v>
      </c>
    </row>
    <row r="486" spans="1:23" x14ac:dyDescent="0.25">
      <c r="A486" t="s">
        <v>36</v>
      </c>
      <c r="B486">
        <v>5</v>
      </c>
      <c r="C486">
        <v>10</v>
      </c>
      <c r="D486">
        <v>1995</v>
      </c>
      <c r="E486">
        <v>130.5</v>
      </c>
      <c r="F486">
        <v>11.4</v>
      </c>
      <c r="G486">
        <v>10.5</v>
      </c>
      <c r="H486">
        <v>0.9</v>
      </c>
      <c r="I486">
        <v>7</v>
      </c>
      <c r="J486">
        <v>89.4</v>
      </c>
      <c r="K486">
        <v>535</v>
      </c>
      <c r="L486">
        <v>422</v>
      </c>
      <c r="M486">
        <v>414</v>
      </c>
      <c r="N486">
        <v>521</v>
      </c>
      <c r="O486">
        <v>107</v>
      </c>
      <c r="P486">
        <v>355</v>
      </c>
      <c r="Q486">
        <v>540</v>
      </c>
      <c r="R486">
        <v>185</v>
      </c>
      <c r="S486">
        <v>221.1</v>
      </c>
      <c r="T486">
        <v>426</v>
      </c>
      <c r="U486">
        <v>420</v>
      </c>
      <c r="V486">
        <v>500</v>
      </c>
      <c r="W486">
        <v>2.79</v>
      </c>
    </row>
    <row r="487" spans="1:23" x14ac:dyDescent="0.25">
      <c r="A487" t="s">
        <v>36</v>
      </c>
      <c r="B487">
        <v>5</v>
      </c>
      <c r="C487">
        <v>11</v>
      </c>
      <c r="D487">
        <v>1996</v>
      </c>
      <c r="E487">
        <v>143.4</v>
      </c>
      <c r="F487">
        <v>12.9</v>
      </c>
      <c r="G487">
        <v>11.4</v>
      </c>
      <c r="H487">
        <v>1.5</v>
      </c>
      <c r="I487">
        <v>11</v>
      </c>
      <c r="J487">
        <v>111</v>
      </c>
      <c r="K487">
        <v>646</v>
      </c>
      <c r="L487">
        <v>403</v>
      </c>
      <c r="M487">
        <v>385</v>
      </c>
      <c r="N487">
        <v>533</v>
      </c>
      <c r="O487">
        <v>148</v>
      </c>
      <c r="P487">
        <v>342</v>
      </c>
      <c r="Q487">
        <v>540</v>
      </c>
      <c r="R487">
        <v>198</v>
      </c>
      <c r="S487">
        <v>221.1</v>
      </c>
      <c r="T487">
        <v>426</v>
      </c>
      <c r="U487">
        <v>420</v>
      </c>
      <c r="V487">
        <v>500</v>
      </c>
      <c r="W487">
        <v>2.79</v>
      </c>
    </row>
    <row r="488" spans="1:23" x14ac:dyDescent="0.25">
      <c r="A488" t="s">
        <v>36</v>
      </c>
      <c r="B488">
        <v>5</v>
      </c>
      <c r="C488">
        <v>12</v>
      </c>
      <c r="D488">
        <v>1997</v>
      </c>
      <c r="E488">
        <v>156.30000000000001</v>
      </c>
      <c r="F488">
        <v>12.9</v>
      </c>
      <c r="G488">
        <v>12</v>
      </c>
      <c r="H488">
        <v>0.9</v>
      </c>
      <c r="I488">
        <v>6</v>
      </c>
      <c r="J488">
        <v>121.5</v>
      </c>
      <c r="K488">
        <v>767.5</v>
      </c>
      <c r="L488">
        <v>404</v>
      </c>
      <c r="M488">
        <v>396</v>
      </c>
      <c r="N488">
        <v>520</v>
      </c>
      <c r="O488">
        <v>124</v>
      </c>
      <c r="P488">
        <v>358</v>
      </c>
      <c r="Q488">
        <v>538</v>
      </c>
      <c r="R488">
        <v>180</v>
      </c>
      <c r="S488">
        <v>221.1</v>
      </c>
      <c r="T488">
        <v>426</v>
      </c>
      <c r="U488">
        <v>420</v>
      </c>
      <c r="V488">
        <v>500</v>
      </c>
      <c r="W488">
        <v>2.79</v>
      </c>
    </row>
    <row r="489" spans="1:23" x14ac:dyDescent="0.25">
      <c r="A489" t="s">
        <v>36</v>
      </c>
      <c r="B489">
        <v>5</v>
      </c>
      <c r="C489">
        <v>13</v>
      </c>
      <c r="D489">
        <v>1998</v>
      </c>
      <c r="E489">
        <v>163.80000000000001</v>
      </c>
      <c r="F489">
        <v>7.5</v>
      </c>
      <c r="G489">
        <v>6.6</v>
      </c>
      <c r="H489">
        <v>0.9</v>
      </c>
      <c r="I489">
        <v>12</v>
      </c>
      <c r="J489">
        <v>75.400000000000006</v>
      </c>
      <c r="K489">
        <v>842.9</v>
      </c>
      <c r="L489">
        <v>429</v>
      </c>
      <c r="M489">
        <v>416</v>
      </c>
      <c r="N489">
        <v>522</v>
      </c>
      <c r="O489">
        <v>106</v>
      </c>
      <c r="P489">
        <v>362</v>
      </c>
      <c r="Q489">
        <v>536</v>
      </c>
      <c r="R489">
        <v>174</v>
      </c>
      <c r="S489">
        <v>221.1</v>
      </c>
      <c r="T489">
        <v>426</v>
      </c>
      <c r="U489">
        <v>420</v>
      </c>
      <c r="V489">
        <v>500</v>
      </c>
      <c r="W489">
        <v>2.79</v>
      </c>
    </row>
    <row r="490" spans="1:23" x14ac:dyDescent="0.25">
      <c r="A490" t="s">
        <v>36</v>
      </c>
      <c r="B490">
        <v>5</v>
      </c>
      <c r="C490">
        <v>14</v>
      </c>
      <c r="D490">
        <v>1999</v>
      </c>
      <c r="E490">
        <v>171.6</v>
      </c>
      <c r="F490">
        <v>7.8</v>
      </c>
      <c r="G490">
        <v>7.2</v>
      </c>
      <c r="H490">
        <v>0.6</v>
      </c>
      <c r="I490">
        <v>7</v>
      </c>
      <c r="J490">
        <v>82.2</v>
      </c>
      <c r="K490">
        <v>925.1</v>
      </c>
      <c r="L490">
        <v>398</v>
      </c>
      <c r="M490">
        <v>388</v>
      </c>
      <c r="N490">
        <v>522</v>
      </c>
      <c r="O490">
        <v>134</v>
      </c>
      <c r="P490">
        <v>349</v>
      </c>
      <c r="Q490">
        <v>529</v>
      </c>
      <c r="R490">
        <v>180</v>
      </c>
      <c r="S490">
        <v>221.1</v>
      </c>
      <c r="T490">
        <v>426</v>
      </c>
      <c r="U490">
        <v>420</v>
      </c>
      <c r="V490">
        <v>500</v>
      </c>
      <c r="W490">
        <v>2.79</v>
      </c>
    </row>
    <row r="491" spans="1:23" x14ac:dyDescent="0.25">
      <c r="A491" t="s">
        <v>36</v>
      </c>
      <c r="B491">
        <v>5</v>
      </c>
      <c r="C491">
        <v>15</v>
      </c>
      <c r="D491">
        <v>2000</v>
      </c>
      <c r="E491">
        <v>180.3</v>
      </c>
      <c r="F491">
        <v>8.6999999999999993</v>
      </c>
      <c r="G491">
        <v>7.8</v>
      </c>
      <c r="H491">
        <v>0.9</v>
      </c>
      <c r="I491">
        <v>10</v>
      </c>
      <c r="J491">
        <v>96.2</v>
      </c>
      <c r="K491">
        <v>1021.3</v>
      </c>
      <c r="L491">
        <v>412</v>
      </c>
      <c r="M491">
        <v>397</v>
      </c>
      <c r="N491">
        <v>538</v>
      </c>
      <c r="O491">
        <v>141</v>
      </c>
      <c r="P491">
        <v>349</v>
      </c>
      <c r="Q491">
        <v>544</v>
      </c>
      <c r="R491">
        <v>195</v>
      </c>
      <c r="S491">
        <v>221.1</v>
      </c>
      <c r="T491">
        <v>426</v>
      </c>
      <c r="U491">
        <v>420</v>
      </c>
      <c r="V491">
        <v>500</v>
      </c>
      <c r="W491">
        <v>2.79</v>
      </c>
    </row>
    <row r="492" spans="1:23" x14ac:dyDescent="0.25">
      <c r="A492" t="s">
        <v>36</v>
      </c>
      <c r="B492">
        <v>5</v>
      </c>
      <c r="C492">
        <v>16</v>
      </c>
      <c r="D492">
        <v>2001</v>
      </c>
      <c r="E492">
        <v>189.6</v>
      </c>
      <c r="F492">
        <v>9.3000000000000007</v>
      </c>
      <c r="G492">
        <v>7.8</v>
      </c>
      <c r="H492">
        <v>1.5</v>
      </c>
      <c r="I492">
        <v>16</v>
      </c>
      <c r="J492">
        <v>108.1</v>
      </c>
      <c r="K492">
        <v>1129.3</v>
      </c>
      <c r="L492">
        <v>437</v>
      </c>
      <c r="M492">
        <v>417</v>
      </c>
      <c r="N492">
        <v>541</v>
      </c>
      <c r="O492">
        <v>124</v>
      </c>
      <c r="P492">
        <v>378</v>
      </c>
      <c r="Q492">
        <v>565</v>
      </c>
      <c r="R492">
        <v>187</v>
      </c>
      <c r="S492">
        <v>221.1</v>
      </c>
      <c r="T492">
        <v>426</v>
      </c>
      <c r="U492">
        <v>420</v>
      </c>
      <c r="V492">
        <v>500</v>
      </c>
      <c r="W492">
        <v>2.79</v>
      </c>
    </row>
    <row r="493" spans="1:23" x14ac:dyDescent="0.25">
      <c r="A493" t="s">
        <v>36</v>
      </c>
      <c r="B493">
        <v>5</v>
      </c>
      <c r="C493">
        <v>17</v>
      </c>
      <c r="D493">
        <v>2002</v>
      </c>
      <c r="E493">
        <v>197.4</v>
      </c>
      <c r="F493">
        <v>7.8</v>
      </c>
      <c r="G493">
        <v>6.6</v>
      </c>
      <c r="H493">
        <v>1.2</v>
      </c>
      <c r="I493">
        <v>15</v>
      </c>
      <c r="J493">
        <v>94.8</v>
      </c>
      <c r="K493">
        <v>1224.2</v>
      </c>
      <c r="L493">
        <v>422</v>
      </c>
      <c r="M493">
        <v>402</v>
      </c>
      <c r="N493">
        <v>533</v>
      </c>
      <c r="O493">
        <v>131</v>
      </c>
      <c r="P493">
        <v>344</v>
      </c>
      <c r="Q493">
        <v>552</v>
      </c>
      <c r="R493">
        <v>208</v>
      </c>
      <c r="S493">
        <v>221.1</v>
      </c>
      <c r="T493">
        <v>426</v>
      </c>
      <c r="U493">
        <v>420</v>
      </c>
      <c r="V493">
        <v>500</v>
      </c>
      <c r="W493">
        <v>2.79</v>
      </c>
    </row>
    <row r="494" spans="1:23" x14ac:dyDescent="0.25">
      <c r="A494" t="s">
        <v>36</v>
      </c>
      <c r="B494">
        <v>5</v>
      </c>
      <c r="C494">
        <v>18</v>
      </c>
      <c r="D494">
        <v>2003</v>
      </c>
      <c r="E494">
        <v>204</v>
      </c>
      <c r="F494">
        <v>6.6</v>
      </c>
      <c r="G494">
        <v>6.6</v>
      </c>
      <c r="H494">
        <v>0</v>
      </c>
      <c r="I494">
        <v>0</v>
      </c>
      <c r="J494">
        <v>83.2</v>
      </c>
      <c r="K494">
        <v>1307.4000000000001</v>
      </c>
      <c r="L494">
        <v>394</v>
      </c>
      <c r="M494">
        <v>394</v>
      </c>
      <c r="P494">
        <v>367</v>
      </c>
      <c r="Q494">
        <v>494</v>
      </c>
      <c r="R494">
        <v>127</v>
      </c>
      <c r="S494">
        <v>221.1</v>
      </c>
      <c r="T494">
        <v>426</v>
      </c>
      <c r="U494">
        <v>420</v>
      </c>
      <c r="V494">
        <v>500</v>
      </c>
      <c r="W494">
        <v>2.79</v>
      </c>
    </row>
    <row r="495" spans="1:23" x14ac:dyDescent="0.25">
      <c r="A495" t="s">
        <v>36</v>
      </c>
      <c r="B495">
        <v>5</v>
      </c>
      <c r="C495">
        <v>19</v>
      </c>
      <c r="D495">
        <v>2004</v>
      </c>
      <c r="E495">
        <v>207.6</v>
      </c>
      <c r="F495">
        <v>3.6</v>
      </c>
      <c r="G495">
        <v>3.3</v>
      </c>
      <c r="H495">
        <v>0.3</v>
      </c>
      <c r="I495">
        <v>8</v>
      </c>
      <c r="J495">
        <v>46.6</v>
      </c>
      <c r="K495">
        <v>1354</v>
      </c>
      <c r="L495">
        <v>413</v>
      </c>
      <c r="M495">
        <v>402</v>
      </c>
      <c r="N495">
        <v>534</v>
      </c>
      <c r="O495">
        <v>132</v>
      </c>
      <c r="P495">
        <v>377</v>
      </c>
      <c r="Q495">
        <v>534</v>
      </c>
      <c r="R495">
        <v>157</v>
      </c>
      <c r="S495">
        <v>221.1</v>
      </c>
      <c r="T495">
        <v>426</v>
      </c>
      <c r="U495">
        <v>420</v>
      </c>
      <c r="V495">
        <v>500</v>
      </c>
      <c r="W495">
        <v>2.79</v>
      </c>
    </row>
    <row r="496" spans="1:23" x14ac:dyDescent="0.25">
      <c r="A496" t="s">
        <v>36</v>
      </c>
      <c r="B496">
        <v>5</v>
      </c>
      <c r="C496">
        <v>20</v>
      </c>
      <c r="D496">
        <v>2005</v>
      </c>
      <c r="E496">
        <v>211.2</v>
      </c>
      <c r="F496">
        <v>3.6</v>
      </c>
      <c r="G496">
        <v>3.6</v>
      </c>
      <c r="H496">
        <v>0</v>
      </c>
      <c r="I496">
        <v>0</v>
      </c>
      <c r="J496">
        <v>47.4</v>
      </c>
      <c r="K496">
        <v>1401.3</v>
      </c>
      <c r="L496">
        <v>415</v>
      </c>
      <c r="M496">
        <v>415</v>
      </c>
      <c r="P496">
        <v>362</v>
      </c>
      <c r="Q496">
        <v>495</v>
      </c>
      <c r="R496">
        <v>133</v>
      </c>
      <c r="S496">
        <v>221.1</v>
      </c>
      <c r="T496">
        <v>426</v>
      </c>
      <c r="U496">
        <v>420</v>
      </c>
      <c r="V496">
        <v>500</v>
      </c>
      <c r="W496">
        <v>2.79</v>
      </c>
    </row>
    <row r="497" spans="1:23" x14ac:dyDescent="0.25">
      <c r="A497" t="s">
        <v>36</v>
      </c>
      <c r="B497">
        <v>5</v>
      </c>
      <c r="C497">
        <v>21</v>
      </c>
      <c r="D497">
        <v>2006</v>
      </c>
      <c r="E497">
        <v>212.1</v>
      </c>
      <c r="F497">
        <v>0.9</v>
      </c>
      <c r="G497">
        <v>0.9</v>
      </c>
      <c r="H497">
        <v>0</v>
      </c>
      <c r="I497">
        <v>0</v>
      </c>
      <c r="J497">
        <v>12</v>
      </c>
      <c r="K497">
        <v>1413.3</v>
      </c>
      <c r="L497">
        <v>459</v>
      </c>
      <c r="M497">
        <v>459</v>
      </c>
      <c r="P497">
        <v>432</v>
      </c>
      <c r="Q497">
        <v>495</v>
      </c>
      <c r="R497">
        <v>63</v>
      </c>
      <c r="S497">
        <v>221.1</v>
      </c>
      <c r="T497">
        <v>426</v>
      </c>
      <c r="U497">
        <v>420</v>
      </c>
      <c r="V497">
        <v>500</v>
      </c>
      <c r="W497">
        <v>2.79</v>
      </c>
    </row>
    <row r="498" spans="1:23" x14ac:dyDescent="0.25">
      <c r="A498" t="s">
        <v>36</v>
      </c>
      <c r="B498">
        <v>5</v>
      </c>
      <c r="C498">
        <v>22</v>
      </c>
      <c r="D498">
        <v>2007</v>
      </c>
      <c r="E498">
        <v>213.6</v>
      </c>
      <c r="F498">
        <v>1.5</v>
      </c>
      <c r="G498">
        <v>1.2</v>
      </c>
      <c r="H498">
        <v>0.3</v>
      </c>
      <c r="I498">
        <v>20</v>
      </c>
      <c r="J498">
        <v>20.100000000000001</v>
      </c>
      <c r="K498">
        <v>1433.4</v>
      </c>
      <c r="L498">
        <v>466</v>
      </c>
      <c r="M498">
        <v>444</v>
      </c>
      <c r="N498">
        <v>553</v>
      </c>
      <c r="O498">
        <v>109</v>
      </c>
      <c r="P498">
        <v>390</v>
      </c>
      <c r="Q498">
        <v>553</v>
      </c>
      <c r="R498">
        <v>163</v>
      </c>
      <c r="S498">
        <v>221.1</v>
      </c>
      <c r="T498">
        <v>426</v>
      </c>
      <c r="U498">
        <v>420</v>
      </c>
      <c r="V498">
        <v>500</v>
      </c>
      <c r="W498">
        <v>2.79</v>
      </c>
    </row>
    <row r="499" spans="1:23" x14ac:dyDescent="0.25">
      <c r="A499" t="s">
        <v>36</v>
      </c>
      <c r="B499">
        <v>5</v>
      </c>
      <c r="C499">
        <v>23</v>
      </c>
      <c r="D499">
        <v>2008</v>
      </c>
      <c r="E499">
        <v>215.7</v>
      </c>
      <c r="F499">
        <v>2.1</v>
      </c>
      <c r="G499">
        <v>1.8</v>
      </c>
      <c r="H499">
        <v>0.3</v>
      </c>
      <c r="I499">
        <v>14</v>
      </c>
      <c r="J499">
        <v>28.3</v>
      </c>
      <c r="K499">
        <v>1461.7</v>
      </c>
      <c r="L499">
        <v>431</v>
      </c>
      <c r="M499">
        <v>418</v>
      </c>
      <c r="N499">
        <v>508</v>
      </c>
      <c r="O499">
        <v>90</v>
      </c>
      <c r="P499">
        <v>380</v>
      </c>
      <c r="Q499">
        <v>508</v>
      </c>
      <c r="R499">
        <v>128</v>
      </c>
      <c r="S499">
        <v>221.1</v>
      </c>
      <c r="T499">
        <v>426</v>
      </c>
      <c r="U499">
        <v>420</v>
      </c>
      <c r="V499">
        <v>500</v>
      </c>
      <c r="W499">
        <v>2.79</v>
      </c>
    </row>
    <row r="500" spans="1:23" x14ac:dyDescent="0.25">
      <c r="A500" t="s">
        <v>36</v>
      </c>
      <c r="B500">
        <v>5</v>
      </c>
      <c r="C500">
        <v>24</v>
      </c>
      <c r="D500">
        <v>2009</v>
      </c>
      <c r="E500">
        <v>218.1</v>
      </c>
      <c r="F500">
        <v>2.4</v>
      </c>
      <c r="G500">
        <v>1.8</v>
      </c>
      <c r="H500">
        <v>0.6</v>
      </c>
      <c r="I500">
        <v>25</v>
      </c>
      <c r="J500">
        <v>32.700000000000003</v>
      </c>
      <c r="K500">
        <v>1494.4</v>
      </c>
      <c r="L500">
        <v>454</v>
      </c>
      <c r="M500">
        <v>428</v>
      </c>
      <c r="N500">
        <v>531</v>
      </c>
      <c r="O500">
        <v>103</v>
      </c>
      <c r="P500">
        <v>388</v>
      </c>
      <c r="Q500">
        <v>554</v>
      </c>
      <c r="R500">
        <v>166</v>
      </c>
      <c r="S500">
        <v>221.1</v>
      </c>
      <c r="T500">
        <v>426</v>
      </c>
      <c r="U500">
        <v>420</v>
      </c>
      <c r="V500">
        <v>500</v>
      </c>
      <c r="W500">
        <v>2.79</v>
      </c>
    </row>
    <row r="501" spans="1:23" x14ac:dyDescent="0.25">
      <c r="A501" t="s">
        <v>36</v>
      </c>
      <c r="B501">
        <v>5</v>
      </c>
      <c r="C501">
        <v>25</v>
      </c>
      <c r="D501">
        <v>2010</v>
      </c>
      <c r="E501">
        <v>221.1</v>
      </c>
      <c r="F501">
        <v>3</v>
      </c>
      <c r="G501">
        <v>2.7</v>
      </c>
      <c r="H501">
        <v>0.3</v>
      </c>
      <c r="I501">
        <v>10</v>
      </c>
      <c r="J501">
        <v>41.4</v>
      </c>
      <c r="K501">
        <v>1535.8</v>
      </c>
      <c r="L501">
        <v>437</v>
      </c>
      <c r="M501">
        <v>427</v>
      </c>
      <c r="N501">
        <v>526</v>
      </c>
      <c r="O501">
        <v>99</v>
      </c>
      <c r="P501">
        <v>375</v>
      </c>
      <c r="Q501">
        <v>526</v>
      </c>
      <c r="R501">
        <v>151</v>
      </c>
      <c r="S501">
        <v>221.1</v>
      </c>
      <c r="T501">
        <v>426</v>
      </c>
      <c r="U501">
        <v>420</v>
      </c>
      <c r="V501">
        <v>500</v>
      </c>
      <c r="W501">
        <v>2.79</v>
      </c>
    </row>
    <row r="502" spans="1:23" x14ac:dyDescent="0.25">
      <c r="A502" t="s">
        <v>36</v>
      </c>
      <c r="B502">
        <v>5</v>
      </c>
      <c r="C502">
        <v>26</v>
      </c>
      <c r="D502">
        <v>2011</v>
      </c>
      <c r="E502">
        <v>222.9</v>
      </c>
      <c r="F502">
        <v>1.8</v>
      </c>
      <c r="G502">
        <v>1.8</v>
      </c>
      <c r="H502">
        <v>0</v>
      </c>
      <c r="I502">
        <v>0</v>
      </c>
      <c r="J502">
        <v>25.1</v>
      </c>
      <c r="K502">
        <v>1560.9</v>
      </c>
      <c r="L502">
        <v>443</v>
      </c>
      <c r="M502">
        <v>443</v>
      </c>
      <c r="P502">
        <v>410</v>
      </c>
      <c r="Q502">
        <v>491</v>
      </c>
      <c r="R502">
        <v>81</v>
      </c>
      <c r="S502">
        <v>221.1</v>
      </c>
      <c r="T502">
        <v>426</v>
      </c>
      <c r="U502">
        <v>420</v>
      </c>
      <c r="V502">
        <v>500</v>
      </c>
      <c r="W502">
        <v>2.79</v>
      </c>
    </row>
    <row r="503" spans="1:23" x14ac:dyDescent="0.25">
      <c r="A503" t="s">
        <v>36</v>
      </c>
      <c r="B503">
        <v>5</v>
      </c>
      <c r="C503">
        <v>27</v>
      </c>
      <c r="D503">
        <v>2012</v>
      </c>
      <c r="E503">
        <v>224.1</v>
      </c>
      <c r="F503">
        <v>1.2</v>
      </c>
      <c r="G503">
        <v>0.9</v>
      </c>
      <c r="H503">
        <v>0.3</v>
      </c>
      <c r="I503">
        <v>25</v>
      </c>
      <c r="J503">
        <v>16.899999999999999</v>
      </c>
      <c r="K503">
        <v>1577.7</v>
      </c>
      <c r="L503">
        <v>471</v>
      </c>
      <c r="M503">
        <v>454</v>
      </c>
      <c r="N503">
        <v>523</v>
      </c>
      <c r="O503">
        <v>69</v>
      </c>
      <c r="P503">
        <v>419</v>
      </c>
      <c r="Q503">
        <v>523</v>
      </c>
      <c r="R503">
        <v>104</v>
      </c>
      <c r="S503">
        <v>221.1</v>
      </c>
      <c r="T503">
        <v>426</v>
      </c>
      <c r="U503">
        <v>420</v>
      </c>
      <c r="V503">
        <v>500</v>
      </c>
      <c r="W503">
        <v>2.79</v>
      </c>
    </row>
    <row r="504" spans="1:23" x14ac:dyDescent="0.25">
      <c r="A504" t="s">
        <v>36</v>
      </c>
      <c r="B504">
        <v>6</v>
      </c>
      <c r="C504">
        <v>4</v>
      </c>
      <c r="D504">
        <v>1989</v>
      </c>
      <c r="E504">
        <v>61.2</v>
      </c>
      <c r="F504">
        <v>61.2</v>
      </c>
      <c r="G504">
        <v>46.2</v>
      </c>
      <c r="H504">
        <v>0</v>
      </c>
      <c r="I504">
        <v>0</v>
      </c>
      <c r="J504">
        <v>117.7</v>
      </c>
      <c r="K504">
        <v>117.7</v>
      </c>
      <c r="L504">
        <v>345</v>
      </c>
      <c r="M504">
        <v>345</v>
      </c>
      <c r="P504">
        <v>123</v>
      </c>
      <c r="Q504">
        <v>483</v>
      </c>
      <c r="R504">
        <v>360</v>
      </c>
      <c r="S504">
        <v>181.2</v>
      </c>
      <c r="T504">
        <v>379</v>
      </c>
      <c r="U504">
        <v>374</v>
      </c>
      <c r="V504">
        <v>500</v>
      </c>
      <c r="W504">
        <v>2.79</v>
      </c>
    </row>
    <row r="505" spans="1:23" x14ac:dyDescent="0.25">
      <c r="A505" t="s">
        <v>36</v>
      </c>
      <c r="B505">
        <v>6</v>
      </c>
      <c r="C505">
        <v>5</v>
      </c>
      <c r="D505">
        <v>1990</v>
      </c>
      <c r="E505">
        <v>77.400000000000006</v>
      </c>
      <c r="F505">
        <v>16.2</v>
      </c>
      <c r="G505">
        <v>16.2</v>
      </c>
      <c r="H505">
        <v>0</v>
      </c>
      <c r="I505">
        <v>0</v>
      </c>
      <c r="J505">
        <v>70.5</v>
      </c>
      <c r="K505">
        <v>188.2</v>
      </c>
      <c r="L505">
        <v>335</v>
      </c>
      <c r="M505">
        <v>335</v>
      </c>
      <c r="P505">
        <v>289</v>
      </c>
      <c r="Q505">
        <v>485</v>
      </c>
      <c r="R505">
        <v>196</v>
      </c>
      <c r="S505">
        <v>181.2</v>
      </c>
      <c r="T505">
        <v>379</v>
      </c>
      <c r="U505">
        <v>374</v>
      </c>
      <c r="V505">
        <v>500</v>
      </c>
      <c r="W505">
        <v>2.79</v>
      </c>
    </row>
    <row r="506" spans="1:23" x14ac:dyDescent="0.25">
      <c r="A506" t="s">
        <v>36</v>
      </c>
      <c r="B506">
        <v>6</v>
      </c>
      <c r="C506">
        <v>6</v>
      </c>
      <c r="D506">
        <v>1991</v>
      </c>
      <c r="E506">
        <v>90.6</v>
      </c>
      <c r="F506">
        <v>13.2</v>
      </c>
      <c r="G506">
        <v>12.9</v>
      </c>
      <c r="H506">
        <v>0.3</v>
      </c>
      <c r="I506">
        <v>2</v>
      </c>
      <c r="J506">
        <v>69.7</v>
      </c>
      <c r="K506">
        <v>257.89999999999998</v>
      </c>
      <c r="L506">
        <v>336</v>
      </c>
      <c r="M506">
        <v>332</v>
      </c>
      <c r="N506">
        <v>512</v>
      </c>
      <c r="O506">
        <v>180</v>
      </c>
      <c r="P506">
        <v>275</v>
      </c>
      <c r="Q506">
        <v>512</v>
      </c>
      <c r="R506">
        <v>237</v>
      </c>
      <c r="S506">
        <v>181.2</v>
      </c>
      <c r="T506">
        <v>379</v>
      </c>
      <c r="U506">
        <v>374</v>
      </c>
      <c r="V506">
        <v>500</v>
      </c>
      <c r="W506">
        <v>2.79</v>
      </c>
    </row>
    <row r="507" spans="1:23" x14ac:dyDescent="0.25">
      <c r="A507" t="s">
        <v>36</v>
      </c>
      <c r="B507">
        <v>6</v>
      </c>
      <c r="C507">
        <v>7</v>
      </c>
      <c r="D507">
        <v>1992</v>
      </c>
      <c r="E507">
        <v>102.6</v>
      </c>
      <c r="F507">
        <v>12</v>
      </c>
      <c r="G507">
        <v>12</v>
      </c>
      <c r="H507">
        <v>0</v>
      </c>
      <c r="I507">
        <v>0</v>
      </c>
      <c r="J507">
        <v>72.8</v>
      </c>
      <c r="K507">
        <v>330.7</v>
      </c>
      <c r="L507">
        <v>362</v>
      </c>
      <c r="M507">
        <v>362</v>
      </c>
      <c r="P507">
        <v>282</v>
      </c>
      <c r="Q507">
        <v>491</v>
      </c>
      <c r="R507">
        <v>209</v>
      </c>
      <c r="S507">
        <v>181.2</v>
      </c>
      <c r="T507">
        <v>379</v>
      </c>
      <c r="U507">
        <v>374</v>
      </c>
      <c r="V507">
        <v>500</v>
      </c>
      <c r="W507">
        <v>2.79</v>
      </c>
    </row>
    <row r="508" spans="1:23" x14ac:dyDescent="0.25">
      <c r="A508" t="s">
        <v>36</v>
      </c>
      <c r="B508">
        <v>6</v>
      </c>
      <c r="C508">
        <v>8</v>
      </c>
      <c r="D508">
        <v>1993</v>
      </c>
      <c r="E508">
        <v>114</v>
      </c>
      <c r="F508">
        <v>11.4</v>
      </c>
      <c r="G508">
        <v>11.1</v>
      </c>
      <c r="H508">
        <v>0.3</v>
      </c>
      <c r="I508">
        <v>2</v>
      </c>
      <c r="J508">
        <v>77.599999999999994</v>
      </c>
      <c r="K508">
        <v>408.3</v>
      </c>
      <c r="L508">
        <v>374</v>
      </c>
      <c r="M508">
        <v>371</v>
      </c>
      <c r="N508">
        <v>505</v>
      </c>
      <c r="O508">
        <v>134</v>
      </c>
      <c r="P508">
        <v>303</v>
      </c>
      <c r="Q508">
        <v>505</v>
      </c>
      <c r="R508">
        <v>202</v>
      </c>
      <c r="S508">
        <v>181.2</v>
      </c>
      <c r="T508">
        <v>379</v>
      </c>
      <c r="U508">
        <v>374</v>
      </c>
      <c r="V508">
        <v>500</v>
      </c>
      <c r="W508">
        <v>2.79</v>
      </c>
    </row>
    <row r="509" spans="1:23" x14ac:dyDescent="0.25">
      <c r="A509" t="s">
        <v>36</v>
      </c>
      <c r="B509">
        <v>6</v>
      </c>
      <c r="C509">
        <v>9</v>
      </c>
      <c r="D509">
        <v>1994</v>
      </c>
      <c r="E509">
        <v>125.4</v>
      </c>
      <c r="F509">
        <v>11.4</v>
      </c>
      <c r="G509">
        <v>11.4</v>
      </c>
      <c r="H509">
        <v>0</v>
      </c>
      <c r="I509">
        <v>0</v>
      </c>
      <c r="J509">
        <v>85.7</v>
      </c>
      <c r="K509">
        <v>494</v>
      </c>
      <c r="L509">
        <v>367</v>
      </c>
      <c r="M509">
        <v>367</v>
      </c>
      <c r="P509">
        <v>244</v>
      </c>
      <c r="Q509">
        <v>483</v>
      </c>
      <c r="R509">
        <v>239</v>
      </c>
      <c r="S509">
        <v>181.2</v>
      </c>
      <c r="T509">
        <v>379</v>
      </c>
      <c r="U509">
        <v>374</v>
      </c>
      <c r="V509">
        <v>500</v>
      </c>
      <c r="W509">
        <v>2.79</v>
      </c>
    </row>
    <row r="510" spans="1:23" x14ac:dyDescent="0.25">
      <c r="A510" t="s">
        <v>36</v>
      </c>
      <c r="B510">
        <v>6</v>
      </c>
      <c r="C510">
        <v>10</v>
      </c>
      <c r="D510">
        <v>1995</v>
      </c>
      <c r="E510">
        <v>130.5</v>
      </c>
      <c r="F510">
        <v>5.0999999999999996</v>
      </c>
      <c r="G510">
        <v>5.0999999999999996</v>
      </c>
      <c r="H510">
        <v>0</v>
      </c>
      <c r="I510">
        <v>0</v>
      </c>
      <c r="J510">
        <v>41</v>
      </c>
      <c r="K510">
        <v>535</v>
      </c>
      <c r="L510">
        <v>349</v>
      </c>
      <c r="M510">
        <v>349</v>
      </c>
      <c r="P510">
        <v>275</v>
      </c>
      <c r="Q510">
        <v>495</v>
      </c>
      <c r="R510">
        <v>220</v>
      </c>
      <c r="S510">
        <v>181.2</v>
      </c>
      <c r="T510">
        <v>379</v>
      </c>
      <c r="U510">
        <v>374</v>
      </c>
      <c r="V510">
        <v>500</v>
      </c>
      <c r="W510">
        <v>2.79</v>
      </c>
    </row>
    <row r="511" spans="1:23" x14ac:dyDescent="0.25">
      <c r="A511" t="s">
        <v>36</v>
      </c>
      <c r="B511">
        <v>6</v>
      </c>
      <c r="C511">
        <v>11</v>
      </c>
      <c r="D511">
        <v>1996</v>
      </c>
      <c r="E511">
        <v>136.80000000000001</v>
      </c>
      <c r="F511">
        <v>6.3</v>
      </c>
      <c r="G511">
        <v>5.0999999999999996</v>
      </c>
      <c r="H511">
        <v>1.2</v>
      </c>
      <c r="I511">
        <v>19</v>
      </c>
      <c r="J511">
        <v>52.9</v>
      </c>
      <c r="K511">
        <v>587.9</v>
      </c>
      <c r="L511">
        <v>376</v>
      </c>
      <c r="M511">
        <v>336</v>
      </c>
      <c r="N511">
        <v>544</v>
      </c>
      <c r="O511">
        <v>208</v>
      </c>
      <c r="P511">
        <v>287</v>
      </c>
      <c r="Q511">
        <v>571</v>
      </c>
      <c r="R511">
        <v>284</v>
      </c>
      <c r="S511">
        <v>181.2</v>
      </c>
      <c r="T511">
        <v>379</v>
      </c>
      <c r="U511">
        <v>374</v>
      </c>
      <c r="V511">
        <v>500</v>
      </c>
      <c r="W511">
        <v>2.79</v>
      </c>
    </row>
    <row r="512" spans="1:23" x14ac:dyDescent="0.25">
      <c r="A512" t="s">
        <v>36</v>
      </c>
      <c r="B512">
        <v>6</v>
      </c>
      <c r="C512">
        <v>12</v>
      </c>
      <c r="D512">
        <v>1997</v>
      </c>
      <c r="E512">
        <v>145.80000000000001</v>
      </c>
      <c r="F512">
        <v>9</v>
      </c>
      <c r="G512">
        <v>8.1</v>
      </c>
      <c r="H512">
        <v>0.9</v>
      </c>
      <c r="I512">
        <v>10</v>
      </c>
      <c r="J512">
        <v>79.900000000000006</v>
      </c>
      <c r="K512">
        <v>667.8</v>
      </c>
      <c r="L512">
        <v>381</v>
      </c>
      <c r="M512">
        <v>366</v>
      </c>
      <c r="N512">
        <v>521</v>
      </c>
      <c r="O512">
        <v>155</v>
      </c>
      <c r="P512">
        <v>320</v>
      </c>
      <c r="Q512">
        <v>527</v>
      </c>
      <c r="R512">
        <v>207</v>
      </c>
      <c r="S512">
        <v>181.2</v>
      </c>
      <c r="T512">
        <v>379</v>
      </c>
      <c r="U512">
        <v>374</v>
      </c>
      <c r="V512">
        <v>500</v>
      </c>
      <c r="W512">
        <v>2.79</v>
      </c>
    </row>
    <row r="513" spans="1:23" x14ac:dyDescent="0.25">
      <c r="A513" t="s">
        <v>36</v>
      </c>
      <c r="B513">
        <v>6</v>
      </c>
      <c r="C513">
        <v>13</v>
      </c>
      <c r="D513">
        <v>1998</v>
      </c>
      <c r="E513">
        <v>152.1</v>
      </c>
      <c r="F513">
        <v>6.3</v>
      </c>
      <c r="G513">
        <v>6</v>
      </c>
      <c r="H513">
        <v>0.3</v>
      </c>
      <c r="I513">
        <v>4</v>
      </c>
      <c r="J513">
        <v>59</v>
      </c>
      <c r="K513">
        <v>726.8</v>
      </c>
      <c r="L513">
        <v>382</v>
      </c>
      <c r="M513">
        <v>374</v>
      </c>
      <c r="N513">
        <v>535</v>
      </c>
      <c r="O513">
        <v>161</v>
      </c>
      <c r="P513">
        <v>286</v>
      </c>
      <c r="Q513">
        <v>535</v>
      </c>
      <c r="R513">
        <v>249</v>
      </c>
      <c r="S513">
        <v>181.2</v>
      </c>
      <c r="T513">
        <v>379</v>
      </c>
      <c r="U513">
        <v>374</v>
      </c>
      <c r="V513">
        <v>500</v>
      </c>
      <c r="W513">
        <v>2.79</v>
      </c>
    </row>
    <row r="514" spans="1:23" x14ac:dyDescent="0.25">
      <c r="A514" t="s">
        <v>36</v>
      </c>
      <c r="B514">
        <v>6</v>
      </c>
      <c r="C514">
        <v>14</v>
      </c>
      <c r="D514">
        <v>1999</v>
      </c>
      <c r="E514">
        <v>159</v>
      </c>
      <c r="F514">
        <v>6.9</v>
      </c>
      <c r="G514">
        <v>6.6</v>
      </c>
      <c r="H514">
        <v>0.3</v>
      </c>
      <c r="I514">
        <v>4</v>
      </c>
      <c r="J514">
        <v>67.400000000000006</v>
      </c>
      <c r="K514">
        <v>794.2</v>
      </c>
      <c r="L514">
        <v>403</v>
      </c>
      <c r="M514">
        <v>397</v>
      </c>
      <c r="N514">
        <v>529</v>
      </c>
      <c r="O514">
        <v>132</v>
      </c>
      <c r="P514">
        <v>326</v>
      </c>
      <c r="Q514">
        <v>529</v>
      </c>
      <c r="R514">
        <v>203</v>
      </c>
      <c r="S514">
        <v>181.2</v>
      </c>
      <c r="T514">
        <v>379</v>
      </c>
      <c r="U514">
        <v>374</v>
      </c>
      <c r="V514">
        <v>500</v>
      </c>
      <c r="W514">
        <v>2.79</v>
      </c>
    </row>
    <row r="515" spans="1:23" x14ac:dyDescent="0.25">
      <c r="A515" t="s">
        <v>36</v>
      </c>
      <c r="B515">
        <v>6</v>
      </c>
      <c r="C515">
        <v>15</v>
      </c>
      <c r="D515">
        <v>2000</v>
      </c>
      <c r="E515">
        <v>165.3</v>
      </c>
      <c r="F515">
        <v>6.3</v>
      </c>
      <c r="G515">
        <v>5.7</v>
      </c>
      <c r="H515">
        <v>0.6</v>
      </c>
      <c r="I515">
        <v>9</v>
      </c>
      <c r="J515">
        <v>64.2</v>
      </c>
      <c r="K515">
        <v>858.4</v>
      </c>
      <c r="L515">
        <v>384</v>
      </c>
      <c r="M515">
        <v>366</v>
      </c>
      <c r="N515">
        <v>553</v>
      </c>
      <c r="O515">
        <v>187</v>
      </c>
      <c r="P515">
        <v>279</v>
      </c>
      <c r="Q515">
        <v>572</v>
      </c>
      <c r="R515">
        <v>293</v>
      </c>
      <c r="S515">
        <v>181.2</v>
      </c>
      <c r="T515">
        <v>379</v>
      </c>
      <c r="U515">
        <v>374</v>
      </c>
      <c r="V515">
        <v>500</v>
      </c>
      <c r="W515">
        <v>2.79</v>
      </c>
    </row>
    <row r="516" spans="1:23" x14ac:dyDescent="0.25">
      <c r="A516" t="s">
        <v>36</v>
      </c>
      <c r="B516">
        <v>6</v>
      </c>
      <c r="C516">
        <v>16</v>
      </c>
      <c r="D516">
        <v>2001</v>
      </c>
      <c r="E516">
        <v>170.1</v>
      </c>
      <c r="F516">
        <v>4.8</v>
      </c>
      <c r="G516">
        <v>4.5</v>
      </c>
      <c r="H516">
        <v>0.3</v>
      </c>
      <c r="I516">
        <v>6</v>
      </c>
      <c r="J516">
        <v>50.6</v>
      </c>
      <c r="K516">
        <v>909</v>
      </c>
      <c r="L516">
        <v>403</v>
      </c>
      <c r="M516">
        <v>394</v>
      </c>
      <c r="N516">
        <v>538</v>
      </c>
      <c r="O516">
        <v>144</v>
      </c>
      <c r="P516">
        <v>351</v>
      </c>
      <c r="Q516">
        <v>538</v>
      </c>
      <c r="R516">
        <v>187</v>
      </c>
      <c r="S516">
        <v>181.2</v>
      </c>
      <c r="T516">
        <v>379</v>
      </c>
      <c r="U516">
        <v>374</v>
      </c>
      <c r="V516">
        <v>500</v>
      </c>
      <c r="W516">
        <v>2.79</v>
      </c>
    </row>
    <row r="517" spans="1:23" x14ac:dyDescent="0.25">
      <c r="A517" t="s">
        <v>36</v>
      </c>
      <c r="B517">
        <v>6</v>
      </c>
      <c r="C517">
        <v>17</v>
      </c>
      <c r="D517">
        <v>2002</v>
      </c>
      <c r="E517">
        <v>175.2</v>
      </c>
      <c r="F517">
        <v>5.0999999999999996</v>
      </c>
      <c r="G517">
        <v>3.3</v>
      </c>
      <c r="H517">
        <v>1.8</v>
      </c>
      <c r="I517">
        <v>35</v>
      </c>
      <c r="J517">
        <v>55.3</v>
      </c>
      <c r="K517">
        <v>964.3</v>
      </c>
      <c r="L517">
        <v>431</v>
      </c>
      <c r="M517">
        <v>376</v>
      </c>
      <c r="N517">
        <v>533</v>
      </c>
      <c r="O517">
        <v>157</v>
      </c>
      <c r="P517">
        <v>331</v>
      </c>
      <c r="Q517">
        <v>579</v>
      </c>
      <c r="R517">
        <v>248</v>
      </c>
      <c r="S517">
        <v>181.2</v>
      </c>
      <c r="T517">
        <v>379</v>
      </c>
      <c r="U517">
        <v>374</v>
      </c>
      <c r="V517">
        <v>500</v>
      </c>
      <c r="W517">
        <v>2.79</v>
      </c>
    </row>
    <row r="518" spans="1:23" x14ac:dyDescent="0.25">
      <c r="A518" t="s">
        <v>36</v>
      </c>
      <c r="B518">
        <v>6</v>
      </c>
      <c r="C518">
        <v>18</v>
      </c>
      <c r="D518">
        <v>2003</v>
      </c>
      <c r="E518">
        <v>179.1</v>
      </c>
      <c r="F518">
        <v>3.9</v>
      </c>
      <c r="G518">
        <v>3.9</v>
      </c>
      <c r="H518">
        <v>0</v>
      </c>
      <c r="I518">
        <v>0</v>
      </c>
      <c r="J518">
        <v>43.4</v>
      </c>
      <c r="K518">
        <v>1007.7</v>
      </c>
      <c r="L518">
        <v>401</v>
      </c>
      <c r="M518">
        <v>401</v>
      </c>
      <c r="P518">
        <v>355</v>
      </c>
      <c r="Q518">
        <v>493</v>
      </c>
      <c r="R518">
        <v>138</v>
      </c>
      <c r="S518">
        <v>181.2</v>
      </c>
      <c r="T518">
        <v>379</v>
      </c>
      <c r="U518">
        <v>374</v>
      </c>
      <c r="V518">
        <v>500</v>
      </c>
      <c r="W518">
        <v>2.79</v>
      </c>
    </row>
    <row r="519" spans="1:23" x14ac:dyDescent="0.25">
      <c r="A519" t="s">
        <v>36</v>
      </c>
      <c r="B519">
        <v>6</v>
      </c>
      <c r="C519">
        <v>19</v>
      </c>
      <c r="D519">
        <v>2004</v>
      </c>
      <c r="E519">
        <v>181.8</v>
      </c>
      <c r="F519">
        <v>2.7</v>
      </c>
      <c r="G519">
        <v>2.7</v>
      </c>
      <c r="H519">
        <v>0</v>
      </c>
      <c r="I519">
        <v>0</v>
      </c>
      <c r="J519">
        <v>30.6</v>
      </c>
      <c r="K519">
        <v>1038.3</v>
      </c>
      <c r="L519">
        <v>382</v>
      </c>
      <c r="M519">
        <v>382</v>
      </c>
      <c r="P519">
        <v>319</v>
      </c>
      <c r="Q519">
        <v>492</v>
      </c>
      <c r="R519">
        <v>173</v>
      </c>
      <c r="S519">
        <v>181.2</v>
      </c>
      <c r="T519">
        <v>379</v>
      </c>
      <c r="U519">
        <v>374</v>
      </c>
      <c r="V519">
        <v>500</v>
      </c>
      <c r="W519">
        <v>2.79</v>
      </c>
    </row>
    <row r="520" spans="1:23" x14ac:dyDescent="0.25">
      <c r="A520" t="s">
        <v>36</v>
      </c>
      <c r="B520">
        <v>6</v>
      </c>
      <c r="C520">
        <v>20</v>
      </c>
      <c r="D520">
        <v>2005</v>
      </c>
      <c r="E520">
        <v>185.1</v>
      </c>
      <c r="F520">
        <v>3.3</v>
      </c>
      <c r="G520">
        <v>3.3</v>
      </c>
      <c r="H520">
        <v>0</v>
      </c>
      <c r="I520">
        <v>0</v>
      </c>
      <c r="J520">
        <v>38</v>
      </c>
      <c r="K520">
        <v>1076.4000000000001</v>
      </c>
      <c r="L520">
        <v>362</v>
      </c>
      <c r="M520">
        <v>362</v>
      </c>
      <c r="P520">
        <v>294</v>
      </c>
      <c r="Q520">
        <v>458</v>
      </c>
      <c r="R520">
        <v>164</v>
      </c>
      <c r="S520">
        <v>181.2</v>
      </c>
      <c r="T520">
        <v>379</v>
      </c>
      <c r="U520">
        <v>374</v>
      </c>
      <c r="V520">
        <v>500</v>
      </c>
      <c r="W520">
        <v>2.79</v>
      </c>
    </row>
    <row r="521" spans="1:23" x14ac:dyDescent="0.25">
      <c r="A521" t="s">
        <v>36</v>
      </c>
      <c r="B521">
        <v>6</v>
      </c>
      <c r="C521">
        <v>21</v>
      </c>
      <c r="D521">
        <v>2006</v>
      </c>
      <c r="E521">
        <v>186.9</v>
      </c>
      <c r="F521">
        <v>1.8</v>
      </c>
      <c r="G521">
        <v>1.8</v>
      </c>
      <c r="H521">
        <v>0</v>
      </c>
      <c r="I521">
        <v>0</v>
      </c>
      <c r="J521">
        <v>21</v>
      </c>
      <c r="K521">
        <v>1097.4000000000001</v>
      </c>
      <c r="L521">
        <v>387</v>
      </c>
      <c r="M521">
        <v>387</v>
      </c>
      <c r="P521">
        <v>361</v>
      </c>
      <c r="Q521">
        <v>451</v>
      </c>
      <c r="R521">
        <v>90</v>
      </c>
      <c r="S521">
        <v>181.2</v>
      </c>
      <c r="T521">
        <v>379</v>
      </c>
      <c r="U521">
        <v>374</v>
      </c>
      <c r="V521">
        <v>500</v>
      </c>
      <c r="W521">
        <v>2.79</v>
      </c>
    </row>
    <row r="522" spans="1:23" x14ac:dyDescent="0.25">
      <c r="A522" t="s">
        <v>36</v>
      </c>
      <c r="B522">
        <v>6</v>
      </c>
      <c r="C522">
        <v>22</v>
      </c>
      <c r="D522">
        <v>2007</v>
      </c>
      <c r="E522">
        <v>187.8</v>
      </c>
      <c r="F522">
        <v>0.9</v>
      </c>
      <c r="G522">
        <v>0.9</v>
      </c>
      <c r="H522">
        <v>0</v>
      </c>
      <c r="I522">
        <v>0</v>
      </c>
      <c r="J522">
        <v>10.6</v>
      </c>
      <c r="K522">
        <v>1108</v>
      </c>
      <c r="L522">
        <v>413</v>
      </c>
      <c r="M522">
        <v>413</v>
      </c>
      <c r="P522">
        <v>335</v>
      </c>
      <c r="Q522">
        <v>480</v>
      </c>
      <c r="R522">
        <v>145</v>
      </c>
      <c r="S522">
        <v>181.2</v>
      </c>
      <c r="T522">
        <v>379</v>
      </c>
      <c r="U522">
        <v>374</v>
      </c>
      <c r="V522">
        <v>500</v>
      </c>
      <c r="W522">
        <v>2.79</v>
      </c>
    </row>
    <row r="523" spans="1:23" x14ac:dyDescent="0.25">
      <c r="A523" t="s">
        <v>36</v>
      </c>
      <c r="B523">
        <v>6</v>
      </c>
      <c r="C523">
        <v>23</v>
      </c>
      <c r="D523">
        <v>2008</v>
      </c>
      <c r="E523">
        <v>189</v>
      </c>
      <c r="F523">
        <v>1.2</v>
      </c>
      <c r="G523">
        <v>1.2</v>
      </c>
      <c r="H523">
        <v>0</v>
      </c>
      <c r="I523">
        <v>0</v>
      </c>
      <c r="J523">
        <v>14.2</v>
      </c>
      <c r="K523">
        <v>1122.2</v>
      </c>
      <c r="L523">
        <v>376</v>
      </c>
      <c r="M523">
        <v>376</v>
      </c>
      <c r="P523">
        <v>322</v>
      </c>
      <c r="Q523">
        <v>463</v>
      </c>
      <c r="R523">
        <v>141</v>
      </c>
      <c r="S523">
        <v>181.2</v>
      </c>
      <c r="T523">
        <v>379</v>
      </c>
      <c r="U523">
        <v>374</v>
      </c>
      <c r="V523">
        <v>500</v>
      </c>
      <c r="W523">
        <v>2.79</v>
      </c>
    </row>
    <row r="524" spans="1:23" x14ac:dyDescent="0.25">
      <c r="A524" t="s">
        <v>36</v>
      </c>
      <c r="B524">
        <v>6</v>
      </c>
      <c r="C524">
        <v>24</v>
      </c>
      <c r="D524">
        <v>2009</v>
      </c>
      <c r="E524">
        <v>190.8</v>
      </c>
      <c r="F524">
        <v>1.8</v>
      </c>
      <c r="G524">
        <v>1.8</v>
      </c>
      <c r="H524">
        <v>0</v>
      </c>
      <c r="I524">
        <v>0</v>
      </c>
      <c r="J524">
        <v>21.5</v>
      </c>
      <c r="K524">
        <v>1143.7</v>
      </c>
      <c r="L524">
        <v>407</v>
      </c>
      <c r="M524">
        <v>407</v>
      </c>
      <c r="P524">
        <v>358</v>
      </c>
      <c r="Q524">
        <v>486</v>
      </c>
      <c r="R524">
        <v>128</v>
      </c>
      <c r="S524">
        <v>181.2</v>
      </c>
      <c r="T524">
        <v>379</v>
      </c>
      <c r="U524">
        <v>374</v>
      </c>
      <c r="V524">
        <v>500</v>
      </c>
      <c r="W524">
        <v>2.79</v>
      </c>
    </row>
    <row r="525" spans="1:23" x14ac:dyDescent="0.25">
      <c r="A525" t="s">
        <v>36</v>
      </c>
      <c r="B525">
        <v>6</v>
      </c>
      <c r="C525">
        <v>25</v>
      </c>
      <c r="D525">
        <v>2010</v>
      </c>
      <c r="E525">
        <v>193.2</v>
      </c>
      <c r="F525">
        <v>2.4</v>
      </c>
      <c r="G525">
        <v>2.1</v>
      </c>
      <c r="H525">
        <v>0.3</v>
      </c>
      <c r="I525">
        <v>12</v>
      </c>
      <c r="J525">
        <v>29</v>
      </c>
      <c r="K525">
        <v>1172.5999999999999</v>
      </c>
      <c r="L525">
        <v>401</v>
      </c>
      <c r="M525">
        <v>384</v>
      </c>
      <c r="N525">
        <v>517</v>
      </c>
      <c r="O525">
        <v>133</v>
      </c>
      <c r="P525">
        <v>371</v>
      </c>
      <c r="Q525">
        <v>517</v>
      </c>
      <c r="R525">
        <v>146</v>
      </c>
      <c r="S525">
        <v>181.2</v>
      </c>
      <c r="T525">
        <v>379</v>
      </c>
      <c r="U525">
        <v>374</v>
      </c>
      <c r="V525">
        <v>500</v>
      </c>
      <c r="W525">
        <v>2.79</v>
      </c>
    </row>
    <row r="526" spans="1:23" x14ac:dyDescent="0.25">
      <c r="A526" t="s">
        <v>36</v>
      </c>
      <c r="B526">
        <v>6</v>
      </c>
      <c r="C526">
        <v>26</v>
      </c>
      <c r="D526">
        <v>2011</v>
      </c>
      <c r="E526">
        <v>195</v>
      </c>
      <c r="F526">
        <v>1.8</v>
      </c>
      <c r="G526">
        <v>1.5</v>
      </c>
      <c r="H526">
        <v>0.3</v>
      </c>
      <c r="I526">
        <v>16</v>
      </c>
      <c r="J526">
        <v>22</v>
      </c>
      <c r="K526">
        <v>1194.5999999999999</v>
      </c>
      <c r="L526">
        <v>398</v>
      </c>
      <c r="M526">
        <v>367</v>
      </c>
      <c r="N526">
        <v>552</v>
      </c>
      <c r="O526">
        <v>185</v>
      </c>
      <c r="P526">
        <v>326</v>
      </c>
      <c r="Q526">
        <v>552</v>
      </c>
      <c r="R526">
        <v>226</v>
      </c>
      <c r="S526">
        <v>181.2</v>
      </c>
      <c r="T526">
        <v>379</v>
      </c>
      <c r="U526">
        <v>374</v>
      </c>
      <c r="V526">
        <v>500</v>
      </c>
      <c r="W526">
        <v>2.79</v>
      </c>
    </row>
    <row r="527" spans="1:23" x14ac:dyDescent="0.25">
      <c r="A527" t="s">
        <v>36</v>
      </c>
      <c r="B527">
        <v>6</v>
      </c>
      <c r="C527">
        <v>27</v>
      </c>
      <c r="D527">
        <v>2012</v>
      </c>
      <c r="E527">
        <v>196.2</v>
      </c>
      <c r="F527">
        <v>1.2</v>
      </c>
      <c r="G527">
        <v>1.2</v>
      </c>
      <c r="H527">
        <v>0</v>
      </c>
      <c r="I527">
        <v>0</v>
      </c>
      <c r="J527">
        <v>14.7</v>
      </c>
      <c r="K527">
        <v>1209.3</v>
      </c>
      <c r="L527">
        <v>362</v>
      </c>
      <c r="M527">
        <v>362</v>
      </c>
      <c r="P527">
        <v>314</v>
      </c>
      <c r="Q527">
        <v>420</v>
      </c>
      <c r="R527">
        <v>106</v>
      </c>
      <c r="S527">
        <v>181.2</v>
      </c>
      <c r="T527">
        <v>379</v>
      </c>
      <c r="U527">
        <v>374</v>
      </c>
      <c r="V527">
        <v>500</v>
      </c>
      <c r="W527">
        <v>2.79</v>
      </c>
    </row>
    <row r="528" spans="1:23" x14ac:dyDescent="0.25">
      <c r="A528" t="s">
        <v>36</v>
      </c>
      <c r="B528">
        <v>7</v>
      </c>
      <c r="C528">
        <v>4</v>
      </c>
      <c r="D528">
        <v>1989</v>
      </c>
      <c r="E528">
        <v>15.8</v>
      </c>
      <c r="F528">
        <v>15.8</v>
      </c>
      <c r="G528">
        <v>7.5</v>
      </c>
      <c r="H528">
        <v>0.3</v>
      </c>
      <c r="I528">
        <v>1</v>
      </c>
      <c r="J528">
        <v>7.8</v>
      </c>
      <c r="K528">
        <v>7.8</v>
      </c>
      <c r="L528">
        <v>319</v>
      </c>
      <c r="M528">
        <v>311</v>
      </c>
      <c r="N528">
        <v>514</v>
      </c>
      <c r="O528">
        <v>203</v>
      </c>
      <c r="P528">
        <v>170</v>
      </c>
      <c r="Q528">
        <v>514</v>
      </c>
      <c r="R528">
        <v>344</v>
      </c>
      <c r="S528">
        <v>278.39999999999998</v>
      </c>
      <c r="T528">
        <v>367</v>
      </c>
      <c r="U528">
        <v>372</v>
      </c>
      <c r="V528">
        <v>500</v>
      </c>
      <c r="W528">
        <v>2.79</v>
      </c>
    </row>
    <row r="529" spans="1:23" x14ac:dyDescent="0.25">
      <c r="A529" t="s">
        <v>36</v>
      </c>
      <c r="B529">
        <v>7</v>
      </c>
      <c r="C529">
        <v>5</v>
      </c>
      <c r="D529">
        <v>1990</v>
      </c>
      <c r="E529">
        <v>28.7</v>
      </c>
      <c r="F529">
        <v>12.9</v>
      </c>
      <c r="G529">
        <v>12.3</v>
      </c>
      <c r="H529">
        <v>0.6</v>
      </c>
      <c r="I529">
        <v>4</v>
      </c>
      <c r="J529">
        <v>18</v>
      </c>
      <c r="K529">
        <v>25.9</v>
      </c>
      <c r="L529">
        <v>343</v>
      </c>
      <c r="M529">
        <v>334</v>
      </c>
      <c r="N529">
        <v>538</v>
      </c>
      <c r="O529">
        <v>204</v>
      </c>
      <c r="P529">
        <v>280</v>
      </c>
      <c r="Q529">
        <v>565</v>
      </c>
      <c r="R529">
        <v>285</v>
      </c>
      <c r="S529">
        <v>278.39999999999998</v>
      </c>
      <c r="T529">
        <v>367</v>
      </c>
      <c r="U529">
        <v>372</v>
      </c>
      <c r="V529">
        <v>500</v>
      </c>
      <c r="W529">
        <v>2.79</v>
      </c>
    </row>
    <row r="530" spans="1:23" x14ac:dyDescent="0.25">
      <c r="A530" t="s">
        <v>36</v>
      </c>
      <c r="B530">
        <v>7</v>
      </c>
      <c r="C530">
        <v>6</v>
      </c>
      <c r="D530">
        <v>1991</v>
      </c>
      <c r="E530">
        <v>43.4</v>
      </c>
      <c r="F530">
        <v>14.7</v>
      </c>
      <c r="G530">
        <v>13.8</v>
      </c>
      <c r="H530">
        <v>0.9</v>
      </c>
      <c r="I530">
        <v>6</v>
      </c>
      <c r="J530">
        <v>33.299999999999997</v>
      </c>
      <c r="K530">
        <v>59.2</v>
      </c>
      <c r="L530">
        <v>333</v>
      </c>
      <c r="M530">
        <v>320</v>
      </c>
      <c r="N530">
        <v>535</v>
      </c>
      <c r="O530">
        <v>215</v>
      </c>
      <c r="P530">
        <v>251</v>
      </c>
      <c r="Q530">
        <v>542</v>
      </c>
      <c r="R530">
        <v>291</v>
      </c>
      <c r="S530">
        <v>278.39999999999998</v>
      </c>
      <c r="T530">
        <v>367</v>
      </c>
      <c r="U530">
        <v>372</v>
      </c>
      <c r="V530">
        <v>500</v>
      </c>
      <c r="W530">
        <v>2.79</v>
      </c>
    </row>
    <row r="531" spans="1:23" x14ac:dyDescent="0.25">
      <c r="A531" t="s">
        <v>36</v>
      </c>
      <c r="B531">
        <v>7</v>
      </c>
      <c r="C531">
        <v>7</v>
      </c>
      <c r="D531">
        <v>1992</v>
      </c>
      <c r="E531">
        <v>60.5</v>
      </c>
      <c r="F531">
        <v>17.100000000000001</v>
      </c>
      <c r="G531">
        <v>15.9</v>
      </c>
      <c r="H531">
        <v>1.2</v>
      </c>
      <c r="I531">
        <v>7</v>
      </c>
      <c r="J531">
        <v>55.8</v>
      </c>
      <c r="K531">
        <v>115</v>
      </c>
      <c r="L531">
        <v>339</v>
      </c>
      <c r="M531">
        <v>325</v>
      </c>
      <c r="N531">
        <v>523</v>
      </c>
      <c r="O531">
        <v>198</v>
      </c>
      <c r="P531">
        <v>266</v>
      </c>
      <c r="Q531">
        <v>531</v>
      </c>
      <c r="R531">
        <v>265</v>
      </c>
      <c r="S531">
        <v>278.39999999999998</v>
      </c>
      <c r="T531">
        <v>367</v>
      </c>
      <c r="U531">
        <v>372</v>
      </c>
      <c r="V531">
        <v>500</v>
      </c>
      <c r="W531">
        <v>2.79</v>
      </c>
    </row>
    <row r="532" spans="1:23" x14ac:dyDescent="0.25">
      <c r="A532" t="s">
        <v>36</v>
      </c>
      <c r="B532">
        <v>7</v>
      </c>
      <c r="C532">
        <v>8</v>
      </c>
      <c r="D532">
        <v>1993</v>
      </c>
      <c r="E532">
        <v>75.5</v>
      </c>
      <c r="F532">
        <v>15</v>
      </c>
      <c r="G532">
        <v>15</v>
      </c>
      <c r="H532">
        <v>0</v>
      </c>
      <c r="I532">
        <v>0</v>
      </c>
      <c r="J532">
        <v>64.099999999999994</v>
      </c>
      <c r="K532">
        <v>179.1</v>
      </c>
      <c r="L532">
        <v>376</v>
      </c>
      <c r="M532">
        <v>376</v>
      </c>
      <c r="P532">
        <v>293</v>
      </c>
      <c r="Q532">
        <v>498</v>
      </c>
      <c r="R532">
        <v>205</v>
      </c>
      <c r="S532">
        <v>278.39999999999998</v>
      </c>
      <c r="T532">
        <v>367</v>
      </c>
      <c r="U532">
        <v>372</v>
      </c>
      <c r="V532">
        <v>500</v>
      </c>
      <c r="W532">
        <v>2.79</v>
      </c>
    </row>
    <row r="533" spans="1:23" x14ac:dyDescent="0.25">
      <c r="A533" t="s">
        <v>36</v>
      </c>
      <c r="B533">
        <v>7</v>
      </c>
      <c r="C533">
        <v>9</v>
      </c>
      <c r="D533">
        <v>1994</v>
      </c>
      <c r="E533">
        <v>94.4</v>
      </c>
      <c r="F533">
        <v>18.899999999999999</v>
      </c>
      <c r="G533">
        <v>18</v>
      </c>
      <c r="H533">
        <v>0.9</v>
      </c>
      <c r="I533">
        <v>4</v>
      </c>
      <c r="J533">
        <v>100.9</v>
      </c>
      <c r="K533">
        <v>280</v>
      </c>
      <c r="L533">
        <v>360</v>
      </c>
      <c r="M533">
        <v>352</v>
      </c>
      <c r="N533">
        <v>521</v>
      </c>
      <c r="O533">
        <v>169</v>
      </c>
      <c r="P533">
        <v>247</v>
      </c>
      <c r="Q533">
        <v>535</v>
      </c>
      <c r="R533">
        <v>288</v>
      </c>
      <c r="S533">
        <v>278.39999999999998</v>
      </c>
      <c r="T533">
        <v>367</v>
      </c>
      <c r="U533">
        <v>372</v>
      </c>
      <c r="V533">
        <v>500</v>
      </c>
      <c r="W533">
        <v>2.79</v>
      </c>
    </row>
    <row r="534" spans="1:23" x14ac:dyDescent="0.25">
      <c r="A534" t="s">
        <v>36</v>
      </c>
      <c r="B534">
        <v>7</v>
      </c>
      <c r="C534">
        <v>10</v>
      </c>
      <c r="D534">
        <v>1995</v>
      </c>
      <c r="E534">
        <v>110.9</v>
      </c>
      <c r="F534">
        <v>16.5</v>
      </c>
      <c r="G534">
        <v>15.9</v>
      </c>
      <c r="H534">
        <v>0.6</v>
      </c>
      <c r="I534">
        <v>3</v>
      </c>
      <c r="J534">
        <v>106.4</v>
      </c>
      <c r="K534">
        <v>386.4</v>
      </c>
      <c r="L534">
        <v>364</v>
      </c>
      <c r="M534">
        <v>358</v>
      </c>
      <c r="N534">
        <v>528</v>
      </c>
      <c r="O534">
        <v>170</v>
      </c>
      <c r="P534">
        <v>281</v>
      </c>
      <c r="Q534">
        <v>538</v>
      </c>
      <c r="R534">
        <v>257</v>
      </c>
      <c r="S534">
        <v>278.39999999999998</v>
      </c>
      <c r="T534">
        <v>367</v>
      </c>
      <c r="U534">
        <v>372</v>
      </c>
      <c r="V534">
        <v>500</v>
      </c>
      <c r="W534">
        <v>2.79</v>
      </c>
    </row>
    <row r="535" spans="1:23" x14ac:dyDescent="0.25">
      <c r="A535" t="s">
        <v>36</v>
      </c>
      <c r="B535">
        <v>7</v>
      </c>
      <c r="C535">
        <v>11</v>
      </c>
      <c r="D535">
        <v>1996</v>
      </c>
      <c r="E535">
        <v>128.9</v>
      </c>
      <c r="F535">
        <v>18</v>
      </c>
      <c r="G535">
        <v>16.8</v>
      </c>
      <c r="H535">
        <v>1.2</v>
      </c>
      <c r="I535">
        <v>6</v>
      </c>
      <c r="J535">
        <v>135.6</v>
      </c>
      <c r="K535">
        <v>522</v>
      </c>
      <c r="L535">
        <v>354</v>
      </c>
      <c r="M535">
        <v>341</v>
      </c>
      <c r="N535">
        <v>539</v>
      </c>
      <c r="O535">
        <v>198</v>
      </c>
      <c r="P535">
        <v>271</v>
      </c>
      <c r="Q535">
        <v>571</v>
      </c>
      <c r="R535">
        <v>300</v>
      </c>
      <c r="S535">
        <v>278.39999999999998</v>
      </c>
      <c r="T535">
        <v>367</v>
      </c>
      <c r="U535">
        <v>372</v>
      </c>
      <c r="V535">
        <v>500</v>
      </c>
      <c r="W535">
        <v>2.79</v>
      </c>
    </row>
    <row r="536" spans="1:23" x14ac:dyDescent="0.25">
      <c r="A536" t="s">
        <v>36</v>
      </c>
      <c r="B536">
        <v>7</v>
      </c>
      <c r="C536">
        <v>12</v>
      </c>
      <c r="D536">
        <v>1997</v>
      </c>
      <c r="E536">
        <v>145.1</v>
      </c>
      <c r="F536">
        <v>16.2</v>
      </c>
      <c r="G536">
        <v>15.3</v>
      </c>
      <c r="H536">
        <v>0.9</v>
      </c>
      <c r="I536">
        <v>5</v>
      </c>
      <c r="J536">
        <v>139.4</v>
      </c>
      <c r="K536">
        <v>661.4</v>
      </c>
      <c r="L536">
        <v>358</v>
      </c>
      <c r="M536">
        <v>348</v>
      </c>
      <c r="N536">
        <v>530</v>
      </c>
      <c r="O536">
        <v>182</v>
      </c>
      <c r="P536">
        <v>271</v>
      </c>
      <c r="Q536">
        <v>533</v>
      </c>
      <c r="R536">
        <v>262</v>
      </c>
      <c r="S536">
        <v>278.39999999999998</v>
      </c>
      <c r="T536">
        <v>367</v>
      </c>
      <c r="U536">
        <v>372</v>
      </c>
      <c r="V536">
        <v>500</v>
      </c>
      <c r="W536">
        <v>2.79</v>
      </c>
    </row>
    <row r="537" spans="1:23" x14ac:dyDescent="0.25">
      <c r="A537" t="s">
        <v>36</v>
      </c>
      <c r="B537">
        <v>7</v>
      </c>
      <c r="C537">
        <v>13</v>
      </c>
      <c r="D537">
        <v>1998</v>
      </c>
      <c r="E537">
        <v>156.19999999999999</v>
      </c>
      <c r="F537">
        <v>11.1</v>
      </c>
      <c r="G537">
        <v>9.9</v>
      </c>
      <c r="H537">
        <v>1.2</v>
      </c>
      <c r="I537">
        <v>10</v>
      </c>
      <c r="J537">
        <v>105.1</v>
      </c>
      <c r="K537">
        <v>766.5</v>
      </c>
      <c r="L537">
        <v>375</v>
      </c>
      <c r="M537">
        <v>358</v>
      </c>
      <c r="N537">
        <v>515</v>
      </c>
      <c r="O537">
        <v>157</v>
      </c>
      <c r="P537">
        <v>284</v>
      </c>
      <c r="Q537">
        <v>533</v>
      </c>
      <c r="R537">
        <v>249</v>
      </c>
      <c r="S537">
        <v>278.39999999999998</v>
      </c>
      <c r="T537">
        <v>367</v>
      </c>
      <c r="U537">
        <v>372</v>
      </c>
      <c r="V537">
        <v>500</v>
      </c>
      <c r="W537">
        <v>2.79</v>
      </c>
    </row>
    <row r="538" spans="1:23" x14ac:dyDescent="0.25">
      <c r="A538" t="s">
        <v>36</v>
      </c>
      <c r="B538">
        <v>7</v>
      </c>
      <c r="C538">
        <v>14</v>
      </c>
      <c r="D538">
        <v>1999</v>
      </c>
      <c r="E538">
        <v>173.6</v>
      </c>
      <c r="F538">
        <v>17.399999999999999</v>
      </c>
      <c r="G538">
        <v>17.100000000000001</v>
      </c>
      <c r="H538">
        <v>0.3</v>
      </c>
      <c r="I538">
        <v>1</v>
      </c>
      <c r="J538">
        <v>180.3</v>
      </c>
      <c r="K538">
        <v>946.8</v>
      </c>
      <c r="L538">
        <v>339</v>
      </c>
      <c r="M538">
        <v>336</v>
      </c>
      <c r="N538">
        <v>511</v>
      </c>
      <c r="O538">
        <v>175</v>
      </c>
      <c r="P538">
        <v>274</v>
      </c>
      <c r="Q538">
        <v>511</v>
      </c>
      <c r="R538">
        <v>237</v>
      </c>
      <c r="S538">
        <v>278.39999999999998</v>
      </c>
      <c r="T538">
        <v>367</v>
      </c>
      <c r="U538">
        <v>372</v>
      </c>
      <c r="V538">
        <v>500</v>
      </c>
      <c r="W538">
        <v>2.79</v>
      </c>
    </row>
    <row r="539" spans="1:23" x14ac:dyDescent="0.25">
      <c r="A539" t="s">
        <v>36</v>
      </c>
      <c r="B539">
        <v>7</v>
      </c>
      <c r="C539">
        <v>15</v>
      </c>
      <c r="D539">
        <v>2000</v>
      </c>
      <c r="E539">
        <v>188.3</v>
      </c>
      <c r="F539">
        <v>14.7</v>
      </c>
      <c r="G539">
        <v>13.5</v>
      </c>
      <c r="H539">
        <v>1.2</v>
      </c>
      <c r="I539">
        <v>8</v>
      </c>
      <c r="J539">
        <v>167.1</v>
      </c>
      <c r="K539">
        <v>1113.9000000000001</v>
      </c>
      <c r="L539">
        <v>365</v>
      </c>
      <c r="M539">
        <v>351</v>
      </c>
      <c r="N539">
        <v>522</v>
      </c>
      <c r="O539">
        <v>171</v>
      </c>
      <c r="P539">
        <v>288</v>
      </c>
      <c r="Q539">
        <v>535</v>
      </c>
      <c r="R539">
        <v>247</v>
      </c>
      <c r="S539">
        <v>278.39999999999998</v>
      </c>
      <c r="T539">
        <v>367</v>
      </c>
      <c r="U539">
        <v>372</v>
      </c>
      <c r="V539">
        <v>500</v>
      </c>
      <c r="W539">
        <v>2.79</v>
      </c>
    </row>
    <row r="540" spans="1:23" x14ac:dyDescent="0.25">
      <c r="A540" t="s">
        <v>36</v>
      </c>
      <c r="B540">
        <v>7</v>
      </c>
      <c r="C540">
        <v>16</v>
      </c>
      <c r="D540">
        <v>2001</v>
      </c>
      <c r="E540">
        <v>204.2</v>
      </c>
      <c r="F540">
        <v>15.9</v>
      </c>
      <c r="G540">
        <v>14.1</v>
      </c>
      <c r="H540">
        <v>1.8</v>
      </c>
      <c r="I540">
        <v>11</v>
      </c>
      <c r="J540">
        <v>196.1</v>
      </c>
      <c r="K540">
        <v>1310</v>
      </c>
      <c r="L540">
        <v>378</v>
      </c>
      <c r="M540">
        <v>359</v>
      </c>
      <c r="N540">
        <v>524</v>
      </c>
      <c r="O540">
        <v>165</v>
      </c>
      <c r="P540">
        <v>310</v>
      </c>
      <c r="Q540">
        <v>559</v>
      </c>
      <c r="R540">
        <v>249</v>
      </c>
      <c r="S540">
        <v>278.39999999999998</v>
      </c>
      <c r="T540">
        <v>367</v>
      </c>
      <c r="U540">
        <v>372</v>
      </c>
      <c r="V540">
        <v>500</v>
      </c>
      <c r="W540">
        <v>2.79</v>
      </c>
    </row>
    <row r="541" spans="1:23" x14ac:dyDescent="0.25">
      <c r="A541" t="s">
        <v>36</v>
      </c>
      <c r="B541">
        <v>7</v>
      </c>
      <c r="C541">
        <v>17</v>
      </c>
      <c r="D541">
        <v>2002</v>
      </c>
      <c r="E541">
        <v>217.7</v>
      </c>
      <c r="F541">
        <v>13.5</v>
      </c>
      <c r="G541">
        <v>10.8</v>
      </c>
      <c r="H541">
        <v>2.7</v>
      </c>
      <c r="I541">
        <v>20</v>
      </c>
      <c r="J541">
        <v>178.9</v>
      </c>
      <c r="K541">
        <v>1488.9</v>
      </c>
      <c r="L541">
        <v>391</v>
      </c>
      <c r="M541">
        <v>359</v>
      </c>
      <c r="N541">
        <v>517</v>
      </c>
      <c r="O541">
        <v>158</v>
      </c>
      <c r="P541">
        <v>289</v>
      </c>
      <c r="Q541">
        <v>534</v>
      </c>
      <c r="R541">
        <v>245</v>
      </c>
      <c r="S541">
        <v>278.39999999999998</v>
      </c>
      <c r="T541">
        <v>367</v>
      </c>
      <c r="U541">
        <v>372</v>
      </c>
      <c r="V541">
        <v>500</v>
      </c>
      <c r="W541">
        <v>2.79</v>
      </c>
    </row>
    <row r="542" spans="1:23" x14ac:dyDescent="0.25">
      <c r="A542" t="s">
        <v>36</v>
      </c>
      <c r="B542">
        <v>7</v>
      </c>
      <c r="C542">
        <v>18</v>
      </c>
      <c r="D542">
        <v>2003</v>
      </c>
      <c r="E542">
        <v>229.7</v>
      </c>
      <c r="F542">
        <v>12</v>
      </c>
      <c r="G542">
        <v>11.7</v>
      </c>
      <c r="H542">
        <v>0.3</v>
      </c>
      <c r="I542">
        <v>2</v>
      </c>
      <c r="J542">
        <v>168.7</v>
      </c>
      <c r="K542">
        <v>1657.6</v>
      </c>
      <c r="L542">
        <v>367</v>
      </c>
      <c r="M542">
        <v>363</v>
      </c>
      <c r="N542">
        <v>536</v>
      </c>
      <c r="O542">
        <v>173</v>
      </c>
      <c r="P542">
        <v>323</v>
      </c>
      <c r="Q542">
        <v>536</v>
      </c>
      <c r="R542">
        <v>213</v>
      </c>
      <c r="S542">
        <v>278.39999999999998</v>
      </c>
      <c r="T542">
        <v>367</v>
      </c>
      <c r="U542">
        <v>372</v>
      </c>
      <c r="V542">
        <v>500</v>
      </c>
      <c r="W542">
        <v>2.79</v>
      </c>
    </row>
    <row r="543" spans="1:23" x14ac:dyDescent="0.25">
      <c r="A543" t="s">
        <v>36</v>
      </c>
      <c r="B543">
        <v>7</v>
      </c>
      <c r="C543">
        <v>19</v>
      </c>
      <c r="D543">
        <v>2004</v>
      </c>
      <c r="E543">
        <v>240.8</v>
      </c>
      <c r="F543">
        <v>11.1</v>
      </c>
      <c r="G543">
        <v>10.199999999999999</v>
      </c>
      <c r="H543">
        <v>0.9</v>
      </c>
      <c r="I543">
        <v>8</v>
      </c>
      <c r="J543">
        <v>164.1</v>
      </c>
      <c r="K543">
        <v>1821.6</v>
      </c>
      <c r="L543">
        <v>388</v>
      </c>
      <c r="M543">
        <v>376</v>
      </c>
      <c r="N543">
        <v>517</v>
      </c>
      <c r="O543">
        <v>141</v>
      </c>
      <c r="P543">
        <v>326</v>
      </c>
      <c r="Q543">
        <v>531</v>
      </c>
      <c r="R543">
        <v>205</v>
      </c>
      <c r="S543">
        <v>278.39999999999998</v>
      </c>
      <c r="T543">
        <v>367</v>
      </c>
      <c r="U543">
        <v>372</v>
      </c>
      <c r="V543">
        <v>500</v>
      </c>
      <c r="W543">
        <v>2.79</v>
      </c>
    </row>
    <row r="544" spans="1:23" x14ac:dyDescent="0.25">
      <c r="A544" t="s">
        <v>36</v>
      </c>
      <c r="B544">
        <v>7</v>
      </c>
      <c r="C544">
        <v>20</v>
      </c>
      <c r="D544">
        <v>2005</v>
      </c>
      <c r="E544">
        <v>250.4</v>
      </c>
      <c r="F544">
        <v>9.6</v>
      </c>
      <c r="G544">
        <v>9.6</v>
      </c>
      <c r="H544">
        <v>0</v>
      </c>
      <c r="I544">
        <v>0</v>
      </c>
      <c r="J544">
        <v>148.1</v>
      </c>
      <c r="K544">
        <v>1969.8</v>
      </c>
      <c r="L544">
        <v>374</v>
      </c>
      <c r="M544">
        <v>374</v>
      </c>
      <c r="P544">
        <v>298</v>
      </c>
      <c r="Q544">
        <v>477</v>
      </c>
      <c r="R544">
        <v>179</v>
      </c>
      <c r="S544">
        <v>278.39999999999998</v>
      </c>
      <c r="T544">
        <v>367</v>
      </c>
      <c r="U544">
        <v>372</v>
      </c>
      <c r="V544">
        <v>500</v>
      </c>
      <c r="W544">
        <v>2.79</v>
      </c>
    </row>
    <row r="545" spans="1:23" x14ac:dyDescent="0.25">
      <c r="A545" t="s">
        <v>36</v>
      </c>
      <c r="B545">
        <v>7</v>
      </c>
      <c r="C545">
        <v>21</v>
      </c>
      <c r="D545">
        <v>2006</v>
      </c>
      <c r="E545">
        <v>255.8</v>
      </c>
      <c r="F545">
        <v>5.4</v>
      </c>
      <c r="G545">
        <v>5.4</v>
      </c>
      <c r="H545">
        <v>0</v>
      </c>
      <c r="I545">
        <v>0</v>
      </c>
      <c r="J545">
        <v>85.9</v>
      </c>
      <c r="K545">
        <v>2055.6999999999998</v>
      </c>
      <c r="L545">
        <v>378</v>
      </c>
      <c r="M545">
        <v>378</v>
      </c>
      <c r="P545">
        <v>305</v>
      </c>
      <c r="Q545">
        <v>470</v>
      </c>
      <c r="R545">
        <v>165</v>
      </c>
      <c r="S545">
        <v>278.39999999999998</v>
      </c>
      <c r="T545">
        <v>367</v>
      </c>
      <c r="U545">
        <v>372</v>
      </c>
      <c r="V545">
        <v>500</v>
      </c>
      <c r="W545">
        <v>2.79</v>
      </c>
    </row>
    <row r="546" spans="1:23" x14ac:dyDescent="0.25">
      <c r="A546" t="s">
        <v>36</v>
      </c>
      <c r="B546">
        <v>7</v>
      </c>
      <c r="C546">
        <v>22</v>
      </c>
      <c r="D546">
        <v>2007</v>
      </c>
      <c r="E546">
        <v>261.8</v>
      </c>
      <c r="F546">
        <v>6</v>
      </c>
      <c r="G546">
        <v>5.0999999999999996</v>
      </c>
      <c r="H546">
        <v>0.9</v>
      </c>
      <c r="I546">
        <v>14</v>
      </c>
      <c r="J546">
        <v>97.6</v>
      </c>
      <c r="K546">
        <v>2153.1999999999998</v>
      </c>
      <c r="L546">
        <v>405</v>
      </c>
      <c r="M546">
        <v>384</v>
      </c>
      <c r="N546">
        <v>526</v>
      </c>
      <c r="O546">
        <v>142</v>
      </c>
      <c r="P546">
        <v>344</v>
      </c>
      <c r="Q546">
        <v>533</v>
      </c>
      <c r="R546">
        <v>189</v>
      </c>
      <c r="S546">
        <v>278.39999999999998</v>
      </c>
      <c r="T546">
        <v>367</v>
      </c>
      <c r="U546">
        <v>372</v>
      </c>
      <c r="V546">
        <v>500</v>
      </c>
      <c r="W546">
        <v>2.79</v>
      </c>
    </row>
    <row r="547" spans="1:23" x14ac:dyDescent="0.25">
      <c r="A547" t="s">
        <v>36</v>
      </c>
      <c r="B547">
        <v>7</v>
      </c>
      <c r="C547">
        <v>23</v>
      </c>
      <c r="D547">
        <v>2008</v>
      </c>
      <c r="E547">
        <v>268.7</v>
      </c>
      <c r="F547">
        <v>6.9</v>
      </c>
      <c r="G547">
        <v>6.3</v>
      </c>
      <c r="H547">
        <v>0.6</v>
      </c>
      <c r="I547">
        <v>8</v>
      </c>
      <c r="J547">
        <v>115</v>
      </c>
      <c r="K547">
        <v>2268.1999999999998</v>
      </c>
      <c r="L547">
        <v>393</v>
      </c>
      <c r="M547">
        <v>381</v>
      </c>
      <c r="N547">
        <v>516</v>
      </c>
      <c r="O547">
        <v>135</v>
      </c>
      <c r="P547">
        <v>325</v>
      </c>
      <c r="Q547">
        <v>518</v>
      </c>
      <c r="R547">
        <v>193</v>
      </c>
      <c r="S547">
        <v>278.39999999999998</v>
      </c>
      <c r="T547">
        <v>367</v>
      </c>
      <c r="U547">
        <v>372</v>
      </c>
      <c r="V547">
        <v>500</v>
      </c>
      <c r="W547">
        <v>2.79</v>
      </c>
    </row>
    <row r="548" spans="1:23" x14ac:dyDescent="0.25">
      <c r="A548" t="s">
        <v>36</v>
      </c>
      <c r="B548">
        <v>7</v>
      </c>
      <c r="C548">
        <v>24</v>
      </c>
      <c r="D548">
        <v>2009</v>
      </c>
      <c r="E548">
        <v>274.10000000000002</v>
      </c>
      <c r="F548">
        <v>5.4</v>
      </c>
      <c r="G548">
        <v>4.8</v>
      </c>
      <c r="H548">
        <v>0.6</v>
      </c>
      <c r="I548">
        <v>11</v>
      </c>
      <c r="J548">
        <v>92.1</v>
      </c>
      <c r="K548">
        <v>2360.3000000000002</v>
      </c>
      <c r="L548">
        <v>410</v>
      </c>
      <c r="M548">
        <v>395</v>
      </c>
      <c r="N548">
        <v>529</v>
      </c>
      <c r="O548">
        <v>134</v>
      </c>
      <c r="P548">
        <v>355</v>
      </c>
      <c r="Q548">
        <v>559</v>
      </c>
      <c r="R548">
        <v>204</v>
      </c>
      <c r="S548">
        <v>278.39999999999998</v>
      </c>
      <c r="T548">
        <v>367</v>
      </c>
      <c r="U548">
        <v>372</v>
      </c>
      <c r="V548">
        <v>500</v>
      </c>
      <c r="W548">
        <v>2.79</v>
      </c>
    </row>
    <row r="549" spans="1:23" x14ac:dyDescent="0.25">
      <c r="A549" t="s">
        <v>36</v>
      </c>
      <c r="B549">
        <v>7</v>
      </c>
      <c r="C549">
        <v>25</v>
      </c>
      <c r="D549">
        <v>2010</v>
      </c>
      <c r="E549">
        <v>280.10000000000002</v>
      </c>
      <c r="F549">
        <v>6</v>
      </c>
      <c r="G549">
        <v>6</v>
      </c>
      <c r="H549">
        <v>0</v>
      </c>
      <c r="I549">
        <v>0</v>
      </c>
      <c r="J549">
        <v>104.5</v>
      </c>
      <c r="K549">
        <v>2464.8000000000002</v>
      </c>
      <c r="L549">
        <v>385</v>
      </c>
      <c r="M549">
        <v>385</v>
      </c>
      <c r="P549">
        <v>356</v>
      </c>
      <c r="Q549">
        <v>489</v>
      </c>
      <c r="R549">
        <v>133</v>
      </c>
      <c r="S549">
        <v>278.39999999999998</v>
      </c>
      <c r="T549">
        <v>367</v>
      </c>
      <c r="U549">
        <v>372</v>
      </c>
      <c r="V549">
        <v>500</v>
      </c>
      <c r="W549">
        <v>2.79</v>
      </c>
    </row>
    <row r="550" spans="1:23" x14ac:dyDescent="0.25">
      <c r="A550" t="s">
        <v>36</v>
      </c>
      <c r="B550">
        <v>7</v>
      </c>
      <c r="C550">
        <v>26</v>
      </c>
      <c r="D550">
        <v>2011</v>
      </c>
      <c r="E550">
        <v>284</v>
      </c>
      <c r="F550">
        <v>3.9</v>
      </c>
      <c r="G550">
        <v>3.9</v>
      </c>
      <c r="H550">
        <v>0</v>
      </c>
      <c r="I550">
        <v>0</v>
      </c>
      <c r="J550">
        <v>69.099999999999994</v>
      </c>
      <c r="K550">
        <v>2533.9</v>
      </c>
      <c r="L550">
        <v>384</v>
      </c>
      <c r="M550">
        <v>384</v>
      </c>
      <c r="P550">
        <v>322</v>
      </c>
      <c r="Q550">
        <v>458</v>
      </c>
      <c r="R550">
        <v>136</v>
      </c>
      <c r="S550">
        <v>278.39999999999998</v>
      </c>
      <c r="T550">
        <v>367</v>
      </c>
      <c r="U550">
        <v>372</v>
      </c>
      <c r="V550">
        <v>500</v>
      </c>
      <c r="W550">
        <v>2.79</v>
      </c>
    </row>
    <row r="551" spans="1:23" x14ac:dyDescent="0.25">
      <c r="A551" t="s">
        <v>36</v>
      </c>
      <c r="B551">
        <v>7</v>
      </c>
      <c r="C551">
        <v>27</v>
      </c>
      <c r="D551">
        <v>2012</v>
      </c>
      <c r="E551">
        <v>286.39999999999998</v>
      </c>
      <c r="F551">
        <v>2.4</v>
      </c>
      <c r="G551">
        <v>2.4</v>
      </c>
      <c r="H551">
        <v>0</v>
      </c>
      <c r="I551">
        <v>0</v>
      </c>
      <c r="J551">
        <v>43</v>
      </c>
      <c r="K551">
        <v>2576.9</v>
      </c>
      <c r="L551">
        <v>342</v>
      </c>
      <c r="M551">
        <v>342</v>
      </c>
      <c r="P551">
        <v>320</v>
      </c>
      <c r="Q551">
        <v>371</v>
      </c>
      <c r="R551">
        <v>51</v>
      </c>
      <c r="S551">
        <v>278.39999999999998</v>
      </c>
      <c r="T551">
        <v>367</v>
      </c>
      <c r="U551">
        <v>372</v>
      </c>
      <c r="V551">
        <v>500</v>
      </c>
      <c r="W551">
        <v>2.79</v>
      </c>
    </row>
    <row r="552" spans="1:23" x14ac:dyDescent="0.25">
      <c r="A552" t="s">
        <v>36</v>
      </c>
      <c r="B552">
        <v>8</v>
      </c>
      <c r="C552">
        <v>4</v>
      </c>
      <c r="D552">
        <v>1989</v>
      </c>
      <c r="E552">
        <v>50.8</v>
      </c>
      <c r="F552">
        <v>50.8</v>
      </c>
      <c r="G552">
        <v>25.5</v>
      </c>
      <c r="H552">
        <v>0.3</v>
      </c>
      <c r="I552">
        <v>0</v>
      </c>
      <c r="J552">
        <v>81.099999999999994</v>
      </c>
      <c r="K552">
        <v>81.099999999999994</v>
      </c>
      <c r="L552">
        <v>383</v>
      </c>
      <c r="M552">
        <v>381</v>
      </c>
      <c r="N552">
        <v>510</v>
      </c>
      <c r="O552">
        <v>129</v>
      </c>
      <c r="P552">
        <v>264</v>
      </c>
      <c r="Q552">
        <v>510</v>
      </c>
      <c r="R552">
        <v>246</v>
      </c>
      <c r="S552">
        <v>177.9</v>
      </c>
      <c r="T552">
        <v>438</v>
      </c>
      <c r="U552">
        <v>415</v>
      </c>
      <c r="V552">
        <v>500</v>
      </c>
      <c r="W552">
        <v>2.79</v>
      </c>
    </row>
    <row r="553" spans="1:23" x14ac:dyDescent="0.25">
      <c r="A553" t="s">
        <v>36</v>
      </c>
      <c r="B553">
        <v>8</v>
      </c>
      <c r="C553">
        <v>5</v>
      </c>
      <c r="D553">
        <v>1990</v>
      </c>
      <c r="E553">
        <v>74.5</v>
      </c>
      <c r="F553">
        <v>23.7</v>
      </c>
      <c r="G553">
        <v>23.7</v>
      </c>
      <c r="H553">
        <v>0</v>
      </c>
      <c r="I553">
        <v>0</v>
      </c>
      <c r="J553">
        <v>93.3</v>
      </c>
      <c r="K553">
        <v>174.4</v>
      </c>
      <c r="L553">
        <v>370</v>
      </c>
      <c r="M553">
        <v>370</v>
      </c>
      <c r="P553">
        <v>292</v>
      </c>
      <c r="Q553">
        <v>495</v>
      </c>
      <c r="R553">
        <v>203</v>
      </c>
      <c r="S553">
        <v>177.9</v>
      </c>
      <c r="T553">
        <v>438</v>
      </c>
      <c r="U553">
        <v>415</v>
      </c>
      <c r="V553">
        <v>500</v>
      </c>
      <c r="W553">
        <v>2.79</v>
      </c>
    </row>
    <row r="554" spans="1:23" x14ac:dyDescent="0.25">
      <c r="A554" t="s">
        <v>36</v>
      </c>
      <c r="B554">
        <v>8</v>
      </c>
      <c r="C554">
        <v>6</v>
      </c>
      <c r="D554">
        <v>1991</v>
      </c>
      <c r="E554">
        <v>90.7</v>
      </c>
      <c r="F554">
        <v>16.2</v>
      </c>
      <c r="G554">
        <v>15.6</v>
      </c>
      <c r="H554">
        <v>0.6</v>
      </c>
      <c r="I554">
        <v>3</v>
      </c>
      <c r="J554">
        <v>84.1</v>
      </c>
      <c r="K554">
        <v>258.39999999999998</v>
      </c>
      <c r="L554">
        <v>384</v>
      </c>
      <c r="M554">
        <v>379</v>
      </c>
      <c r="N554">
        <v>509</v>
      </c>
      <c r="O554">
        <v>130</v>
      </c>
      <c r="P554">
        <v>314</v>
      </c>
      <c r="Q554">
        <v>515</v>
      </c>
      <c r="R554">
        <v>201</v>
      </c>
      <c r="S554">
        <v>177.9</v>
      </c>
      <c r="T554">
        <v>438</v>
      </c>
      <c r="U554">
        <v>415</v>
      </c>
      <c r="V554">
        <v>500</v>
      </c>
      <c r="W554">
        <v>2.79</v>
      </c>
    </row>
    <row r="555" spans="1:23" x14ac:dyDescent="0.25">
      <c r="A555" t="s">
        <v>36</v>
      </c>
      <c r="B555">
        <v>8</v>
      </c>
      <c r="C555">
        <v>7</v>
      </c>
      <c r="D555">
        <v>1992</v>
      </c>
      <c r="E555">
        <v>105.4</v>
      </c>
      <c r="F555">
        <v>14.7</v>
      </c>
      <c r="G555">
        <v>13.2</v>
      </c>
      <c r="H555">
        <v>1.5</v>
      </c>
      <c r="I555">
        <v>10</v>
      </c>
      <c r="J555">
        <v>90.6</v>
      </c>
      <c r="K555">
        <v>349</v>
      </c>
      <c r="L555">
        <v>373</v>
      </c>
      <c r="M555">
        <v>355</v>
      </c>
      <c r="N555">
        <v>530</v>
      </c>
      <c r="O555">
        <v>175</v>
      </c>
      <c r="P555">
        <v>292</v>
      </c>
      <c r="Q555">
        <v>557</v>
      </c>
      <c r="R555">
        <v>265</v>
      </c>
      <c r="S555">
        <v>177.9</v>
      </c>
      <c r="T555">
        <v>438</v>
      </c>
      <c r="U555">
        <v>415</v>
      </c>
      <c r="V555">
        <v>500</v>
      </c>
      <c r="W555">
        <v>2.79</v>
      </c>
    </row>
    <row r="556" spans="1:23" x14ac:dyDescent="0.25">
      <c r="A556" t="s">
        <v>36</v>
      </c>
      <c r="B556">
        <v>8</v>
      </c>
      <c r="C556">
        <v>8</v>
      </c>
      <c r="D556">
        <v>1993</v>
      </c>
      <c r="E556">
        <v>119.2</v>
      </c>
      <c r="F556">
        <v>13.8</v>
      </c>
      <c r="G556">
        <v>12.3</v>
      </c>
      <c r="H556">
        <v>1.5</v>
      </c>
      <c r="I556">
        <v>10</v>
      </c>
      <c r="J556">
        <v>97.4</v>
      </c>
      <c r="K556">
        <v>446.4</v>
      </c>
      <c r="L556">
        <v>408</v>
      </c>
      <c r="M556">
        <v>394</v>
      </c>
      <c r="N556">
        <v>524</v>
      </c>
      <c r="O556">
        <v>130</v>
      </c>
      <c r="P556">
        <v>330</v>
      </c>
      <c r="Q556">
        <v>540</v>
      </c>
      <c r="R556">
        <v>210</v>
      </c>
      <c r="S556">
        <v>177.9</v>
      </c>
      <c r="T556">
        <v>438</v>
      </c>
      <c r="U556">
        <v>415</v>
      </c>
      <c r="V556">
        <v>500</v>
      </c>
      <c r="W556">
        <v>2.79</v>
      </c>
    </row>
    <row r="557" spans="1:23" x14ac:dyDescent="0.25">
      <c r="A557" t="s">
        <v>36</v>
      </c>
      <c r="B557">
        <v>8</v>
      </c>
      <c r="C557">
        <v>9</v>
      </c>
      <c r="D557">
        <v>1994</v>
      </c>
      <c r="E557">
        <v>125.8</v>
      </c>
      <c r="F557">
        <v>6.6</v>
      </c>
      <c r="G557">
        <v>6.3</v>
      </c>
      <c r="H557">
        <v>0.3</v>
      </c>
      <c r="I557">
        <v>4</v>
      </c>
      <c r="J557">
        <v>50.8</v>
      </c>
      <c r="K557">
        <v>497.2</v>
      </c>
      <c r="L557">
        <v>348</v>
      </c>
      <c r="M557">
        <v>341</v>
      </c>
      <c r="N557">
        <v>512</v>
      </c>
      <c r="O557">
        <v>171</v>
      </c>
      <c r="P557">
        <v>269</v>
      </c>
      <c r="Q557">
        <v>512</v>
      </c>
      <c r="R557">
        <v>243</v>
      </c>
      <c r="S557">
        <v>177.9</v>
      </c>
      <c r="T557">
        <v>438</v>
      </c>
      <c r="U557">
        <v>415</v>
      </c>
      <c r="V557">
        <v>500</v>
      </c>
      <c r="W557">
        <v>2.79</v>
      </c>
    </row>
    <row r="558" spans="1:23" x14ac:dyDescent="0.25">
      <c r="A558" t="s">
        <v>36</v>
      </c>
      <c r="B558">
        <v>8</v>
      </c>
      <c r="C558">
        <v>10</v>
      </c>
      <c r="D558">
        <v>1995</v>
      </c>
      <c r="E558">
        <v>132.69999999999999</v>
      </c>
      <c r="F558">
        <v>6.9</v>
      </c>
      <c r="G558">
        <v>6.3</v>
      </c>
      <c r="H558">
        <v>0.6</v>
      </c>
      <c r="I558">
        <v>8</v>
      </c>
      <c r="J558">
        <v>56</v>
      </c>
      <c r="K558">
        <v>553.20000000000005</v>
      </c>
      <c r="L558">
        <v>397</v>
      </c>
      <c r="M558">
        <v>385</v>
      </c>
      <c r="N558">
        <v>516</v>
      </c>
      <c r="O558">
        <v>131</v>
      </c>
      <c r="P558">
        <v>324</v>
      </c>
      <c r="Q558">
        <v>517</v>
      </c>
      <c r="R558">
        <v>193</v>
      </c>
      <c r="S558">
        <v>177.9</v>
      </c>
      <c r="T558">
        <v>438</v>
      </c>
      <c r="U558">
        <v>415</v>
      </c>
      <c r="V558">
        <v>500</v>
      </c>
      <c r="W558">
        <v>2.79</v>
      </c>
    </row>
    <row r="559" spans="1:23" x14ac:dyDescent="0.25">
      <c r="A559" t="s">
        <v>36</v>
      </c>
      <c r="B559">
        <v>8</v>
      </c>
      <c r="C559">
        <v>11</v>
      </c>
      <c r="D559">
        <v>1996</v>
      </c>
      <c r="E559">
        <v>139.6</v>
      </c>
      <c r="F559">
        <v>6.9</v>
      </c>
      <c r="G559">
        <v>6.6</v>
      </c>
      <c r="H559">
        <v>0.3</v>
      </c>
      <c r="I559">
        <v>4</v>
      </c>
      <c r="J559">
        <v>59</v>
      </c>
      <c r="K559">
        <v>612.20000000000005</v>
      </c>
      <c r="L559">
        <v>422</v>
      </c>
      <c r="M559">
        <v>417</v>
      </c>
      <c r="N559">
        <v>537</v>
      </c>
      <c r="O559">
        <v>120</v>
      </c>
      <c r="P559">
        <v>315</v>
      </c>
      <c r="Q559">
        <v>537</v>
      </c>
      <c r="R559">
        <v>222</v>
      </c>
      <c r="S559">
        <v>177.9</v>
      </c>
      <c r="T559">
        <v>438</v>
      </c>
      <c r="U559">
        <v>415</v>
      </c>
      <c r="V559">
        <v>500</v>
      </c>
      <c r="W559">
        <v>2.79</v>
      </c>
    </row>
    <row r="560" spans="1:23" x14ac:dyDescent="0.25">
      <c r="A560" t="s">
        <v>36</v>
      </c>
      <c r="B560">
        <v>8</v>
      </c>
      <c r="C560">
        <v>12</v>
      </c>
      <c r="D560">
        <v>1997</v>
      </c>
      <c r="E560">
        <v>146.5</v>
      </c>
      <c r="F560">
        <v>6.9</v>
      </c>
      <c r="G560">
        <v>5.7</v>
      </c>
      <c r="H560">
        <v>1.2</v>
      </c>
      <c r="I560">
        <v>17</v>
      </c>
      <c r="J560">
        <v>62</v>
      </c>
      <c r="K560">
        <v>674.3</v>
      </c>
      <c r="L560">
        <v>406</v>
      </c>
      <c r="M560">
        <v>379</v>
      </c>
      <c r="N560">
        <v>531</v>
      </c>
      <c r="O560">
        <v>152</v>
      </c>
      <c r="P560">
        <v>314</v>
      </c>
      <c r="Q560">
        <v>565</v>
      </c>
      <c r="R560">
        <v>251</v>
      </c>
      <c r="S560">
        <v>177.9</v>
      </c>
      <c r="T560">
        <v>438</v>
      </c>
      <c r="U560">
        <v>415</v>
      </c>
      <c r="V560">
        <v>500</v>
      </c>
      <c r="W560">
        <v>2.79</v>
      </c>
    </row>
    <row r="561" spans="1:23" x14ac:dyDescent="0.25">
      <c r="A561" t="s">
        <v>36</v>
      </c>
      <c r="B561">
        <v>8</v>
      </c>
      <c r="C561">
        <v>13</v>
      </c>
      <c r="D561">
        <v>1998</v>
      </c>
      <c r="E561">
        <v>155.19999999999999</v>
      </c>
      <c r="F561">
        <v>8.6999999999999993</v>
      </c>
      <c r="G561">
        <v>7.8</v>
      </c>
      <c r="H561">
        <v>0.9</v>
      </c>
      <c r="I561">
        <v>10</v>
      </c>
      <c r="J561">
        <v>82.5</v>
      </c>
      <c r="K561">
        <v>756.7</v>
      </c>
      <c r="L561">
        <v>419</v>
      </c>
      <c r="M561">
        <v>404</v>
      </c>
      <c r="N561">
        <v>550</v>
      </c>
      <c r="O561">
        <v>146</v>
      </c>
      <c r="P561">
        <v>352</v>
      </c>
      <c r="Q561">
        <v>569</v>
      </c>
      <c r="R561">
        <v>217</v>
      </c>
      <c r="S561">
        <v>177.9</v>
      </c>
      <c r="T561">
        <v>438</v>
      </c>
      <c r="U561">
        <v>415</v>
      </c>
      <c r="V561">
        <v>500</v>
      </c>
      <c r="W561">
        <v>2.79</v>
      </c>
    </row>
    <row r="562" spans="1:23" x14ac:dyDescent="0.25">
      <c r="A562" t="s">
        <v>36</v>
      </c>
      <c r="B562">
        <v>8</v>
      </c>
      <c r="C562">
        <v>14</v>
      </c>
      <c r="D562">
        <v>1999</v>
      </c>
      <c r="E562">
        <v>161.19999999999999</v>
      </c>
      <c r="F562">
        <v>6</v>
      </c>
      <c r="G562">
        <v>5.0999999999999996</v>
      </c>
      <c r="H562">
        <v>0.9</v>
      </c>
      <c r="I562">
        <v>15</v>
      </c>
      <c r="J562">
        <v>59.6</v>
      </c>
      <c r="K562">
        <v>816.4</v>
      </c>
      <c r="L562">
        <v>442</v>
      </c>
      <c r="M562">
        <v>427</v>
      </c>
      <c r="N562">
        <v>528</v>
      </c>
      <c r="O562">
        <v>101</v>
      </c>
      <c r="P562">
        <v>343</v>
      </c>
      <c r="Q562">
        <v>553</v>
      </c>
      <c r="R562">
        <v>210</v>
      </c>
      <c r="S562">
        <v>177.9</v>
      </c>
      <c r="T562">
        <v>438</v>
      </c>
      <c r="U562">
        <v>415</v>
      </c>
      <c r="V562">
        <v>500</v>
      </c>
      <c r="W562">
        <v>2.79</v>
      </c>
    </row>
    <row r="563" spans="1:23" x14ac:dyDescent="0.25">
      <c r="A563" t="s">
        <v>36</v>
      </c>
      <c r="B563">
        <v>8</v>
      </c>
      <c r="C563">
        <v>15</v>
      </c>
      <c r="D563">
        <v>2000</v>
      </c>
      <c r="E563">
        <v>169.9</v>
      </c>
      <c r="F563">
        <v>8.6999999999999993</v>
      </c>
      <c r="G563">
        <v>8.4</v>
      </c>
      <c r="H563">
        <v>0.3</v>
      </c>
      <c r="I563">
        <v>3</v>
      </c>
      <c r="J563">
        <v>90.5</v>
      </c>
      <c r="K563">
        <v>906.9</v>
      </c>
      <c r="L563">
        <v>428</v>
      </c>
      <c r="M563">
        <v>424</v>
      </c>
      <c r="N563">
        <v>539</v>
      </c>
      <c r="O563">
        <v>115</v>
      </c>
      <c r="P563">
        <v>360</v>
      </c>
      <c r="Q563">
        <v>539</v>
      </c>
      <c r="R563">
        <v>179</v>
      </c>
      <c r="S563">
        <v>177.9</v>
      </c>
      <c r="T563">
        <v>438</v>
      </c>
      <c r="U563">
        <v>415</v>
      </c>
      <c r="V563">
        <v>500</v>
      </c>
      <c r="W563">
        <v>2.79</v>
      </c>
    </row>
    <row r="564" spans="1:23" x14ac:dyDescent="0.25">
      <c r="A564" t="s">
        <v>36</v>
      </c>
      <c r="B564">
        <v>8</v>
      </c>
      <c r="C564">
        <v>16</v>
      </c>
      <c r="D564">
        <v>2001</v>
      </c>
      <c r="E564">
        <v>178</v>
      </c>
      <c r="F564">
        <v>8.1</v>
      </c>
      <c r="G564">
        <v>7.5</v>
      </c>
      <c r="H564">
        <v>0.6</v>
      </c>
      <c r="I564">
        <v>7</v>
      </c>
      <c r="J564">
        <v>88.5</v>
      </c>
      <c r="K564">
        <v>995.4</v>
      </c>
      <c r="L564">
        <v>394</v>
      </c>
      <c r="M564">
        <v>383</v>
      </c>
      <c r="N564">
        <v>539</v>
      </c>
      <c r="O564">
        <v>156</v>
      </c>
      <c r="P564">
        <v>319</v>
      </c>
      <c r="Q564">
        <v>547</v>
      </c>
      <c r="R564">
        <v>228</v>
      </c>
      <c r="S564">
        <v>177.9</v>
      </c>
      <c r="T564">
        <v>438</v>
      </c>
      <c r="U564">
        <v>415</v>
      </c>
      <c r="V564">
        <v>500</v>
      </c>
      <c r="W564">
        <v>2.79</v>
      </c>
    </row>
    <row r="565" spans="1:23" x14ac:dyDescent="0.25">
      <c r="A565" t="s">
        <v>36</v>
      </c>
      <c r="B565">
        <v>8</v>
      </c>
      <c r="C565">
        <v>17</v>
      </c>
      <c r="D565">
        <v>2002</v>
      </c>
      <c r="E565">
        <v>183.1</v>
      </c>
      <c r="F565">
        <v>5.0999999999999996</v>
      </c>
      <c r="G565">
        <v>4.5</v>
      </c>
      <c r="H565">
        <v>0.6</v>
      </c>
      <c r="I565">
        <v>11</v>
      </c>
      <c r="J565">
        <v>57.9</v>
      </c>
      <c r="K565">
        <v>1053.2</v>
      </c>
      <c r="L565">
        <v>439</v>
      </c>
      <c r="M565">
        <v>417</v>
      </c>
      <c r="N565">
        <v>606</v>
      </c>
      <c r="O565">
        <v>189</v>
      </c>
      <c r="P565">
        <v>357</v>
      </c>
      <c r="Q565">
        <v>612</v>
      </c>
      <c r="R565">
        <v>255</v>
      </c>
      <c r="S565">
        <v>177.9</v>
      </c>
      <c r="T565">
        <v>438</v>
      </c>
      <c r="U565">
        <v>415</v>
      </c>
      <c r="V565">
        <v>500</v>
      </c>
      <c r="W565">
        <v>2.79</v>
      </c>
    </row>
    <row r="566" spans="1:23" x14ac:dyDescent="0.25">
      <c r="A566" t="s">
        <v>36</v>
      </c>
      <c r="B566">
        <v>8</v>
      </c>
      <c r="C566">
        <v>18</v>
      </c>
      <c r="D566">
        <v>2003</v>
      </c>
      <c r="E566">
        <v>187.3</v>
      </c>
      <c r="F566">
        <v>4.2</v>
      </c>
      <c r="G566">
        <v>2.1</v>
      </c>
      <c r="H566">
        <v>2.1</v>
      </c>
      <c r="I566">
        <v>50</v>
      </c>
      <c r="J566">
        <v>48.9</v>
      </c>
      <c r="K566">
        <v>1102.0999999999999</v>
      </c>
      <c r="L566">
        <v>478</v>
      </c>
      <c r="M566">
        <v>413</v>
      </c>
      <c r="N566">
        <v>543</v>
      </c>
      <c r="O566">
        <v>130</v>
      </c>
      <c r="P566">
        <v>359</v>
      </c>
      <c r="Q566">
        <v>630</v>
      </c>
      <c r="R566">
        <v>271</v>
      </c>
      <c r="S566">
        <v>177.9</v>
      </c>
      <c r="T566">
        <v>438</v>
      </c>
      <c r="U566">
        <v>415</v>
      </c>
      <c r="V566">
        <v>500</v>
      </c>
      <c r="W566">
        <v>2.79</v>
      </c>
    </row>
    <row r="567" spans="1:23" x14ac:dyDescent="0.25">
      <c r="A567" t="s">
        <v>36</v>
      </c>
      <c r="B567">
        <v>8</v>
      </c>
      <c r="C567">
        <v>19</v>
      </c>
      <c r="D567">
        <v>2004</v>
      </c>
      <c r="E567">
        <v>191.8</v>
      </c>
      <c r="F567">
        <v>4.5</v>
      </c>
      <c r="G567">
        <v>4.2</v>
      </c>
      <c r="H567">
        <v>0.3</v>
      </c>
      <c r="I567">
        <v>6</v>
      </c>
      <c r="J567">
        <v>53.6</v>
      </c>
      <c r="K567">
        <v>1155.7</v>
      </c>
      <c r="L567">
        <v>447</v>
      </c>
      <c r="M567">
        <v>438</v>
      </c>
      <c r="N567">
        <v>579</v>
      </c>
      <c r="O567">
        <v>141</v>
      </c>
      <c r="P567">
        <v>401</v>
      </c>
      <c r="Q567">
        <v>579</v>
      </c>
      <c r="R567">
        <v>178</v>
      </c>
      <c r="S567">
        <v>177.9</v>
      </c>
      <c r="T567">
        <v>438</v>
      </c>
      <c r="U567">
        <v>415</v>
      </c>
      <c r="V567">
        <v>500</v>
      </c>
      <c r="W567">
        <v>2.79</v>
      </c>
    </row>
    <row r="568" spans="1:23" x14ac:dyDescent="0.25">
      <c r="A568" t="s">
        <v>36</v>
      </c>
      <c r="B568">
        <v>8</v>
      </c>
      <c r="C568">
        <v>20</v>
      </c>
      <c r="D568">
        <v>2005</v>
      </c>
      <c r="E568">
        <v>194.2</v>
      </c>
      <c r="F568">
        <v>2.4</v>
      </c>
      <c r="G568">
        <v>1.8</v>
      </c>
      <c r="H568">
        <v>0.6</v>
      </c>
      <c r="I568">
        <v>24</v>
      </c>
      <c r="J568">
        <v>29.1</v>
      </c>
      <c r="K568">
        <v>1184.8</v>
      </c>
      <c r="L568">
        <v>469</v>
      </c>
      <c r="M568">
        <v>443</v>
      </c>
      <c r="N568">
        <v>546</v>
      </c>
      <c r="O568">
        <v>103</v>
      </c>
      <c r="P568">
        <v>397</v>
      </c>
      <c r="Q568">
        <v>580</v>
      </c>
      <c r="R568">
        <v>183</v>
      </c>
      <c r="S568">
        <v>177.9</v>
      </c>
      <c r="T568">
        <v>438</v>
      </c>
      <c r="U568">
        <v>415</v>
      </c>
      <c r="V568">
        <v>500</v>
      </c>
      <c r="W568">
        <v>2.79</v>
      </c>
    </row>
    <row r="569" spans="1:23" x14ac:dyDescent="0.25">
      <c r="A569" t="s">
        <v>36</v>
      </c>
      <c r="B569">
        <v>8</v>
      </c>
      <c r="C569">
        <v>21</v>
      </c>
      <c r="D569">
        <v>2006</v>
      </c>
      <c r="E569">
        <v>195.7</v>
      </c>
      <c r="F569">
        <v>1.5</v>
      </c>
      <c r="G569">
        <v>1.5</v>
      </c>
      <c r="H569">
        <v>0</v>
      </c>
      <c r="I569">
        <v>0</v>
      </c>
      <c r="J569">
        <v>18.399999999999999</v>
      </c>
      <c r="K569">
        <v>1203.2</v>
      </c>
      <c r="L569">
        <v>459</v>
      </c>
      <c r="M569">
        <v>459</v>
      </c>
      <c r="P569">
        <v>425</v>
      </c>
      <c r="Q569">
        <v>491</v>
      </c>
      <c r="R569">
        <v>66</v>
      </c>
      <c r="S569">
        <v>177.9</v>
      </c>
      <c r="T569">
        <v>438</v>
      </c>
      <c r="U569">
        <v>415</v>
      </c>
      <c r="V569">
        <v>500</v>
      </c>
      <c r="W569">
        <v>2.79</v>
      </c>
    </row>
    <row r="570" spans="1:23" x14ac:dyDescent="0.25">
      <c r="A570" t="s">
        <v>36</v>
      </c>
      <c r="B570">
        <v>8</v>
      </c>
      <c r="C570">
        <v>22</v>
      </c>
      <c r="D570">
        <v>2007</v>
      </c>
      <c r="E570">
        <v>196.6</v>
      </c>
      <c r="F570">
        <v>0.9</v>
      </c>
      <c r="G570">
        <v>0.6</v>
      </c>
      <c r="H570">
        <v>0.3</v>
      </c>
      <c r="I570">
        <v>33</v>
      </c>
      <c r="J570">
        <v>11.1</v>
      </c>
      <c r="K570">
        <v>1214.3</v>
      </c>
      <c r="L570">
        <v>489</v>
      </c>
      <c r="M570">
        <v>458</v>
      </c>
      <c r="N570">
        <v>553</v>
      </c>
      <c r="O570">
        <v>95</v>
      </c>
      <c r="P570">
        <v>429</v>
      </c>
      <c r="Q570">
        <v>553</v>
      </c>
      <c r="R570">
        <v>124</v>
      </c>
      <c r="S570">
        <v>177.9</v>
      </c>
      <c r="T570">
        <v>438</v>
      </c>
      <c r="U570">
        <v>415</v>
      </c>
      <c r="V570">
        <v>500</v>
      </c>
      <c r="W570">
        <v>2.79</v>
      </c>
    </row>
    <row r="571" spans="1:23" x14ac:dyDescent="0.25">
      <c r="A571" t="s">
        <v>36</v>
      </c>
      <c r="B571">
        <v>8</v>
      </c>
      <c r="C571">
        <v>23</v>
      </c>
      <c r="D571">
        <v>2008</v>
      </c>
      <c r="E571">
        <v>198.1</v>
      </c>
      <c r="F571">
        <v>1.5</v>
      </c>
      <c r="G571">
        <v>0.6</v>
      </c>
      <c r="H571">
        <v>0.9</v>
      </c>
      <c r="I571">
        <v>60</v>
      </c>
      <c r="J571">
        <v>18.600000000000001</v>
      </c>
      <c r="K571">
        <v>1232.9000000000001</v>
      </c>
      <c r="L571">
        <v>521</v>
      </c>
      <c r="M571">
        <v>492</v>
      </c>
      <c r="N571">
        <v>541</v>
      </c>
      <c r="O571">
        <v>49</v>
      </c>
      <c r="P571">
        <v>489</v>
      </c>
      <c r="Q571">
        <v>562</v>
      </c>
      <c r="R571">
        <v>73</v>
      </c>
      <c r="S571">
        <v>177.9</v>
      </c>
      <c r="T571">
        <v>438</v>
      </c>
      <c r="U571">
        <v>415</v>
      </c>
      <c r="V571">
        <v>500</v>
      </c>
      <c r="W571">
        <v>2.79</v>
      </c>
    </row>
    <row r="572" spans="1:23" x14ac:dyDescent="0.25">
      <c r="A572" t="s">
        <v>36</v>
      </c>
      <c r="B572">
        <v>8</v>
      </c>
      <c r="C572">
        <v>24</v>
      </c>
      <c r="D572">
        <v>2009</v>
      </c>
      <c r="E572">
        <v>199.3</v>
      </c>
      <c r="F572">
        <v>1.2</v>
      </c>
      <c r="G572">
        <v>0.3</v>
      </c>
      <c r="H572">
        <v>0.9</v>
      </c>
      <c r="I572">
        <v>75</v>
      </c>
      <c r="J572">
        <v>15</v>
      </c>
      <c r="K572">
        <v>1247.9000000000001</v>
      </c>
      <c r="L572">
        <v>524</v>
      </c>
      <c r="M572">
        <v>456</v>
      </c>
      <c r="N572">
        <v>547</v>
      </c>
      <c r="O572">
        <v>91</v>
      </c>
      <c r="P572">
        <v>456</v>
      </c>
      <c r="Q572">
        <v>568</v>
      </c>
      <c r="R572">
        <v>112</v>
      </c>
      <c r="S572">
        <v>177.9</v>
      </c>
      <c r="T572">
        <v>438</v>
      </c>
      <c r="U572">
        <v>415</v>
      </c>
      <c r="V572">
        <v>500</v>
      </c>
      <c r="W572">
        <v>2.79</v>
      </c>
    </row>
    <row r="573" spans="1:23" x14ac:dyDescent="0.25">
      <c r="A573" t="s">
        <v>36</v>
      </c>
      <c r="B573">
        <v>8</v>
      </c>
      <c r="C573">
        <v>25</v>
      </c>
      <c r="D573">
        <v>2010</v>
      </c>
      <c r="E573">
        <v>200.5</v>
      </c>
      <c r="F573">
        <v>1.2</v>
      </c>
      <c r="G573">
        <v>0.3</v>
      </c>
      <c r="H573">
        <v>0.9</v>
      </c>
      <c r="I573">
        <v>75</v>
      </c>
      <c r="J573">
        <v>15.1</v>
      </c>
      <c r="K573">
        <v>1262.9000000000001</v>
      </c>
      <c r="L573">
        <v>540</v>
      </c>
      <c r="M573">
        <v>476</v>
      </c>
      <c r="N573">
        <v>562</v>
      </c>
      <c r="O573">
        <v>86</v>
      </c>
      <c r="P573">
        <v>476</v>
      </c>
      <c r="Q573">
        <v>592</v>
      </c>
      <c r="R573">
        <v>116</v>
      </c>
      <c r="S573">
        <v>177.9</v>
      </c>
      <c r="T573">
        <v>438</v>
      </c>
      <c r="U573">
        <v>415</v>
      </c>
      <c r="V573">
        <v>500</v>
      </c>
      <c r="W573">
        <v>2.79</v>
      </c>
    </row>
    <row r="574" spans="1:23" x14ac:dyDescent="0.25">
      <c r="A574" t="s">
        <v>36</v>
      </c>
      <c r="B574">
        <v>8</v>
      </c>
      <c r="C574">
        <v>26</v>
      </c>
      <c r="D574">
        <v>2011</v>
      </c>
      <c r="E574">
        <v>201.7</v>
      </c>
      <c r="F574">
        <v>1.2</v>
      </c>
      <c r="G574">
        <v>0.6</v>
      </c>
      <c r="H574">
        <v>0.6</v>
      </c>
      <c r="I574">
        <v>49</v>
      </c>
      <c r="J574">
        <v>15.2</v>
      </c>
      <c r="K574">
        <v>1278.0999999999999</v>
      </c>
      <c r="L574">
        <v>503</v>
      </c>
      <c r="M574">
        <v>467</v>
      </c>
      <c r="N574">
        <v>539</v>
      </c>
      <c r="O574">
        <v>72</v>
      </c>
      <c r="P574">
        <v>462</v>
      </c>
      <c r="Q574">
        <v>564</v>
      </c>
      <c r="R574">
        <v>102</v>
      </c>
      <c r="S574">
        <v>177.9</v>
      </c>
      <c r="T574">
        <v>438</v>
      </c>
      <c r="U574">
        <v>415</v>
      </c>
      <c r="V574">
        <v>500</v>
      </c>
      <c r="W574">
        <v>2.79</v>
      </c>
    </row>
    <row r="575" spans="1:23" x14ac:dyDescent="0.25">
      <c r="A575" t="s">
        <v>36</v>
      </c>
      <c r="B575">
        <v>8</v>
      </c>
      <c r="C575">
        <v>27</v>
      </c>
      <c r="D575">
        <v>2012</v>
      </c>
      <c r="E575">
        <v>202.9</v>
      </c>
      <c r="F575">
        <v>1.2</v>
      </c>
      <c r="G575">
        <v>0.9</v>
      </c>
      <c r="H575">
        <v>0.3</v>
      </c>
      <c r="I575">
        <v>25</v>
      </c>
      <c r="J575">
        <v>15.3</v>
      </c>
      <c r="K575">
        <v>1293.3</v>
      </c>
      <c r="L575">
        <v>490</v>
      </c>
      <c r="M575">
        <v>464</v>
      </c>
      <c r="N575">
        <v>567</v>
      </c>
      <c r="O575">
        <v>103</v>
      </c>
      <c r="P575">
        <v>416</v>
      </c>
      <c r="Q575">
        <v>567</v>
      </c>
      <c r="R575">
        <v>151</v>
      </c>
      <c r="S575">
        <v>177.9</v>
      </c>
      <c r="T575">
        <v>438</v>
      </c>
      <c r="U575">
        <v>415</v>
      </c>
      <c r="V575">
        <v>500</v>
      </c>
      <c r="W575">
        <v>2.79</v>
      </c>
    </row>
    <row r="576" spans="1:23" x14ac:dyDescent="0.25">
      <c r="A576" t="s">
        <v>36</v>
      </c>
      <c r="B576">
        <v>9</v>
      </c>
      <c r="C576">
        <v>1</v>
      </c>
      <c r="D576">
        <v>1987</v>
      </c>
      <c r="E576">
        <v>9.6999999999999993</v>
      </c>
      <c r="F576">
        <v>9.6999999999999993</v>
      </c>
      <c r="G576">
        <v>8.6999999999999993</v>
      </c>
      <c r="H576">
        <v>0</v>
      </c>
      <c r="I576">
        <v>0</v>
      </c>
      <c r="J576">
        <v>3</v>
      </c>
      <c r="K576">
        <v>3</v>
      </c>
      <c r="L576">
        <v>329</v>
      </c>
      <c r="M576">
        <v>329</v>
      </c>
      <c r="P576">
        <v>236</v>
      </c>
      <c r="Q576">
        <v>447</v>
      </c>
      <c r="R576">
        <v>211</v>
      </c>
      <c r="S576">
        <v>227.1</v>
      </c>
      <c r="T576">
        <v>411</v>
      </c>
      <c r="U576">
        <v>418</v>
      </c>
      <c r="V576">
        <v>500</v>
      </c>
      <c r="W576">
        <v>2.79</v>
      </c>
    </row>
    <row r="577" spans="1:23" x14ac:dyDescent="0.25">
      <c r="A577" t="s">
        <v>36</v>
      </c>
      <c r="B577">
        <v>9</v>
      </c>
      <c r="C577">
        <v>2</v>
      </c>
      <c r="D577">
        <v>1988</v>
      </c>
      <c r="E577">
        <v>26.2</v>
      </c>
      <c r="F577">
        <v>16.5</v>
      </c>
      <c r="G577">
        <v>16.5</v>
      </c>
      <c r="H577">
        <v>0</v>
      </c>
      <c r="I577">
        <v>0</v>
      </c>
      <c r="J577">
        <v>18.600000000000001</v>
      </c>
      <c r="K577">
        <v>21.6</v>
      </c>
      <c r="L577">
        <v>308</v>
      </c>
      <c r="M577">
        <v>308</v>
      </c>
      <c r="P577">
        <v>239</v>
      </c>
      <c r="Q577">
        <v>429</v>
      </c>
      <c r="R577">
        <v>190</v>
      </c>
      <c r="S577">
        <v>227.1</v>
      </c>
      <c r="T577">
        <v>411</v>
      </c>
      <c r="U577">
        <v>418</v>
      </c>
      <c r="V577">
        <v>500</v>
      </c>
      <c r="W577">
        <v>2.79</v>
      </c>
    </row>
    <row r="578" spans="1:23" x14ac:dyDescent="0.25">
      <c r="A578" t="s">
        <v>36</v>
      </c>
      <c r="B578">
        <v>9</v>
      </c>
      <c r="C578">
        <v>3</v>
      </c>
      <c r="D578">
        <v>1989</v>
      </c>
      <c r="E578">
        <v>46.9</v>
      </c>
      <c r="F578">
        <v>20.7</v>
      </c>
      <c r="G578">
        <v>20.399999999999999</v>
      </c>
      <c r="H578">
        <v>0.3</v>
      </c>
      <c r="I578">
        <v>1</v>
      </c>
      <c r="J578">
        <v>47.5</v>
      </c>
      <c r="K578">
        <v>69.099999999999994</v>
      </c>
      <c r="L578">
        <v>324</v>
      </c>
      <c r="M578">
        <v>321</v>
      </c>
      <c r="N578">
        <v>530</v>
      </c>
      <c r="O578">
        <v>209</v>
      </c>
      <c r="P578">
        <v>248</v>
      </c>
      <c r="Q578">
        <v>530</v>
      </c>
      <c r="R578">
        <v>282</v>
      </c>
      <c r="S578">
        <v>227.1</v>
      </c>
      <c r="T578">
        <v>411</v>
      </c>
      <c r="U578">
        <v>418</v>
      </c>
      <c r="V578">
        <v>500</v>
      </c>
      <c r="W578">
        <v>2.79</v>
      </c>
    </row>
    <row r="579" spans="1:23" x14ac:dyDescent="0.25">
      <c r="A579" t="s">
        <v>36</v>
      </c>
      <c r="B579">
        <v>9</v>
      </c>
      <c r="C579">
        <v>4</v>
      </c>
      <c r="D579">
        <v>1990</v>
      </c>
      <c r="E579">
        <v>61.3</v>
      </c>
      <c r="F579">
        <v>14.4</v>
      </c>
      <c r="G579">
        <v>12.9</v>
      </c>
      <c r="H579">
        <v>1.5</v>
      </c>
      <c r="I579">
        <v>10</v>
      </c>
      <c r="J579">
        <v>48.9</v>
      </c>
      <c r="K579">
        <v>118.1</v>
      </c>
      <c r="L579">
        <v>359</v>
      </c>
      <c r="M579">
        <v>340</v>
      </c>
      <c r="N579">
        <v>520</v>
      </c>
      <c r="O579">
        <v>180</v>
      </c>
      <c r="P579">
        <v>281</v>
      </c>
      <c r="Q579">
        <v>551</v>
      </c>
      <c r="R579">
        <v>270</v>
      </c>
      <c r="S579">
        <v>227.1</v>
      </c>
      <c r="T579">
        <v>411</v>
      </c>
      <c r="U579">
        <v>418</v>
      </c>
      <c r="V579">
        <v>500</v>
      </c>
      <c r="W579">
        <v>2.79</v>
      </c>
    </row>
    <row r="580" spans="1:23" x14ac:dyDescent="0.25">
      <c r="A580" t="s">
        <v>36</v>
      </c>
      <c r="B580">
        <v>9</v>
      </c>
      <c r="C580">
        <v>5</v>
      </c>
      <c r="D580">
        <v>1991</v>
      </c>
      <c r="E580">
        <v>75.7</v>
      </c>
      <c r="F580">
        <v>14.4</v>
      </c>
      <c r="G580">
        <v>12.9</v>
      </c>
      <c r="H580">
        <v>1.5</v>
      </c>
      <c r="I580">
        <v>10</v>
      </c>
      <c r="J580">
        <v>62</v>
      </c>
      <c r="K580">
        <v>180</v>
      </c>
      <c r="L580">
        <v>360</v>
      </c>
      <c r="M580">
        <v>341</v>
      </c>
      <c r="N580">
        <v>528</v>
      </c>
      <c r="O580">
        <v>187</v>
      </c>
      <c r="P580">
        <v>285</v>
      </c>
      <c r="Q580">
        <v>547</v>
      </c>
      <c r="R580">
        <v>262</v>
      </c>
      <c r="S580">
        <v>227.1</v>
      </c>
      <c r="T580">
        <v>411</v>
      </c>
      <c r="U580">
        <v>418</v>
      </c>
      <c r="V580">
        <v>500</v>
      </c>
      <c r="W580">
        <v>2.79</v>
      </c>
    </row>
    <row r="581" spans="1:23" x14ac:dyDescent="0.25">
      <c r="A581" t="s">
        <v>36</v>
      </c>
      <c r="B581">
        <v>9</v>
      </c>
      <c r="C581">
        <v>6</v>
      </c>
      <c r="D581">
        <v>1992</v>
      </c>
      <c r="E581">
        <v>90.4</v>
      </c>
      <c r="F581">
        <v>14.7</v>
      </c>
      <c r="G581">
        <v>13.2</v>
      </c>
      <c r="H581">
        <v>1.5</v>
      </c>
      <c r="I581">
        <v>10</v>
      </c>
      <c r="J581">
        <v>76.7</v>
      </c>
      <c r="K581">
        <v>256.7</v>
      </c>
      <c r="L581">
        <v>376</v>
      </c>
      <c r="M581">
        <v>360</v>
      </c>
      <c r="N581">
        <v>517</v>
      </c>
      <c r="O581">
        <v>157</v>
      </c>
      <c r="P581">
        <v>298</v>
      </c>
      <c r="Q581">
        <v>530</v>
      </c>
      <c r="R581">
        <v>232</v>
      </c>
      <c r="S581">
        <v>227.1</v>
      </c>
      <c r="T581">
        <v>411</v>
      </c>
      <c r="U581">
        <v>418</v>
      </c>
      <c r="V581">
        <v>500</v>
      </c>
      <c r="W581">
        <v>2.79</v>
      </c>
    </row>
    <row r="582" spans="1:23" x14ac:dyDescent="0.25">
      <c r="A582" t="s">
        <v>36</v>
      </c>
      <c r="B582">
        <v>9</v>
      </c>
      <c r="C582">
        <v>7</v>
      </c>
      <c r="D582">
        <v>1993</v>
      </c>
      <c r="E582">
        <v>100.3</v>
      </c>
      <c r="F582">
        <v>9.9</v>
      </c>
      <c r="G582">
        <v>8.4</v>
      </c>
      <c r="H582">
        <v>1.5</v>
      </c>
      <c r="I582">
        <v>15</v>
      </c>
      <c r="J582">
        <v>59.3</v>
      </c>
      <c r="K582">
        <v>316</v>
      </c>
      <c r="L582">
        <v>390</v>
      </c>
      <c r="M582">
        <v>364</v>
      </c>
      <c r="N582">
        <v>536</v>
      </c>
      <c r="O582">
        <v>172</v>
      </c>
      <c r="P582">
        <v>314</v>
      </c>
      <c r="Q582">
        <v>583</v>
      </c>
      <c r="R582">
        <v>269</v>
      </c>
      <c r="S582">
        <v>227.1</v>
      </c>
      <c r="T582">
        <v>411</v>
      </c>
      <c r="U582">
        <v>418</v>
      </c>
      <c r="V582">
        <v>500</v>
      </c>
      <c r="W582">
        <v>2.79</v>
      </c>
    </row>
    <row r="583" spans="1:23" x14ac:dyDescent="0.25">
      <c r="A583" t="s">
        <v>36</v>
      </c>
      <c r="B583">
        <v>9</v>
      </c>
      <c r="C583">
        <v>8</v>
      </c>
      <c r="D583">
        <v>1994</v>
      </c>
      <c r="E583">
        <v>108.4</v>
      </c>
      <c r="F583">
        <v>8.1</v>
      </c>
      <c r="G583">
        <v>7.5</v>
      </c>
      <c r="H583">
        <v>0.6</v>
      </c>
      <c r="I583">
        <v>7</v>
      </c>
      <c r="J583">
        <v>53.1</v>
      </c>
      <c r="K583">
        <v>369.2</v>
      </c>
      <c r="L583">
        <v>373</v>
      </c>
      <c r="M583">
        <v>360</v>
      </c>
      <c r="N583">
        <v>537</v>
      </c>
      <c r="O583">
        <v>177</v>
      </c>
      <c r="P583">
        <v>273</v>
      </c>
      <c r="Q583">
        <v>545</v>
      </c>
      <c r="R583">
        <v>272</v>
      </c>
      <c r="S583">
        <v>227.1</v>
      </c>
      <c r="T583">
        <v>411</v>
      </c>
      <c r="U583">
        <v>418</v>
      </c>
      <c r="V583">
        <v>500</v>
      </c>
      <c r="W583">
        <v>2.79</v>
      </c>
    </row>
    <row r="584" spans="1:23" x14ac:dyDescent="0.25">
      <c r="A584" t="s">
        <v>36</v>
      </c>
      <c r="B584">
        <v>9</v>
      </c>
      <c r="C584">
        <v>9</v>
      </c>
      <c r="D584">
        <v>1995</v>
      </c>
      <c r="E584">
        <v>116.2</v>
      </c>
      <c r="F584">
        <v>7.8</v>
      </c>
      <c r="G584">
        <v>7.5</v>
      </c>
      <c r="H584">
        <v>0.3</v>
      </c>
      <c r="I584">
        <v>3</v>
      </c>
      <c r="J584">
        <v>55</v>
      </c>
      <c r="K584">
        <v>424.2</v>
      </c>
      <c r="L584">
        <v>400</v>
      </c>
      <c r="M584">
        <v>395</v>
      </c>
      <c r="N584">
        <v>525</v>
      </c>
      <c r="O584">
        <v>130</v>
      </c>
      <c r="P584">
        <v>296</v>
      </c>
      <c r="Q584">
        <v>525</v>
      </c>
      <c r="R584">
        <v>229</v>
      </c>
      <c r="S584">
        <v>227.1</v>
      </c>
      <c r="T584">
        <v>411</v>
      </c>
      <c r="U584">
        <v>418</v>
      </c>
      <c r="V584">
        <v>500</v>
      </c>
      <c r="W584">
        <v>2.79</v>
      </c>
    </row>
    <row r="585" spans="1:23" x14ac:dyDescent="0.25">
      <c r="A585" t="s">
        <v>36</v>
      </c>
      <c r="B585">
        <v>9</v>
      </c>
      <c r="C585">
        <v>10</v>
      </c>
      <c r="D585">
        <v>1996</v>
      </c>
      <c r="E585">
        <v>127</v>
      </c>
      <c r="F585">
        <v>10.8</v>
      </c>
      <c r="G585">
        <v>9</v>
      </c>
      <c r="H585">
        <v>1.8</v>
      </c>
      <c r="I585">
        <v>16</v>
      </c>
      <c r="J585">
        <v>82.5</v>
      </c>
      <c r="K585">
        <v>506.7</v>
      </c>
      <c r="L585">
        <v>388</v>
      </c>
      <c r="M585">
        <v>358</v>
      </c>
      <c r="N585">
        <v>538</v>
      </c>
      <c r="O585">
        <v>180</v>
      </c>
      <c r="P585">
        <v>301</v>
      </c>
      <c r="Q585">
        <v>584</v>
      </c>
      <c r="R585">
        <v>283</v>
      </c>
      <c r="S585">
        <v>227.1</v>
      </c>
      <c r="T585">
        <v>411</v>
      </c>
      <c r="U585">
        <v>418</v>
      </c>
      <c r="V585">
        <v>500</v>
      </c>
      <c r="W585">
        <v>2.79</v>
      </c>
    </row>
    <row r="586" spans="1:23" x14ac:dyDescent="0.25">
      <c r="A586" t="s">
        <v>36</v>
      </c>
      <c r="B586">
        <v>9</v>
      </c>
      <c r="C586">
        <v>11</v>
      </c>
      <c r="D586">
        <v>1997</v>
      </c>
      <c r="E586">
        <v>140.80000000000001</v>
      </c>
      <c r="F586">
        <v>13.8</v>
      </c>
      <c r="G586">
        <v>12</v>
      </c>
      <c r="H586">
        <v>1.8</v>
      </c>
      <c r="I586">
        <v>13</v>
      </c>
      <c r="J586">
        <v>116.1</v>
      </c>
      <c r="K586">
        <v>622.79999999999995</v>
      </c>
      <c r="L586">
        <v>410</v>
      </c>
      <c r="M586">
        <v>389</v>
      </c>
      <c r="N586">
        <v>551</v>
      </c>
      <c r="O586">
        <v>162</v>
      </c>
      <c r="P586">
        <v>315</v>
      </c>
      <c r="Q586">
        <v>575</v>
      </c>
      <c r="R586">
        <v>260</v>
      </c>
      <c r="S586">
        <v>227.1</v>
      </c>
      <c r="T586">
        <v>411</v>
      </c>
      <c r="U586">
        <v>418</v>
      </c>
      <c r="V586">
        <v>500</v>
      </c>
      <c r="W586">
        <v>2.79</v>
      </c>
    </row>
    <row r="587" spans="1:23" x14ac:dyDescent="0.25">
      <c r="A587" t="s">
        <v>36</v>
      </c>
      <c r="B587">
        <v>9</v>
      </c>
      <c r="C587">
        <v>12</v>
      </c>
      <c r="D587">
        <v>1998</v>
      </c>
      <c r="E587">
        <v>150.69999999999999</v>
      </c>
      <c r="F587">
        <v>9.9</v>
      </c>
      <c r="G587">
        <v>7.8</v>
      </c>
      <c r="H587">
        <v>2.1</v>
      </c>
      <c r="I587">
        <v>21</v>
      </c>
      <c r="J587">
        <v>90.7</v>
      </c>
      <c r="K587">
        <v>713.5</v>
      </c>
      <c r="L587">
        <v>429</v>
      </c>
      <c r="M587">
        <v>398</v>
      </c>
      <c r="N587">
        <v>545</v>
      </c>
      <c r="O587">
        <v>147</v>
      </c>
      <c r="P587">
        <v>336</v>
      </c>
      <c r="Q587">
        <v>576</v>
      </c>
      <c r="R587">
        <v>240</v>
      </c>
      <c r="S587">
        <v>227.1</v>
      </c>
      <c r="T587">
        <v>411</v>
      </c>
      <c r="U587">
        <v>418</v>
      </c>
      <c r="V587">
        <v>500</v>
      </c>
      <c r="W587">
        <v>2.79</v>
      </c>
    </row>
    <row r="588" spans="1:23" x14ac:dyDescent="0.25">
      <c r="A588" t="s">
        <v>36</v>
      </c>
      <c r="B588">
        <v>9</v>
      </c>
      <c r="C588">
        <v>13</v>
      </c>
      <c r="D588">
        <v>1999</v>
      </c>
      <c r="E588">
        <v>160.9</v>
      </c>
      <c r="F588">
        <v>10.199999999999999</v>
      </c>
      <c r="G588">
        <v>9.3000000000000007</v>
      </c>
      <c r="H588">
        <v>0.9</v>
      </c>
      <c r="I588">
        <v>8</v>
      </c>
      <c r="J588">
        <v>99.8</v>
      </c>
      <c r="K588">
        <v>813.3</v>
      </c>
      <c r="L588">
        <v>431</v>
      </c>
      <c r="M588">
        <v>420</v>
      </c>
      <c r="N588">
        <v>538</v>
      </c>
      <c r="O588">
        <v>118</v>
      </c>
      <c r="P588">
        <v>327</v>
      </c>
      <c r="Q588">
        <v>564</v>
      </c>
      <c r="R588">
        <v>237</v>
      </c>
      <c r="S588">
        <v>227.1</v>
      </c>
      <c r="T588">
        <v>411</v>
      </c>
      <c r="U588">
        <v>418</v>
      </c>
      <c r="V588">
        <v>500</v>
      </c>
      <c r="W588">
        <v>2.79</v>
      </c>
    </row>
    <row r="589" spans="1:23" x14ac:dyDescent="0.25">
      <c r="A589" t="s">
        <v>36</v>
      </c>
      <c r="B589">
        <v>9</v>
      </c>
      <c r="C589">
        <v>14</v>
      </c>
      <c r="D589">
        <v>2000</v>
      </c>
      <c r="E589">
        <v>170.2</v>
      </c>
      <c r="F589">
        <v>9.3000000000000007</v>
      </c>
      <c r="G589">
        <v>8.4</v>
      </c>
      <c r="H589">
        <v>0.9</v>
      </c>
      <c r="I589">
        <v>9</v>
      </c>
      <c r="J589">
        <v>96.7</v>
      </c>
      <c r="K589">
        <v>910.1</v>
      </c>
      <c r="L589">
        <v>418</v>
      </c>
      <c r="M589">
        <v>405</v>
      </c>
      <c r="N589">
        <v>546</v>
      </c>
      <c r="O589">
        <v>141</v>
      </c>
      <c r="P589">
        <v>346</v>
      </c>
      <c r="Q589">
        <v>562</v>
      </c>
      <c r="R589">
        <v>216</v>
      </c>
      <c r="S589">
        <v>227.1</v>
      </c>
      <c r="T589">
        <v>411</v>
      </c>
      <c r="U589">
        <v>418</v>
      </c>
      <c r="V589">
        <v>500</v>
      </c>
      <c r="W589">
        <v>2.79</v>
      </c>
    </row>
    <row r="590" spans="1:23" x14ac:dyDescent="0.25">
      <c r="A590" t="s">
        <v>36</v>
      </c>
      <c r="B590">
        <v>9</v>
      </c>
      <c r="C590">
        <v>15</v>
      </c>
      <c r="D590">
        <v>2001</v>
      </c>
      <c r="E590">
        <v>176.8</v>
      </c>
      <c r="F590">
        <v>6.6</v>
      </c>
      <c r="G590">
        <v>5.0999999999999996</v>
      </c>
      <c r="H590">
        <v>1.5</v>
      </c>
      <c r="I590">
        <v>22</v>
      </c>
      <c r="J590">
        <v>71.900000000000006</v>
      </c>
      <c r="K590">
        <v>982</v>
      </c>
      <c r="L590">
        <v>458</v>
      </c>
      <c r="M590">
        <v>429</v>
      </c>
      <c r="N590">
        <v>558</v>
      </c>
      <c r="O590">
        <v>129</v>
      </c>
      <c r="P590">
        <v>377</v>
      </c>
      <c r="Q590">
        <v>578</v>
      </c>
      <c r="R590">
        <v>201</v>
      </c>
      <c r="S590">
        <v>227.1</v>
      </c>
      <c r="T590">
        <v>411</v>
      </c>
      <c r="U590">
        <v>418</v>
      </c>
      <c r="V590">
        <v>500</v>
      </c>
      <c r="W590">
        <v>2.79</v>
      </c>
    </row>
    <row r="591" spans="1:23" x14ac:dyDescent="0.25">
      <c r="A591" t="s">
        <v>36</v>
      </c>
      <c r="B591">
        <v>9</v>
      </c>
      <c r="C591">
        <v>16</v>
      </c>
      <c r="D591">
        <v>2002</v>
      </c>
      <c r="E591">
        <v>183.4</v>
      </c>
      <c r="F591">
        <v>6.6</v>
      </c>
      <c r="G591">
        <v>4.5</v>
      </c>
      <c r="H591">
        <v>2.1</v>
      </c>
      <c r="I591">
        <v>31</v>
      </c>
      <c r="J591">
        <v>74.7</v>
      </c>
      <c r="K591">
        <v>1056.7</v>
      </c>
      <c r="L591">
        <v>466</v>
      </c>
      <c r="M591">
        <v>421</v>
      </c>
      <c r="N591">
        <v>562</v>
      </c>
      <c r="O591">
        <v>141</v>
      </c>
      <c r="P591">
        <v>349</v>
      </c>
      <c r="Q591">
        <v>622</v>
      </c>
      <c r="R591">
        <v>273</v>
      </c>
      <c r="S591">
        <v>227.1</v>
      </c>
      <c r="T591">
        <v>411</v>
      </c>
      <c r="U591">
        <v>418</v>
      </c>
      <c r="V591">
        <v>500</v>
      </c>
      <c r="W591">
        <v>2.79</v>
      </c>
    </row>
    <row r="592" spans="1:23" x14ac:dyDescent="0.25">
      <c r="A592" t="s">
        <v>36</v>
      </c>
      <c r="B592">
        <v>9</v>
      </c>
      <c r="C592">
        <v>17</v>
      </c>
      <c r="D592">
        <v>2003</v>
      </c>
      <c r="E592">
        <v>191.2</v>
      </c>
      <c r="F592">
        <v>7.8</v>
      </c>
      <c r="G592">
        <v>6.9</v>
      </c>
      <c r="H592">
        <v>0.9</v>
      </c>
      <c r="I592">
        <v>11</v>
      </c>
      <c r="J592">
        <v>91.8</v>
      </c>
      <c r="K592">
        <v>1148.5</v>
      </c>
      <c r="L592">
        <v>445</v>
      </c>
      <c r="M592">
        <v>434</v>
      </c>
      <c r="N592">
        <v>531</v>
      </c>
      <c r="O592">
        <v>97</v>
      </c>
      <c r="P592">
        <v>386</v>
      </c>
      <c r="Q592">
        <v>575</v>
      </c>
      <c r="R592">
        <v>189</v>
      </c>
      <c r="S592">
        <v>227.1</v>
      </c>
      <c r="T592">
        <v>411</v>
      </c>
      <c r="U592">
        <v>418</v>
      </c>
      <c r="V592">
        <v>500</v>
      </c>
      <c r="W592">
        <v>2.79</v>
      </c>
    </row>
    <row r="593" spans="1:23" x14ac:dyDescent="0.25">
      <c r="A593" t="s">
        <v>36</v>
      </c>
      <c r="B593">
        <v>9</v>
      </c>
      <c r="C593">
        <v>18</v>
      </c>
      <c r="D593">
        <v>2004</v>
      </c>
      <c r="E593">
        <v>198.1</v>
      </c>
      <c r="F593">
        <v>6.9</v>
      </c>
      <c r="G593">
        <v>4.5</v>
      </c>
      <c r="H593">
        <v>2.4</v>
      </c>
      <c r="I593">
        <v>34</v>
      </c>
      <c r="J593">
        <v>84.4</v>
      </c>
      <c r="K593">
        <v>1232.9000000000001</v>
      </c>
      <c r="L593">
        <v>460</v>
      </c>
      <c r="M593">
        <v>415</v>
      </c>
      <c r="N593">
        <v>545</v>
      </c>
      <c r="O593">
        <v>130</v>
      </c>
      <c r="P593">
        <v>376</v>
      </c>
      <c r="Q593">
        <v>619</v>
      </c>
      <c r="R593">
        <v>243</v>
      </c>
      <c r="S593">
        <v>227.1</v>
      </c>
      <c r="T593">
        <v>411</v>
      </c>
      <c r="U593">
        <v>418</v>
      </c>
      <c r="V593">
        <v>500</v>
      </c>
      <c r="W593">
        <v>2.79</v>
      </c>
    </row>
    <row r="594" spans="1:23" x14ac:dyDescent="0.25">
      <c r="A594" t="s">
        <v>36</v>
      </c>
      <c r="B594">
        <v>9</v>
      </c>
      <c r="C594">
        <v>19</v>
      </c>
      <c r="D594">
        <v>2005</v>
      </c>
      <c r="E594">
        <v>204.1</v>
      </c>
      <c r="F594">
        <v>6</v>
      </c>
      <c r="G594">
        <v>5.7</v>
      </c>
      <c r="H594">
        <v>0.3</v>
      </c>
      <c r="I594">
        <v>5</v>
      </c>
      <c r="J594">
        <v>75.8</v>
      </c>
      <c r="K594">
        <v>1308.7</v>
      </c>
      <c r="L594">
        <v>421</v>
      </c>
      <c r="M594">
        <v>415</v>
      </c>
      <c r="N594">
        <v>530</v>
      </c>
      <c r="O594">
        <v>115</v>
      </c>
      <c r="P594">
        <v>373</v>
      </c>
      <c r="Q594">
        <v>530</v>
      </c>
      <c r="R594">
        <v>157</v>
      </c>
      <c r="S594">
        <v>227.1</v>
      </c>
      <c r="T594">
        <v>411</v>
      </c>
      <c r="U594">
        <v>418</v>
      </c>
      <c r="V594">
        <v>500</v>
      </c>
      <c r="W594">
        <v>2.79</v>
      </c>
    </row>
    <row r="595" spans="1:23" x14ac:dyDescent="0.25">
      <c r="A595" t="s">
        <v>36</v>
      </c>
      <c r="B595">
        <v>9</v>
      </c>
      <c r="C595">
        <v>20</v>
      </c>
      <c r="D595">
        <v>2006</v>
      </c>
      <c r="E595">
        <v>207.7</v>
      </c>
      <c r="F595">
        <v>3.6</v>
      </c>
      <c r="G595">
        <v>3</v>
      </c>
      <c r="H595">
        <v>0.6</v>
      </c>
      <c r="I595">
        <v>16</v>
      </c>
      <c r="J595">
        <v>46.6</v>
      </c>
      <c r="K595">
        <v>1355.3</v>
      </c>
      <c r="L595">
        <v>418</v>
      </c>
      <c r="M595">
        <v>397</v>
      </c>
      <c r="N595">
        <v>526</v>
      </c>
      <c r="O595">
        <v>129</v>
      </c>
      <c r="P595">
        <v>339</v>
      </c>
      <c r="Q595">
        <v>547</v>
      </c>
      <c r="R595">
        <v>208</v>
      </c>
      <c r="S595">
        <v>227.1</v>
      </c>
      <c r="T595">
        <v>411</v>
      </c>
      <c r="U595">
        <v>418</v>
      </c>
      <c r="V595">
        <v>500</v>
      </c>
      <c r="W595">
        <v>2.79</v>
      </c>
    </row>
    <row r="596" spans="1:23" x14ac:dyDescent="0.25">
      <c r="A596" t="s">
        <v>36</v>
      </c>
      <c r="B596">
        <v>9</v>
      </c>
      <c r="C596">
        <v>21</v>
      </c>
      <c r="D596">
        <v>2007</v>
      </c>
      <c r="E596">
        <v>211.3</v>
      </c>
      <c r="F596">
        <v>3.6</v>
      </c>
      <c r="G596">
        <v>2.4</v>
      </c>
      <c r="H596">
        <v>1.2</v>
      </c>
      <c r="I596">
        <v>33</v>
      </c>
      <c r="J596">
        <v>47.4</v>
      </c>
      <c r="K596">
        <v>1402.6</v>
      </c>
      <c r="L596">
        <v>475</v>
      </c>
      <c r="M596">
        <v>436</v>
      </c>
      <c r="N596">
        <v>551</v>
      </c>
      <c r="O596">
        <v>115</v>
      </c>
      <c r="P596">
        <v>357</v>
      </c>
      <c r="Q596">
        <v>593</v>
      </c>
      <c r="R596">
        <v>236</v>
      </c>
      <c r="S596">
        <v>227.1</v>
      </c>
      <c r="T596">
        <v>411</v>
      </c>
      <c r="U596">
        <v>418</v>
      </c>
      <c r="V596">
        <v>500</v>
      </c>
      <c r="W596">
        <v>2.79</v>
      </c>
    </row>
    <row r="597" spans="1:23" x14ac:dyDescent="0.25">
      <c r="A597" t="s">
        <v>36</v>
      </c>
      <c r="B597">
        <v>9</v>
      </c>
      <c r="C597">
        <v>22</v>
      </c>
      <c r="D597">
        <v>2008</v>
      </c>
      <c r="E597">
        <v>215.2</v>
      </c>
      <c r="F597">
        <v>3.9</v>
      </c>
      <c r="G597">
        <v>2.7</v>
      </c>
      <c r="H597">
        <v>1.2</v>
      </c>
      <c r="I597">
        <v>30</v>
      </c>
      <c r="J597">
        <v>52.3</v>
      </c>
      <c r="K597">
        <v>1454.9</v>
      </c>
      <c r="L597">
        <v>462</v>
      </c>
      <c r="M597">
        <v>422</v>
      </c>
      <c r="N597">
        <v>552</v>
      </c>
      <c r="O597">
        <v>130</v>
      </c>
      <c r="P597">
        <v>365</v>
      </c>
      <c r="Q597">
        <v>589</v>
      </c>
      <c r="R597">
        <v>224</v>
      </c>
      <c r="S597">
        <v>227.1</v>
      </c>
      <c r="T597">
        <v>411</v>
      </c>
      <c r="U597">
        <v>418</v>
      </c>
      <c r="V597">
        <v>500</v>
      </c>
      <c r="W597">
        <v>2.79</v>
      </c>
    </row>
    <row r="598" spans="1:23" x14ac:dyDescent="0.25">
      <c r="A598" t="s">
        <v>36</v>
      </c>
      <c r="B598">
        <v>9</v>
      </c>
      <c r="C598">
        <v>23</v>
      </c>
      <c r="D598">
        <v>2009</v>
      </c>
      <c r="E598">
        <v>218.2</v>
      </c>
      <c r="F598">
        <v>3</v>
      </c>
      <c r="G598">
        <v>1.8</v>
      </c>
      <c r="H598">
        <v>1.2</v>
      </c>
      <c r="I598">
        <v>40</v>
      </c>
      <c r="J598">
        <v>40.799999999999997</v>
      </c>
      <c r="K598">
        <v>1495.8</v>
      </c>
      <c r="L598">
        <v>480</v>
      </c>
      <c r="M598">
        <v>440</v>
      </c>
      <c r="N598">
        <v>541</v>
      </c>
      <c r="O598">
        <v>101</v>
      </c>
      <c r="P598">
        <v>397</v>
      </c>
      <c r="Q598">
        <v>590</v>
      </c>
      <c r="R598">
        <v>193</v>
      </c>
      <c r="S598">
        <v>227.1</v>
      </c>
      <c r="T598">
        <v>411</v>
      </c>
      <c r="U598">
        <v>418</v>
      </c>
      <c r="V598">
        <v>500</v>
      </c>
      <c r="W598">
        <v>2.79</v>
      </c>
    </row>
    <row r="599" spans="1:23" x14ac:dyDescent="0.25">
      <c r="A599" t="s">
        <v>36</v>
      </c>
      <c r="B599">
        <v>9</v>
      </c>
      <c r="C599">
        <v>24</v>
      </c>
      <c r="D599">
        <v>2010</v>
      </c>
      <c r="E599">
        <v>222.4</v>
      </c>
      <c r="F599">
        <v>4.2</v>
      </c>
      <c r="G599">
        <v>3.3</v>
      </c>
      <c r="H599">
        <v>0.9</v>
      </c>
      <c r="I599">
        <v>21</v>
      </c>
      <c r="J599">
        <v>58.1</v>
      </c>
      <c r="K599">
        <v>1553.9</v>
      </c>
      <c r="L599">
        <v>457</v>
      </c>
      <c r="M599">
        <v>423</v>
      </c>
      <c r="N599">
        <v>583</v>
      </c>
      <c r="O599">
        <v>160</v>
      </c>
      <c r="P599">
        <v>354</v>
      </c>
      <c r="Q599">
        <v>610</v>
      </c>
      <c r="R599">
        <v>256</v>
      </c>
      <c r="S599">
        <v>227.1</v>
      </c>
      <c r="T599">
        <v>411</v>
      </c>
      <c r="U599">
        <v>418</v>
      </c>
      <c r="V599">
        <v>500</v>
      </c>
      <c r="W599">
        <v>2.79</v>
      </c>
    </row>
    <row r="600" spans="1:23" x14ac:dyDescent="0.25">
      <c r="A600" t="s">
        <v>36</v>
      </c>
      <c r="B600">
        <v>9</v>
      </c>
      <c r="C600">
        <v>25</v>
      </c>
      <c r="D600">
        <v>2011</v>
      </c>
      <c r="E600">
        <v>226.3</v>
      </c>
      <c r="F600">
        <v>3.9</v>
      </c>
      <c r="G600">
        <v>2.7</v>
      </c>
      <c r="H600">
        <v>1.2</v>
      </c>
      <c r="I600">
        <v>30</v>
      </c>
      <c r="J600">
        <v>55</v>
      </c>
      <c r="K600">
        <v>1608.9</v>
      </c>
      <c r="L600">
        <v>445</v>
      </c>
      <c r="M600">
        <v>404</v>
      </c>
      <c r="N600">
        <v>537</v>
      </c>
      <c r="O600">
        <v>133</v>
      </c>
      <c r="P600">
        <v>351</v>
      </c>
      <c r="Q600">
        <v>573</v>
      </c>
      <c r="R600">
        <v>222</v>
      </c>
      <c r="S600">
        <v>227.1</v>
      </c>
      <c r="T600">
        <v>411</v>
      </c>
      <c r="U600">
        <v>418</v>
      </c>
      <c r="V600">
        <v>500</v>
      </c>
      <c r="W600">
        <v>2.79</v>
      </c>
    </row>
    <row r="601" spans="1:23" x14ac:dyDescent="0.25">
      <c r="A601" t="s">
        <v>36</v>
      </c>
      <c r="B601">
        <v>9</v>
      </c>
      <c r="C601">
        <v>26</v>
      </c>
      <c r="D601">
        <v>2012</v>
      </c>
      <c r="E601">
        <v>228.1</v>
      </c>
      <c r="F601">
        <v>1.8</v>
      </c>
      <c r="G601">
        <v>1.8</v>
      </c>
      <c r="H601">
        <v>0</v>
      </c>
      <c r="I601">
        <v>0</v>
      </c>
      <c r="J601">
        <v>25.7</v>
      </c>
      <c r="K601">
        <v>1634.6</v>
      </c>
      <c r="L601">
        <v>420</v>
      </c>
      <c r="M601">
        <v>420</v>
      </c>
      <c r="P601">
        <v>355</v>
      </c>
      <c r="Q601">
        <v>474</v>
      </c>
      <c r="R601">
        <v>119</v>
      </c>
      <c r="S601">
        <v>227.1</v>
      </c>
      <c r="T601">
        <v>411</v>
      </c>
      <c r="U601">
        <v>418</v>
      </c>
      <c r="V601">
        <v>500</v>
      </c>
      <c r="W601">
        <v>2.79</v>
      </c>
    </row>
    <row r="602" spans="1:23" x14ac:dyDescent="0.25">
      <c r="A602" t="s">
        <v>36</v>
      </c>
      <c r="B602">
        <v>10</v>
      </c>
      <c r="C602">
        <v>4</v>
      </c>
      <c r="D602">
        <v>1990</v>
      </c>
      <c r="E602">
        <v>19</v>
      </c>
      <c r="F602">
        <v>19</v>
      </c>
      <c r="G602">
        <v>9</v>
      </c>
      <c r="H602">
        <v>0</v>
      </c>
      <c r="I602">
        <v>0</v>
      </c>
      <c r="J602">
        <v>11.3</v>
      </c>
      <c r="K602">
        <v>11.3</v>
      </c>
      <c r="L602">
        <v>381</v>
      </c>
      <c r="M602">
        <v>381</v>
      </c>
      <c r="P602">
        <v>129</v>
      </c>
      <c r="Q602">
        <v>487</v>
      </c>
      <c r="R602">
        <v>358</v>
      </c>
      <c r="S602">
        <v>240.3</v>
      </c>
      <c r="T602">
        <v>373</v>
      </c>
      <c r="U602">
        <v>372</v>
      </c>
      <c r="V602">
        <v>500</v>
      </c>
      <c r="W602">
        <v>2.79</v>
      </c>
    </row>
    <row r="603" spans="1:23" x14ac:dyDescent="0.25">
      <c r="A603" t="s">
        <v>36</v>
      </c>
      <c r="B603">
        <v>10</v>
      </c>
      <c r="C603">
        <v>5</v>
      </c>
      <c r="D603">
        <v>1991</v>
      </c>
      <c r="E603">
        <v>36.4</v>
      </c>
      <c r="F603">
        <v>17.399999999999999</v>
      </c>
      <c r="G603">
        <v>16.5</v>
      </c>
      <c r="H603">
        <v>0.9</v>
      </c>
      <c r="I603">
        <v>5</v>
      </c>
      <c r="J603">
        <v>30.3</v>
      </c>
      <c r="K603">
        <v>41.6</v>
      </c>
      <c r="L603">
        <v>361</v>
      </c>
      <c r="M603">
        <v>353</v>
      </c>
      <c r="N603">
        <v>516</v>
      </c>
      <c r="O603">
        <v>163</v>
      </c>
      <c r="P603">
        <v>292</v>
      </c>
      <c r="Q603">
        <v>521</v>
      </c>
      <c r="R603">
        <v>229</v>
      </c>
      <c r="S603">
        <v>240.3</v>
      </c>
      <c r="T603">
        <v>373</v>
      </c>
      <c r="U603">
        <v>372</v>
      </c>
      <c r="V603">
        <v>500</v>
      </c>
      <c r="W603">
        <v>2.79</v>
      </c>
    </row>
    <row r="604" spans="1:23" x14ac:dyDescent="0.25">
      <c r="A604" t="s">
        <v>36</v>
      </c>
      <c r="B604">
        <v>10</v>
      </c>
      <c r="C604">
        <v>6</v>
      </c>
      <c r="D604">
        <v>1992</v>
      </c>
      <c r="E604">
        <v>55</v>
      </c>
      <c r="F604">
        <v>18.600000000000001</v>
      </c>
      <c r="G604">
        <v>18.600000000000001</v>
      </c>
      <c r="H604">
        <v>0</v>
      </c>
      <c r="I604">
        <v>0</v>
      </c>
      <c r="J604">
        <v>53.4</v>
      </c>
      <c r="K604">
        <v>95</v>
      </c>
      <c r="L604">
        <v>364</v>
      </c>
      <c r="M604">
        <v>364</v>
      </c>
      <c r="P604">
        <v>284</v>
      </c>
      <c r="Q604">
        <v>477</v>
      </c>
      <c r="R604">
        <v>193</v>
      </c>
      <c r="S604">
        <v>240.3</v>
      </c>
      <c r="T604">
        <v>373</v>
      </c>
      <c r="U604">
        <v>372</v>
      </c>
      <c r="V604">
        <v>500</v>
      </c>
      <c r="W604">
        <v>2.79</v>
      </c>
    </row>
    <row r="605" spans="1:23" x14ac:dyDescent="0.25">
      <c r="A605" t="s">
        <v>36</v>
      </c>
      <c r="B605">
        <v>10</v>
      </c>
      <c r="C605">
        <v>7</v>
      </c>
      <c r="D605">
        <v>1993</v>
      </c>
      <c r="E605">
        <v>73.599999999999994</v>
      </c>
      <c r="F605">
        <v>18.600000000000001</v>
      </c>
      <c r="G605">
        <v>18.3</v>
      </c>
      <c r="H605">
        <v>0.3</v>
      </c>
      <c r="I605">
        <v>1</v>
      </c>
      <c r="J605">
        <v>75.099999999999994</v>
      </c>
      <c r="K605">
        <v>170.2</v>
      </c>
      <c r="L605">
        <v>360</v>
      </c>
      <c r="M605">
        <v>357</v>
      </c>
      <c r="N605">
        <v>525</v>
      </c>
      <c r="O605">
        <v>168</v>
      </c>
      <c r="P605">
        <v>296</v>
      </c>
      <c r="Q605">
        <v>525</v>
      </c>
      <c r="R605">
        <v>229</v>
      </c>
      <c r="S605">
        <v>240.3</v>
      </c>
      <c r="T605">
        <v>373</v>
      </c>
      <c r="U605">
        <v>372</v>
      </c>
      <c r="V605">
        <v>500</v>
      </c>
      <c r="W605">
        <v>2.79</v>
      </c>
    </row>
    <row r="606" spans="1:23" x14ac:dyDescent="0.25">
      <c r="A606" t="s">
        <v>36</v>
      </c>
      <c r="B606">
        <v>10</v>
      </c>
      <c r="C606">
        <v>8</v>
      </c>
      <c r="D606">
        <v>1994</v>
      </c>
      <c r="E606">
        <v>92.5</v>
      </c>
      <c r="F606">
        <v>18.899999999999999</v>
      </c>
      <c r="G606">
        <v>16.5</v>
      </c>
      <c r="H606">
        <v>2.4</v>
      </c>
      <c r="I606">
        <v>12</v>
      </c>
      <c r="J606">
        <v>98.6</v>
      </c>
      <c r="K606">
        <v>268.8</v>
      </c>
      <c r="L606">
        <v>384</v>
      </c>
      <c r="M606">
        <v>365</v>
      </c>
      <c r="N606">
        <v>519</v>
      </c>
      <c r="O606">
        <v>154</v>
      </c>
      <c r="P606">
        <v>256</v>
      </c>
      <c r="Q606">
        <v>549</v>
      </c>
      <c r="R606">
        <v>293</v>
      </c>
      <c r="S606">
        <v>240.3</v>
      </c>
      <c r="T606">
        <v>373</v>
      </c>
      <c r="U606">
        <v>372</v>
      </c>
      <c r="V606">
        <v>500</v>
      </c>
      <c r="W606">
        <v>2.79</v>
      </c>
    </row>
    <row r="607" spans="1:23" x14ac:dyDescent="0.25">
      <c r="A607" t="s">
        <v>36</v>
      </c>
      <c r="B607">
        <v>10</v>
      </c>
      <c r="C607">
        <v>9</v>
      </c>
      <c r="D607">
        <v>1995</v>
      </c>
      <c r="E607">
        <v>106.3</v>
      </c>
      <c r="F607">
        <v>13.8</v>
      </c>
      <c r="G607">
        <v>13.5</v>
      </c>
      <c r="H607">
        <v>0.3</v>
      </c>
      <c r="I607">
        <v>2</v>
      </c>
      <c r="J607">
        <v>86.2</v>
      </c>
      <c r="K607">
        <v>355</v>
      </c>
      <c r="L607">
        <v>368</v>
      </c>
      <c r="M607">
        <v>365</v>
      </c>
      <c r="N607">
        <v>523</v>
      </c>
      <c r="O607">
        <v>158</v>
      </c>
      <c r="P607">
        <v>294</v>
      </c>
      <c r="Q607">
        <v>523</v>
      </c>
      <c r="R607">
        <v>229</v>
      </c>
      <c r="S607">
        <v>240.3</v>
      </c>
      <c r="T607">
        <v>373</v>
      </c>
      <c r="U607">
        <v>372</v>
      </c>
      <c r="V607">
        <v>500</v>
      </c>
      <c r="W607">
        <v>2.79</v>
      </c>
    </row>
    <row r="608" spans="1:23" x14ac:dyDescent="0.25">
      <c r="A608" t="s">
        <v>36</v>
      </c>
      <c r="B608">
        <v>10</v>
      </c>
      <c r="C608">
        <v>10</v>
      </c>
      <c r="D608">
        <v>1996</v>
      </c>
      <c r="E608">
        <v>118.9</v>
      </c>
      <c r="F608">
        <v>12.6</v>
      </c>
      <c r="G608">
        <v>12</v>
      </c>
      <c r="H608">
        <v>0.6</v>
      </c>
      <c r="I608">
        <v>4</v>
      </c>
      <c r="J608">
        <v>89.1</v>
      </c>
      <c r="K608">
        <v>444.1</v>
      </c>
      <c r="L608">
        <v>368</v>
      </c>
      <c r="M608">
        <v>361</v>
      </c>
      <c r="N608">
        <v>511</v>
      </c>
      <c r="O608">
        <v>150</v>
      </c>
      <c r="P608">
        <v>274</v>
      </c>
      <c r="Q608">
        <v>519</v>
      </c>
      <c r="R608">
        <v>245</v>
      </c>
      <c r="S608">
        <v>240.3</v>
      </c>
      <c r="T608">
        <v>373</v>
      </c>
      <c r="U608">
        <v>372</v>
      </c>
      <c r="V608">
        <v>500</v>
      </c>
      <c r="W608">
        <v>2.79</v>
      </c>
    </row>
    <row r="609" spans="1:23" x14ac:dyDescent="0.25">
      <c r="A609" t="s">
        <v>36</v>
      </c>
      <c r="B609">
        <v>10</v>
      </c>
      <c r="C609">
        <v>11</v>
      </c>
      <c r="D609">
        <v>1997</v>
      </c>
      <c r="E609">
        <v>133.9</v>
      </c>
      <c r="F609">
        <v>15</v>
      </c>
      <c r="G609">
        <v>14.4</v>
      </c>
      <c r="H609">
        <v>0.6</v>
      </c>
      <c r="I609">
        <v>3</v>
      </c>
      <c r="J609">
        <v>119.1</v>
      </c>
      <c r="K609">
        <v>563.29999999999995</v>
      </c>
      <c r="L609">
        <v>362</v>
      </c>
      <c r="M609">
        <v>356</v>
      </c>
      <c r="N609">
        <v>506</v>
      </c>
      <c r="O609">
        <v>150</v>
      </c>
      <c r="P609">
        <v>298</v>
      </c>
      <c r="Q609">
        <v>509</v>
      </c>
      <c r="R609">
        <v>211</v>
      </c>
      <c r="S609">
        <v>240.3</v>
      </c>
      <c r="T609">
        <v>373</v>
      </c>
      <c r="U609">
        <v>372</v>
      </c>
      <c r="V609">
        <v>500</v>
      </c>
      <c r="W609">
        <v>2.79</v>
      </c>
    </row>
    <row r="610" spans="1:23" x14ac:dyDescent="0.25">
      <c r="A610" t="s">
        <v>36</v>
      </c>
      <c r="B610">
        <v>10</v>
      </c>
      <c r="C610">
        <v>12</v>
      </c>
      <c r="D610">
        <v>1998</v>
      </c>
      <c r="E610">
        <v>145</v>
      </c>
      <c r="F610">
        <v>11.1</v>
      </c>
      <c r="G610">
        <v>9.6</v>
      </c>
      <c r="H610">
        <v>1.5</v>
      </c>
      <c r="I610">
        <v>13</v>
      </c>
      <c r="J610">
        <v>97.3</v>
      </c>
      <c r="K610">
        <v>660.5</v>
      </c>
      <c r="L610">
        <v>392</v>
      </c>
      <c r="M610">
        <v>371</v>
      </c>
      <c r="N610">
        <v>525</v>
      </c>
      <c r="O610">
        <v>154</v>
      </c>
      <c r="P610">
        <v>284</v>
      </c>
      <c r="Q610">
        <v>568</v>
      </c>
      <c r="R610">
        <v>284</v>
      </c>
      <c r="S610">
        <v>240.3</v>
      </c>
      <c r="T610">
        <v>373</v>
      </c>
      <c r="U610">
        <v>372</v>
      </c>
      <c r="V610">
        <v>500</v>
      </c>
      <c r="W610">
        <v>2.79</v>
      </c>
    </row>
    <row r="611" spans="1:23" x14ac:dyDescent="0.25">
      <c r="A611" t="s">
        <v>36</v>
      </c>
      <c r="B611">
        <v>10</v>
      </c>
      <c r="C611">
        <v>13</v>
      </c>
      <c r="D611">
        <v>1999</v>
      </c>
      <c r="E611">
        <v>157</v>
      </c>
      <c r="F611">
        <v>12</v>
      </c>
      <c r="G611">
        <v>12</v>
      </c>
      <c r="H611">
        <v>0</v>
      </c>
      <c r="I611">
        <v>0</v>
      </c>
      <c r="J611">
        <v>113.9</v>
      </c>
      <c r="K611">
        <v>774.4</v>
      </c>
      <c r="L611">
        <v>361</v>
      </c>
      <c r="M611">
        <v>361</v>
      </c>
      <c r="P611">
        <v>293</v>
      </c>
      <c r="Q611">
        <v>494</v>
      </c>
      <c r="R611">
        <v>201</v>
      </c>
      <c r="S611">
        <v>240.3</v>
      </c>
      <c r="T611">
        <v>373</v>
      </c>
      <c r="U611">
        <v>372</v>
      </c>
      <c r="V611">
        <v>500</v>
      </c>
      <c r="W611">
        <v>2.79</v>
      </c>
    </row>
    <row r="612" spans="1:23" x14ac:dyDescent="0.25">
      <c r="A612" t="s">
        <v>36</v>
      </c>
      <c r="B612">
        <v>10</v>
      </c>
      <c r="C612">
        <v>14</v>
      </c>
      <c r="D612">
        <v>2000</v>
      </c>
      <c r="E612">
        <v>168.7</v>
      </c>
      <c r="F612">
        <v>11.7</v>
      </c>
      <c r="G612">
        <v>10.8</v>
      </c>
      <c r="H612">
        <v>0.9</v>
      </c>
      <c r="I612">
        <v>7</v>
      </c>
      <c r="J612">
        <v>119.7</v>
      </c>
      <c r="K612">
        <v>894.1</v>
      </c>
      <c r="L612">
        <v>351</v>
      </c>
      <c r="M612">
        <v>337</v>
      </c>
      <c r="N612">
        <v>518</v>
      </c>
      <c r="O612">
        <v>181</v>
      </c>
      <c r="P612">
        <v>283</v>
      </c>
      <c r="Q612">
        <v>540</v>
      </c>
      <c r="R612">
        <v>257</v>
      </c>
      <c r="S612">
        <v>240.3</v>
      </c>
      <c r="T612">
        <v>373</v>
      </c>
      <c r="U612">
        <v>372</v>
      </c>
      <c r="V612">
        <v>500</v>
      </c>
      <c r="W612">
        <v>2.79</v>
      </c>
    </row>
    <row r="613" spans="1:23" x14ac:dyDescent="0.25">
      <c r="A613" t="s">
        <v>36</v>
      </c>
      <c r="B613">
        <v>10</v>
      </c>
      <c r="C613">
        <v>15</v>
      </c>
      <c r="D613">
        <v>2001</v>
      </c>
      <c r="E613">
        <v>178.6</v>
      </c>
      <c r="F613">
        <v>9.9</v>
      </c>
      <c r="G613">
        <v>9.3000000000000007</v>
      </c>
      <c r="H613">
        <v>0.6</v>
      </c>
      <c r="I613">
        <v>6</v>
      </c>
      <c r="J613">
        <v>108</v>
      </c>
      <c r="K613">
        <v>1002.1</v>
      </c>
      <c r="L613">
        <v>367</v>
      </c>
      <c r="M613">
        <v>356</v>
      </c>
      <c r="N613">
        <v>529</v>
      </c>
      <c r="O613">
        <v>173</v>
      </c>
      <c r="P613">
        <v>302</v>
      </c>
      <c r="Q613">
        <v>539</v>
      </c>
      <c r="R613">
        <v>237</v>
      </c>
      <c r="S613">
        <v>240.3</v>
      </c>
      <c r="T613">
        <v>373</v>
      </c>
      <c r="U613">
        <v>372</v>
      </c>
      <c r="V613">
        <v>500</v>
      </c>
      <c r="W613">
        <v>2.79</v>
      </c>
    </row>
    <row r="614" spans="1:23" x14ac:dyDescent="0.25">
      <c r="A614" t="s">
        <v>36</v>
      </c>
      <c r="B614">
        <v>10</v>
      </c>
      <c r="C614">
        <v>16</v>
      </c>
      <c r="D614">
        <v>2002</v>
      </c>
      <c r="E614">
        <v>189.4</v>
      </c>
      <c r="F614">
        <v>10.8</v>
      </c>
      <c r="G614">
        <v>9.6</v>
      </c>
      <c r="H614">
        <v>1.2</v>
      </c>
      <c r="I614">
        <v>11</v>
      </c>
      <c r="J614">
        <v>124.9</v>
      </c>
      <c r="K614">
        <v>1127</v>
      </c>
      <c r="L614">
        <v>371</v>
      </c>
      <c r="M614">
        <v>351</v>
      </c>
      <c r="N614">
        <v>530</v>
      </c>
      <c r="O614">
        <v>179</v>
      </c>
      <c r="P614">
        <v>303</v>
      </c>
      <c r="Q614">
        <v>549</v>
      </c>
      <c r="R614">
        <v>246</v>
      </c>
      <c r="S614">
        <v>240.3</v>
      </c>
      <c r="T614">
        <v>373</v>
      </c>
      <c r="U614">
        <v>372</v>
      </c>
      <c r="V614">
        <v>500</v>
      </c>
      <c r="W614">
        <v>2.79</v>
      </c>
    </row>
    <row r="615" spans="1:23" x14ac:dyDescent="0.25">
      <c r="A615" t="s">
        <v>36</v>
      </c>
      <c r="B615">
        <v>10</v>
      </c>
      <c r="C615">
        <v>17</v>
      </c>
      <c r="D615">
        <v>2003</v>
      </c>
      <c r="E615">
        <v>198.1</v>
      </c>
      <c r="F615">
        <v>8.6999999999999993</v>
      </c>
      <c r="G615">
        <v>8.4</v>
      </c>
      <c r="H615">
        <v>0.3</v>
      </c>
      <c r="I615">
        <v>3</v>
      </c>
      <c r="J615">
        <v>105.9</v>
      </c>
      <c r="K615">
        <v>1232.9000000000001</v>
      </c>
      <c r="L615">
        <v>360</v>
      </c>
      <c r="M615">
        <v>354</v>
      </c>
      <c r="N615">
        <v>503</v>
      </c>
      <c r="O615">
        <v>149</v>
      </c>
      <c r="P615">
        <v>296</v>
      </c>
      <c r="Q615">
        <v>503</v>
      </c>
      <c r="R615">
        <v>207</v>
      </c>
      <c r="S615">
        <v>240.3</v>
      </c>
      <c r="T615">
        <v>373</v>
      </c>
      <c r="U615">
        <v>372</v>
      </c>
      <c r="V615">
        <v>500</v>
      </c>
      <c r="W615">
        <v>2.79</v>
      </c>
    </row>
    <row r="616" spans="1:23" x14ac:dyDescent="0.25">
      <c r="A616" t="s">
        <v>36</v>
      </c>
      <c r="B616">
        <v>10</v>
      </c>
      <c r="C616">
        <v>18</v>
      </c>
      <c r="D616">
        <v>2004</v>
      </c>
      <c r="E616">
        <v>207.1</v>
      </c>
      <c r="F616">
        <v>9</v>
      </c>
      <c r="G616">
        <v>8.4</v>
      </c>
      <c r="H616">
        <v>0.6</v>
      </c>
      <c r="I616">
        <v>6</v>
      </c>
      <c r="J616">
        <v>114.6</v>
      </c>
      <c r="K616">
        <v>1347.4</v>
      </c>
      <c r="L616">
        <v>362</v>
      </c>
      <c r="M616">
        <v>352</v>
      </c>
      <c r="N616">
        <v>507</v>
      </c>
      <c r="O616">
        <v>155</v>
      </c>
      <c r="P616">
        <v>303</v>
      </c>
      <c r="Q616">
        <v>515</v>
      </c>
      <c r="R616">
        <v>212</v>
      </c>
      <c r="S616">
        <v>240.3</v>
      </c>
      <c r="T616">
        <v>373</v>
      </c>
      <c r="U616">
        <v>372</v>
      </c>
      <c r="V616">
        <v>500</v>
      </c>
      <c r="W616">
        <v>2.79</v>
      </c>
    </row>
    <row r="617" spans="1:23" x14ac:dyDescent="0.25">
      <c r="A617" t="s">
        <v>36</v>
      </c>
      <c r="B617">
        <v>10</v>
      </c>
      <c r="C617">
        <v>19</v>
      </c>
      <c r="D617">
        <v>2005</v>
      </c>
      <c r="E617">
        <v>214.3</v>
      </c>
      <c r="F617">
        <v>7.2</v>
      </c>
      <c r="G617">
        <v>6.6</v>
      </c>
      <c r="H617">
        <v>0.6</v>
      </c>
      <c r="I617">
        <v>8</v>
      </c>
      <c r="J617">
        <v>95.3</v>
      </c>
      <c r="K617">
        <v>1442.8</v>
      </c>
      <c r="L617">
        <v>391</v>
      </c>
      <c r="M617">
        <v>380</v>
      </c>
      <c r="N617">
        <v>514</v>
      </c>
      <c r="O617">
        <v>134</v>
      </c>
      <c r="P617">
        <v>322</v>
      </c>
      <c r="Q617">
        <v>524</v>
      </c>
      <c r="R617">
        <v>202</v>
      </c>
      <c r="S617">
        <v>240.3</v>
      </c>
      <c r="T617">
        <v>373</v>
      </c>
      <c r="U617">
        <v>372</v>
      </c>
      <c r="V617">
        <v>500</v>
      </c>
      <c r="W617">
        <v>2.79</v>
      </c>
    </row>
    <row r="618" spans="1:23" x14ac:dyDescent="0.25">
      <c r="A618" t="s">
        <v>36</v>
      </c>
      <c r="B618">
        <v>10</v>
      </c>
      <c r="C618">
        <v>20</v>
      </c>
      <c r="D618">
        <v>2006</v>
      </c>
      <c r="E618">
        <v>220</v>
      </c>
      <c r="F618">
        <v>5.7</v>
      </c>
      <c r="G618">
        <v>5.4</v>
      </c>
      <c r="H618">
        <v>0.3</v>
      </c>
      <c r="I618">
        <v>5</v>
      </c>
      <c r="J618">
        <v>77.8</v>
      </c>
      <c r="K618">
        <v>1520.5</v>
      </c>
      <c r="L618">
        <v>376</v>
      </c>
      <c r="M618">
        <v>368</v>
      </c>
      <c r="N618">
        <v>533</v>
      </c>
      <c r="O618">
        <v>165</v>
      </c>
      <c r="P618">
        <v>334</v>
      </c>
      <c r="Q618">
        <v>533</v>
      </c>
      <c r="R618">
        <v>199</v>
      </c>
      <c r="S618">
        <v>240.3</v>
      </c>
      <c r="T618">
        <v>373</v>
      </c>
      <c r="U618">
        <v>372</v>
      </c>
      <c r="V618">
        <v>500</v>
      </c>
      <c r="W618">
        <v>2.79</v>
      </c>
    </row>
    <row r="619" spans="1:23" x14ac:dyDescent="0.25">
      <c r="A619" t="s">
        <v>36</v>
      </c>
      <c r="B619">
        <v>10</v>
      </c>
      <c r="C619">
        <v>21</v>
      </c>
      <c r="D619">
        <v>2007</v>
      </c>
      <c r="E619">
        <v>224.8</v>
      </c>
      <c r="F619">
        <v>4.8</v>
      </c>
      <c r="G619">
        <v>4.2</v>
      </c>
      <c r="H619">
        <v>0.6</v>
      </c>
      <c r="I619">
        <v>12</v>
      </c>
      <c r="J619">
        <v>67.099999999999994</v>
      </c>
      <c r="K619">
        <v>1587.6</v>
      </c>
      <c r="L619">
        <v>405</v>
      </c>
      <c r="M619">
        <v>386</v>
      </c>
      <c r="N619">
        <v>543</v>
      </c>
      <c r="O619">
        <v>157</v>
      </c>
      <c r="P619">
        <v>327</v>
      </c>
      <c r="Q619">
        <v>550</v>
      </c>
      <c r="R619">
        <v>223</v>
      </c>
      <c r="S619">
        <v>240.3</v>
      </c>
      <c r="T619">
        <v>373</v>
      </c>
      <c r="U619">
        <v>372</v>
      </c>
      <c r="V619">
        <v>500</v>
      </c>
      <c r="W619">
        <v>2.79</v>
      </c>
    </row>
    <row r="620" spans="1:23" x14ac:dyDescent="0.25">
      <c r="A620" t="s">
        <v>36</v>
      </c>
      <c r="B620">
        <v>10</v>
      </c>
      <c r="C620">
        <v>22</v>
      </c>
      <c r="D620">
        <v>2008</v>
      </c>
      <c r="E620">
        <v>230.5</v>
      </c>
      <c r="F620">
        <v>5.7</v>
      </c>
      <c r="G620">
        <v>5.0999999999999996</v>
      </c>
      <c r="H620">
        <v>0.6</v>
      </c>
      <c r="I620">
        <v>10</v>
      </c>
      <c r="J620">
        <v>81.5</v>
      </c>
      <c r="K620">
        <v>1669.1</v>
      </c>
      <c r="L620">
        <v>380</v>
      </c>
      <c r="M620">
        <v>362</v>
      </c>
      <c r="N620">
        <v>534</v>
      </c>
      <c r="O620">
        <v>172</v>
      </c>
      <c r="P620">
        <v>313</v>
      </c>
      <c r="Q620">
        <v>539</v>
      </c>
      <c r="R620">
        <v>226</v>
      </c>
      <c r="S620">
        <v>240.3</v>
      </c>
      <c r="T620">
        <v>373</v>
      </c>
      <c r="U620">
        <v>372</v>
      </c>
      <c r="V620">
        <v>500</v>
      </c>
      <c r="W620">
        <v>2.79</v>
      </c>
    </row>
    <row r="621" spans="1:23" x14ac:dyDescent="0.25">
      <c r="A621" t="s">
        <v>36</v>
      </c>
      <c r="B621">
        <v>10</v>
      </c>
      <c r="C621">
        <v>23</v>
      </c>
      <c r="D621">
        <v>2009</v>
      </c>
      <c r="E621">
        <v>235.9</v>
      </c>
      <c r="F621">
        <v>5.4</v>
      </c>
      <c r="G621">
        <v>4.8</v>
      </c>
      <c r="H621">
        <v>0.6</v>
      </c>
      <c r="I621">
        <v>11</v>
      </c>
      <c r="J621">
        <v>79.099999999999994</v>
      </c>
      <c r="K621">
        <v>1748.3</v>
      </c>
      <c r="L621">
        <v>395</v>
      </c>
      <c r="M621">
        <v>379</v>
      </c>
      <c r="N621">
        <v>524</v>
      </c>
      <c r="O621">
        <v>145</v>
      </c>
      <c r="P621">
        <v>342</v>
      </c>
      <c r="Q621">
        <v>533</v>
      </c>
      <c r="R621">
        <v>191</v>
      </c>
      <c r="S621">
        <v>240.3</v>
      </c>
      <c r="T621">
        <v>373</v>
      </c>
      <c r="U621">
        <v>372</v>
      </c>
      <c r="V621">
        <v>500</v>
      </c>
      <c r="W621">
        <v>2.79</v>
      </c>
    </row>
    <row r="622" spans="1:23" x14ac:dyDescent="0.25">
      <c r="A622" t="s">
        <v>36</v>
      </c>
      <c r="B622">
        <v>10</v>
      </c>
      <c r="C622">
        <v>24</v>
      </c>
      <c r="D622">
        <v>2010</v>
      </c>
      <c r="E622">
        <v>241.3</v>
      </c>
      <c r="F622">
        <v>5.4</v>
      </c>
      <c r="G622">
        <v>4.8</v>
      </c>
      <c r="H622">
        <v>0.6</v>
      </c>
      <c r="I622">
        <v>11</v>
      </c>
      <c r="J622">
        <v>81</v>
      </c>
      <c r="K622">
        <v>1829.2</v>
      </c>
      <c r="L622">
        <v>388</v>
      </c>
      <c r="M622">
        <v>367</v>
      </c>
      <c r="N622">
        <v>557</v>
      </c>
      <c r="O622">
        <v>190</v>
      </c>
      <c r="P622">
        <v>298</v>
      </c>
      <c r="Q622">
        <v>567</v>
      </c>
      <c r="R622">
        <v>269</v>
      </c>
      <c r="S622">
        <v>240.3</v>
      </c>
      <c r="T622">
        <v>373</v>
      </c>
      <c r="U622">
        <v>372</v>
      </c>
      <c r="V622">
        <v>500</v>
      </c>
      <c r="W622">
        <v>2.79</v>
      </c>
    </row>
    <row r="623" spans="1:23" x14ac:dyDescent="0.25">
      <c r="A623" t="s">
        <v>36</v>
      </c>
      <c r="B623">
        <v>10</v>
      </c>
      <c r="C623">
        <v>25</v>
      </c>
      <c r="D623">
        <v>2011</v>
      </c>
      <c r="E623">
        <v>246.4</v>
      </c>
      <c r="F623">
        <v>5.0999999999999996</v>
      </c>
      <c r="G623">
        <v>4.5</v>
      </c>
      <c r="H623">
        <v>0.6</v>
      </c>
      <c r="I623">
        <v>11</v>
      </c>
      <c r="J623">
        <v>78.099999999999994</v>
      </c>
      <c r="K623">
        <v>1907.4</v>
      </c>
      <c r="L623">
        <v>394</v>
      </c>
      <c r="M623">
        <v>373</v>
      </c>
      <c r="N623">
        <v>554</v>
      </c>
      <c r="O623">
        <v>181</v>
      </c>
      <c r="P623">
        <v>307</v>
      </c>
      <c r="Q623">
        <v>565</v>
      </c>
      <c r="R623">
        <v>258</v>
      </c>
      <c r="S623">
        <v>240.3</v>
      </c>
      <c r="T623">
        <v>373</v>
      </c>
      <c r="U623">
        <v>372</v>
      </c>
      <c r="V623">
        <v>500</v>
      </c>
      <c r="W623">
        <v>2.79</v>
      </c>
    </row>
    <row r="624" spans="1:23" x14ac:dyDescent="0.25">
      <c r="A624" t="s">
        <v>36</v>
      </c>
      <c r="B624">
        <v>10</v>
      </c>
      <c r="C624">
        <v>26</v>
      </c>
      <c r="D624">
        <v>2012</v>
      </c>
      <c r="E624">
        <v>250.3</v>
      </c>
      <c r="F624">
        <v>3.9</v>
      </c>
      <c r="G624">
        <v>3.9</v>
      </c>
      <c r="H624">
        <v>0</v>
      </c>
      <c r="I624">
        <v>0</v>
      </c>
      <c r="J624">
        <v>60.9</v>
      </c>
      <c r="K624">
        <v>1968.2</v>
      </c>
      <c r="L624">
        <v>358</v>
      </c>
      <c r="M624">
        <v>358</v>
      </c>
      <c r="P624">
        <v>205</v>
      </c>
      <c r="Q624">
        <v>470</v>
      </c>
      <c r="R624">
        <v>265</v>
      </c>
      <c r="S624">
        <v>240.3</v>
      </c>
      <c r="T624">
        <v>373</v>
      </c>
      <c r="U624">
        <v>372</v>
      </c>
      <c r="V624">
        <v>500</v>
      </c>
      <c r="W624">
        <v>2.79</v>
      </c>
    </row>
    <row r="625" spans="1:23" x14ac:dyDescent="0.25">
      <c r="A625" t="s">
        <v>36</v>
      </c>
      <c r="B625">
        <v>11</v>
      </c>
      <c r="C625">
        <v>1</v>
      </c>
      <c r="D625">
        <v>1987</v>
      </c>
      <c r="E625">
        <v>7.2</v>
      </c>
      <c r="F625">
        <v>7.2</v>
      </c>
      <c r="G625">
        <v>6.6</v>
      </c>
      <c r="H625">
        <v>0.6</v>
      </c>
      <c r="I625">
        <v>8</v>
      </c>
      <c r="J625">
        <v>1.6</v>
      </c>
      <c r="K625">
        <v>1.6</v>
      </c>
      <c r="L625">
        <v>369</v>
      </c>
      <c r="M625">
        <v>354</v>
      </c>
      <c r="N625">
        <v>523</v>
      </c>
      <c r="O625">
        <v>169</v>
      </c>
      <c r="P625">
        <v>222</v>
      </c>
      <c r="Q625">
        <v>533</v>
      </c>
      <c r="R625">
        <v>311</v>
      </c>
      <c r="S625">
        <v>137.69999999999999</v>
      </c>
      <c r="T625">
        <v>408</v>
      </c>
      <c r="U625">
        <v>408</v>
      </c>
      <c r="V625">
        <v>500</v>
      </c>
      <c r="W625">
        <v>2.79</v>
      </c>
    </row>
    <row r="626" spans="1:23" x14ac:dyDescent="0.25">
      <c r="A626" t="s">
        <v>36</v>
      </c>
      <c r="B626">
        <v>11</v>
      </c>
      <c r="C626">
        <v>2</v>
      </c>
      <c r="D626">
        <v>1988</v>
      </c>
      <c r="E626">
        <v>22.2</v>
      </c>
      <c r="F626">
        <v>15</v>
      </c>
      <c r="G626">
        <v>14.7</v>
      </c>
      <c r="H626">
        <v>0.3</v>
      </c>
      <c r="I626">
        <v>2</v>
      </c>
      <c r="J626">
        <v>13.9</v>
      </c>
      <c r="K626">
        <v>15.5</v>
      </c>
      <c r="L626">
        <v>384</v>
      </c>
      <c r="M626">
        <v>381</v>
      </c>
      <c r="N626">
        <v>515</v>
      </c>
      <c r="O626">
        <v>134</v>
      </c>
      <c r="P626">
        <v>273</v>
      </c>
      <c r="Q626">
        <v>515</v>
      </c>
      <c r="R626">
        <v>242</v>
      </c>
      <c r="S626">
        <v>137.69999999999999</v>
      </c>
      <c r="T626">
        <v>408</v>
      </c>
      <c r="U626">
        <v>408</v>
      </c>
      <c r="V626">
        <v>500</v>
      </c>
      <c r="W626">
        <v>2.79</v>
      </c>
    </row>
    <row r="627" spans="1:23" x14ac:dyDescent="0.25">
      <c r="A627" t="s">
        <v>36</v>
      </c>
      <c r="B627">
        <v>11</v>
      </c>
      <c r="C627">
        <v>3</v>
      </c>
      <c r="D627">
        <v>1989</v>
      </c>
      <c r="E627">
        <v>37.200000000000003</v>
      </c>
      <c r="F627">
        <v>15</v>
      </c>
      <c r="G627">
        <v>14.4</v>
      </c>
      <c r="H627">
        <v>0.6</v>
      </c>
      <c r="I627">
        <v>4</v>
      </c>
      <c r="J627">
        <v>28</v>
      </c>
      <c r="K627">
        <v>43.5</v>
      </c>
      <c r="L627">
        <v>365</v>
      </c>
      <c r="M627">
        <v>359</v>
      </c>
      <c r="N627">
        <v>515</v>
      </c>
      <c r="O627">
        <v>156</v>
      </c>
      <c r="P627">
        <v>300</v>
      </c>
      <c r="Q627">
        <v>524</v>
      </c>
      <c r="R627">
        <v>224</v>
      </c>
      <c r="S627">
        <v>137.69999999999999</v>
      </c>
      <c r="T627">
        <v>408</v>
      </c>
      <c r="U627">
        <v>408</v>
      </c>
      <c r="V627">
        <v>500</v>
      </c>
      <c r="W627">
        <v>2.79</v>
      </c>
    </row>
    <row r="628" spans="1:23" x14ac:dyDescent="0.25">
      <c r="A628" t="s">
        <v>36</v>
      </c>
      <c r="B628">
        <v>11</v>
      </c>
      <c r="C628">
        <v>4</v>
      </c>
      <c r="D628">
        <v>1990</v>
      </c>
      <c r="E628">
        <v>47.1</v>
      </c>
      <c r="F628">
        <v>9.9</v>
      </c>
      <c r="G628">
        <v>9.3000000000000007</v>
      </c>
      <c r="H628">
        <v>0.6</v>
      </c>
      <c r="I628">
        <v>6</v>
      </c>
      <c r="J628">
        <v>26.2</v>
      </c>
      <c r="K628">
        <v>69.7</v>
      </c>
      <c r="L628">
        <v>394</v>
      </c>
      <c r="M628">
        <v>386</v>
      </c>
      <c r="N628">
        <v>516</v>
      </c>
      <c r="O628">
        <v>130</v>
      </c>
      <c r="P628">
        <v>328</v>
      </c>
      <c r="Q628">
        <v>517</v>
      </c>
      <c r="R628">
        <v>189</v>
      </c>
      <c r="S628">
        <v>137.69999999999999</v>
      </c>
      <c r="T628">
        <v>408</v>
      </c>
      <c r="U628">
        <v>408</v>
      </c>
      <c r="V628">
        <v>500</v>
      </c>
      <c r="W628">
        <v>2.79</v>
      </c>
    </row>
    <row r="629" spans="1:23" x14ac:dyDescent="0.25">
      <c r="A629" t="s">
        <v>36</v>
      </c>
      <c r="B629">
        <v>11</v>
      </c>
      <c r="C629">
        <v>5</v>
      </c>
      <c r="D629">
        <v>1991</v>
      </c>
      <c r="E629">
        <v>55.5</v>
      </c>
      <c r="F629">
        <v>8.4</v>
      </c>
      <c r="G629">
        <v>7.2</v>
      </c>
      <c r="H629">
        <v>1.2</v>
      </c>
      <c r="I629">
        <v>14</v>
      </c>
      <c r="J629">
        <v>27.1</v>
      </c>
      <c r="K629">
        <v>96.8</v>
      </c>
      <c r="L629">
        <v>419</v>
      </c>
      <c r="M629">
        <v>397</v>
      </c>
      <c r="N629">
        <v>553</v>
      </c>
      <c r="O629">
        <v>156</v>
      </c>
      <c r="P629">
        <v>336</v>
      </c>
      <c r="Q629">
        <v>586</v>
      </c>
      <c r="R629">
        <v>250</v>
      </c>
      <c r="S629">
        <v>137.69999999999999</v>
      </c>
      <c r="T629">
        <v>408</v>
      </c>
      <c r="U629">
        <v>408</v>
      </c>
      <c r="V629">
        <v>500</v>
      </c>
      <c r="W629">
        <v>2.79</v>
      </c>
    </row>
    <row r="630" spans="1:23" x14ac:dyDescent="0.25">
      <c r="A630" t="s">
        <v>36</v>
      </c>
      <c r="B630">
        <v>11</v>
      </c>
      <c r="C630">
        <v>6</v>
      </c>
      <c r="D630">
        <v>1992</v>
      </c>
      <c r="E630">
        <v>64.2</v>
      </c>
      <c r="F630">
        <v>8.6999999999999993</v>
      </c>
      <c r="G630">
        <v>7.8</v>
      </c>
      <c r="H630">
        <v>0.9</v>
      </c>
      <c r="I630">
        <v>10</v>
      </c>
      <c r="J630">
        <v>32.700000000000003</v>
      </c>
      <c r="K630">
        <v>129.5</v>
      </c>
      <c r="L630">
        <v>414</v>
      </c>
      <c r="M630">
        <v>398</v>
      </c>
      <c r="N630">
        <v>549</v>
      </c>
      <c r="O630">
        <v>151</v>
      </c>
      <c r="P630">
        <v>347</v>
      </c>
      <c r="Q630">
        <v>583</v>
      </c>
      <c r="R630">
        <v>236</v>
      </c>
      <c r="S630">
        <v>137.69999999999999</v>
      </c>
      <c r="T630">
        <v>408</v>
      </c>
      <c r="U630">
        <v>408</v>
      </c>
      <c r="V630">
        <v>500</v>
      </c>
      <c r="W630">
        <v>2.79</v>
      </c>
    </row>
    <row r="631" spans="1:23" x14ac:dyDescent="0.25">
      <c r="A631" t="s">
        <v>36</v>
      </c>
      <c r="B631">
        <v>11</v>
      </c>
      <c r="C631">
        <v>7</v>
      </c>
      <c r="D631">
        <v>1993</v>
      </c>
      <c r="E631">
        <v>69.900000000000006</v>
      </c>
      <c r="F631">
        <v>5.7</v>
      </c>
      <c r="G631">
        <v>4.8</v>
      </c>
      <c r="H631">
        <v>0.9</v>
      </c>
      <c r="I631">
        <v>15</v>
      </c>
      <c r="J631">
        <v>24</v>
      </c>
      <c r="K631">
        <v>153.5</v>
      </c>
      <c r="L631">
        <v>412</v>
      </c>
      <c r="M631">
        <v>385</v>
      </c>
      <c r="N631">
        <v>555</v>
      </c>
      <c r="O631">
        <v>170</v>
      </c>
      <c r="P631">
        <v>354</v>
      </c>
      <c r="Q631">
        <v>583</v>
      </c>
      <c r="R631">
        <v>229</v>
      </c>
      <c r="S631">
        <v>137.69999999999999</v>
      </c>
      <c r="T631">
        <v>408</v>
      </c>
      <c r="U631">
        <v>408</v>
      </c>
      <c r="V631">
        <v>500</v>
      </c>
      <c r="W631">
        <v>2.79</v>
      </c>
    </row>
    <row r="632" spans="1:23" x14ac:dyDescent="0.25">
      <c r="A632" t="s">
        <v>36</v>
      </c>
      <c r="B632">
        <v>11</v>
      </c>
      <c r="C632">
        <v>8</v>
      </c>
      <c r="D632">
        <v>1994</v>
      </c>
      <c r="E632">
        <v>75.3</v>
      </c>
      <c r="F632">
        <v>5.4</v>
      </c>
      <c r="G632">
        <v>5.0999999999999996</v>
      </c>
      <c r="H632">
        <v>0.3</v>
      </c>
      <c r="I632">
        <v>5</v>
      </c>
      <c r="J632">
        <v>24.6</v>
      </c>
      <c r="K632">
        <v>178.1</v>
      </c>
      <c r="L632">
        <v>427</v>
      </c>
      <c r="M632">
        <v>421</v>
      </c>
      <c r="N632">
        <v>537</v>
      </c>
      <c r="O632">
        <v>116</v>
      </c>
      <c r="P632">
        <v>338</v>
      </c>
      <c r="Q632">
        <v>537</v>
      </c>
      <c r="R632">
        <v>199</v>
      </c>
      <c r="S632">
        <v>137.69999999999999</v>
      </c>
      <c r="T632">
        <v>408</v>
      </c>
      <c r="U632">
        <v>408</v>
      </c>
      <c r="V632">
        <v>500</v>
      </c>
      <c r="W632">
        <v>2.79</v>
      </c>
    </row>
    <row r="633" spans="1:23" x14ac:dyDescent="0.25">
      <c r="A633" t="s">
        <v>36</v>
      </c>
      <c r="B633">
        <v>11</v>
      </c>
      <c r="C633">
        <v>9</v>
      </c>
      <c r="D633">
        <v>1995</v>
      </c>
      <c r="E633">
        <v>82.8</v>
      </c>
      <c r="F633">
        <v>7.5</v>
      </c>
      <c r="G633">
        <v>7.2</v>
      </c>
      <c r="H633">
        <v>0.3</v>
      </c>
      <c r="I633">
        <v>4</v>
      </c>
      <c r="J633">
        <v>37.299999999999997</v>
      </c>
      <c r="K633">
        <v>215.4</v>
      </c>
      <c r="L633">
        <v>409</v>
      </c>
      <c r="M633">
        <v>403</v>
      </c>
      <c r="N633">
        <v>549</v>
      </c>
      <c r="O633">
        <v>146</v>
      </c>
      <c r="P633">
        <v>350</v>
      </c>
      <c r="Q633">
        <v>549</v>
      </c>
      <c r="R633">
        <v>199</v>
      </c>
      <c r="S633">
        <v>137.69999999999999</v>
      </c>
      <c r="T633">
        <v>408</v>
      </c>
      <c r="U633">
        <v>408</v>
      </c>
      <c r="V633">
        <v>500</v>
      </c>
      <c r="W633">
        <v>2.79</v>
      </c>
    </row>
    <row r="634" spans="1:23" x14ac:dyDescent="0.25">
      <c r="A634" t="s">
        <v>36</v>
      </c>
      <c r="B634">
        <v>11</v>
      </c>
      <c r="C634">
        <v>10</v>
      </c>
      <c r="D634">
        <v>1996</v>
      </c>
      <c r="E634">
        <v>90.9</v>
      </c>
      <c r="F634">
        <v>8.1</v>
      </c>
      <c r="G634">
        <v>6.9</v>
      </c>
      <c r="H634">
        <v>1.2</v>
      </c>
      <c r="I634">
        <v>14</v>
      </c>
      <c r="J634">
        <v>44.2</v>
      </c>
      <c r="K634">
        <v>259.60000000000002</v>
      </c>
      <c r="L634">
        <v>396</v>
      </c>
      <c r="M634">
        <v>372</v>
      </c>
      <c r="N634">
        <v>538</v>
      </c>
      <c r="O634">
        <v>166</v>
      </c>
      <c r="P634">
        <v>297</v>
      </c>
      <c r="Q634">
        <v>562</v>
      </c>
      <c r="R634">
        <v>265</v>
      </c>
      <c r="S634">
        <v>137.69999999999999</v>
      </c>
      <c r="T634">
        <v>408</v>
      </c>
      <c r="U634">
        <v>408</v>
      </c>
      <c r="V634">
        <v>500</v>
      </c>
      <c r="W634">
        <v>2.79</v>
      </c>
    </row>
    <row r="635" spans="1:23" x14ac:dyDescent="0.25">
      <c r="A635" t="s">
        <v>36</v>
      </c>
      <c r="B635">
        <v>11</v>
      </c>
      <c r="C635">
        <v>11</v>
      </c>
      <c r="D635">
        <v>1997</v>
      </c>
      <c r="E635">
        <v>99.9</v>
      </c>
      <c r="F635">
        <v>9</v>
      </c>
      <c r="G635">
        <v>8.1</v>
      </c>
      <c r="H635">
        <v>0.9</v>
      </c>
      <c r="I635">
        <v>10</v>
      </c>
      <c r="J635">
        <v>53.9</v>
      </c>
      <c r="K635">
        <v>313.5</v>
      </c>
      <c r="L635">
        <v>406</v>
      </c>
      <c r="M635">
        <v>391</v>
      </c>
      <c r="N635">
        <v>536</v>
      </c>
      <c r="O635">
        <v>145</v>
      </c>
      <c r="P635">
        <v>353</v>
      </c>
      <c r="Q635">
        <v>551</v>
      </c>
      <c r="R635">
        <v>198</v>
      </c>
      <c r="S635">
        <v>137.69999999999999</v>
      </c>
      <c r="T635">
        <v>408</v>
      </c>
      <c r="U635">
        <v>408</v>
      </c>
      <c r="V635">
        <v>500</v>
      </c>
      <c r="W635">
        <v>2.79</v>
      </c>
    </row>
    <row r="636" spans="1:23" x14ac:dyDescent="0.25">
      <c r="A636" t="s">
        <v>36</v>
      </c>
      <c r="B636">
        <v>11</v>
      </c>
      <c r="C636">
        <v>12</v>
      </c>
      <c r="D636">
        <v>1998</v>
      </c>
      <c r="E636">
        <v>106.2</v>
      </c>
      <c r="F636">
        <v>6.3</v>
      </c>
      <c r="G636">
        <v>5.7</v>
      </c>
      <c r="H636">
        <v>0.6</v>
      </c>
      <c r="I636">
        <v>9</v>
      </c>
      <c r="J636">
        <v>40.799999999999997</v>
      </c>
      <c r="K636">
        <v>354.3</v>
      </c>
      <c r="L636">
        <v>417</v>
      </c>
      <c r="M636">
        <v>405</v>
      </c>
      <c r="N636">
        <v>532</v>
      </c>
      <c r="O636">
        <v>127</v>
      </c>
      <c r="P636">
        <v>355</v>
      </c>
      <c r="Q636">
        <v>547</v>
      </c>
      <c r="R636">
        <v>192</v>
      </c>
      <c r="S636">
        <v>137.69999999999999</v>
      </c>
      <c r="T636">
        <v>408</v>
      </c>
      <c r="U636">
        <v>408</v>
      </c>
      <c r="V636">
        <v>500</v>
      </c>
      <c r="W636">
        <v>2.79</v>
      </c>
    </row>
    <row r="637" spans="1:23" x14ac:dyDescent="0.25">
      <c r="A637" t="s">
        <v>36</v>
      </c>
      <c r="B637">
        <v>11</v>
      </c>
      <c r="C637">
        <v>13</v>
      </c>
      <c r="D637">
        <v>1999</v>
      </c>
      <c r="E637">
        <v>113.4</v>
      </c>
      <c r="F637">
        <v>7.2</v>
      </c>
      <c r="G637">
        <v>7.2</v>
      </c>
      <c r="H637">
        <v>0</v>
      </c>
      <c r="I637">
        <v>0</v>
      </c>
      <c r="J637">
        <v>49.7</v>
      </c>
      <c r="K637">
        <v>404</v>
      </c>
      <c r="L637">
        <v>393</v>
      </c>
      <c r="M637">
        <v>393</v>
      </c>
      <c r="P637">
        <v>335</v>
      </c>
      <c r="Q637">
        <v>489</v>
      </c>
      <c r="R637">
        <v>154</v>
      </c>
      <c r="S637">
        <v>137.69999999999999</v>
      </c>
      <c r="T637">
        <v>408</v>
      </c>
      <c r="U637">
        <v>408</v>
      </c>
      <c r="V637">
        <v>500</v>
      </c>
      <c r="W637">
        <v>2.79</v>
      </c>
    </row>
    <row r="638" spans="1:23" x14ac:dyDescent="0.25">
      <c r="A638" t="s">
        <v>36</v>
      </c>
      <c r="B638">
        <v>11</v>
      </c>
      <c r="C638">
        <v>14</v>
      </c>
      <c r="D638">
        <v>2000</v>
      </c>
      <c r="E638">
        <v>118.8</v>
      </c>
      <c r="F638">
        <v>5.4</v>
      </c>
      <c r="G638">
        <v>4.8</v>
      </c>
      <c r="H638">
        <v>0.6</v>
      </c>
      <c r="I638">
        <v>11</v>
      </c>
      <c r="J638">
        <v>39.4</v>
      </c>
      <c r="K638">
        <v>443.4</v>
      </c>
      <c r="L638">
        <v>402</v>
      </c>
      <c r="M638">
        <v>386</v>
      </c>
      <c r="N638">
        <v>524</v>
      </c>
      <c r="O638">
        <v>138</v>
      </c>
      <c r="P638">
        <v>291</v>
      </c>
      <c r="Q638">
        <v>541</v>
      </c>
      <c r="R638">
        <v>250</v>
      </c>
      <c r="S638">
        <v>137.69999999999999</v>
      </c>
      <c r="T638">
        <v>408</v>
      </c>
      <c r="U638">
        <v>408</v>
      </c>
      <c r="V638">
        <v>500</v>
      </c>
      <c r="W638">
        <v>2.79</v>
      </c>
    </row>
    <row r="639" spans="1:23" x14ac:dyDescent="0.25">
      <c r="A639" t="s">
        <v>36</v>
      </c>
      <c r="B639">
        <v>11</v>
      </c>
      <c r="C639">
        <v>15</v>
      </c>
      <c r="D639">
        <v>2001</v>
      </c>
      <c r="E639">
        <v>123.3</v>
      </c>
      <c r="F639">
        <v>4.5</v>
      </c>
      <c r="G639">
        <v>4.2</v>
      </c>
      <c r="H639">
        <v>0.3</v>
      </c>
      <c r="I639">
        <v>6</v>
      </c>
      <c r="J639">
        <v>34.200000000000003</v>
      </c>
      <c r="K639">
        <v>477.6</v>
      </c>
      <c r="L639">
        <v>417</v>
      </c>
      <c r="M639">
        <v>406</v>
      </c>
      <c r="N639">
        <v>559</v>
      </c>
      <c r="O639">
        <v>153</v>
      </c>
      <c r="P639">
        <v>374</v>
      </c>
      <c r="Q639">
        <v>559</v>
      </c>
      <c r="R639">
        <v>185</v>
      </c>
      <c r="S639">
        <v>137.69999999999999</v>
      </c>
      <c r="T639">
        <v>408</v>
      </c>
      <c r="U639">
        <v>408</v>
      </c>
      <c r="V639">
        <v>500</v>
      </c>
      <c r="W639">
        <v>2.79</v>
      </c>
    </row>
    <row r="640" spans="1:23" x14ac:dyDescent="0.25">
      <c r="A640" t="s">
        <v>36</v>
      </c>
      <c r="B640">
        <v>11</v>
      </c>
      <c r="C640">
        <v>16</v>
      </c>
      <c r="D640">
        <v>2002</v>
      </c>
      <c r="E640">
        <v>126</v>
      </c>
      <c r="F640">
        <v>2.7</v>
      </c>
      <c r="G640">
        <v>2.4</v>
      </c>
      <c r="H640">
        <v>0.3</v>
      </c>
      <c r="I640">
        <v>11</v>
      </c>
      <c r="J640">
        <v>21.1</v>
      </c>
      <c r="K640">
        <v>498.8</v>
      </c>
      <c r="L640">
        <v>436</v>
      </c>
      <c r="M640">
        <v>419</v>
      </c>
      <c r="N640">
        <v>578</v>
      </c>
      <c r="O640">
        <v>159</v>
      </c>
      <c r="P640">
        <v>371</v>
      </c>
      <c r="Q640">
        <v>578</v>
      </c>
      <c r="R640">
        <v>207</v>
      </c>
      <c r="S640">
        <v>137.69999999999999</v>
      </c>
      <c r="T640">
        <v>408</v>
      </c>
      <c r="U640">
        <v>408</v>
      </c>
      <c r="V640">
        <v>500</v>
      </c>
      <c r="W640">
        <v>2.79</v>
      </c>
    </row>
    <row r="641" spans="1:23" x14ac:dyDescent="0.25">
      <c r="A641" t="s">
        <v>36</v>
      </c>
      <c r="B641">
        <v>11</v>
      </c>
      <c r="C641">
        <v>17</v>
      </c>
      <c r="D641">
        <v>2003</v>
      </c>
      <c r="E641">
        <v>128.69999999999999</v>
      </c>
      <c r="F641">
        <v>2.7</v>
      </c>
      <c r="G641">
        <v>2.7</v>
      </c>
      <c r="H641">
        <v>0</v>
      </c>
      <c r="I641">
        <v>0</v>
      </c>
      <c r="J641">
        <v>21.6</v>
      </c>
      <c r="K641">
        <v>520.4</v>
      </c>
      <c r="L641">
        <v>416</v>
      </c>
      <c r="M641">
        <v>416</v>
      </c>
      <c r="P641">
        <v>362</v>
      </c>
      <c r="Q641">
        <v>478</v>
      </c>
      <c r="R641">
        <v>116</v>
      </c>
      <c r="S641">
        <v>137.69999999999999</v>
      </c>
      <c r="T641">
        <v>408</v>
      </c>
      <c r="U641">
        <v>408</v>
      </c>
      <c r="V641">
        <v>500</v>
      </c>
      <c r="W641">
        <v>2.79</v>
      </c>
    </row>
    <row r="642" spans="1:23" x14ac:dyDescent="0.25">
      <c r="A642" t="s">
        <v>36</v>
      </c>
      <c r="B642">
        <v>11</v>
      </c>
      <c r="C642">
        <v>18</v>
      </c>
      <c r="D642">
        <v>2004</v>
      </c>
      <c r="E642">
        <v>130.80000000000001</v>
      </c>
      <c r="F642">
        <v>2.1</v>
      </c>
      <c r="G642">
        <v>1.8</v>
      </c>
      <c r="H642">
        <v>0.3</v>
      </c>
      <c r="I642">
        <v>14</v>
      </c>
      <c r="J642">
        <v>17.100000000000001</v>
      </c>
      <c r="K642">
        <v>537.5</v>
      </c>
      <c r="L642">
        <v>414</v>
      </c>
      <c r="M642">
        <v>397</v>
      </c>
      <c r="N642">
        <v>518</v>
      </c>
      <c r="O642">
        <v>121</v>
      </c>
      <c r="P642">
        <v>357</v>
      </c>
      <c r="Q642">
        <v>518</v>
      </c>
      <c r="R642">
        <v>161</v>
      </c>
      <c r="S642">
        <v>137.69999999999999</v>
      </c>
      <c r="T642">
        <v>408</v>
      </c>
      <c r="U642">
        <v>408</v>
      </c>
      <c r="V642">
        <v>500</v>
      </c>
      <c r="W642">
        <v>2.79</v>
      </c>
    </row>
    <row r="643" spans="1:23" x14ac:dyDescent="0.25">
      <c r="A643" t="s">
        <v>36</v>
      </c>
      <c r="B643">
        <v>11</v>
      </c>
      <c r="C643">
        <v>19</v>
      </c>
      <c r="D643">
        <v>2005</v>
      </c>
      <c r="E643">
        <v>132.30000000000001</v>
      </c>
      <c r="F643">
        <v>1.5</v>
      </c>
      <c r="G643">
        <v>0.9</v>
      </c>
      <c r="H643">
        <v>0.6</v>
      </c>
      <c r="I643">
        <v>40</v>
      </c>
      <c r="J643">
        <v>12.4</v>
      </c>
      <c r="K643">
        <v>549.9</v>
      </c>
      <c r="L643">
        <v>443</v>
      </c>
      <c r="M643">
        <v>400</v>
      </c>
      <c r="N643">
        <v>507</v>
      </c>
      <c r="O643">
        <v>107</v>
      </c>
      <c r="P643">
        <v>376</v>
      </c>
      <c r="Q643">
        <v>512</v>
      </c>
      <c r="R643">
        <v>136</v>
      </c>
      <c r="S643">
        <v>137.69999999999999</v>
      </c>
      <c r="T643">
        <v>408</v>
      </c>
      <c r="U643">
        <v>408</v>
      </c>
      <c r="V643">
        <v>500</v>
      </c>
      <c r="W643">
        <v>2.79</v>
      </c>
    </row>
    <row r="644" spans="1:23" x14ac:dyDescent="0.25">
      <c r="A644" t="s">
        <v>36</v>
      </c>
      <c r="B644">
        <v>11</v>
      </c>
      <c r="C644">
        <v>20</v>
      </c>
      <c r="D644">
        <v>2006</v>
      </c>
      <c r="E644">
        <v>134.4</v>
      </c>
      <c r="F644">
        <v>2.1</v>
      </c>
      <c r="G644">
        <v>2.1</v>
      </c>
      <c r="H644">
        <v>0</v>
      </c>
      <c r="I644">
        <v>0</v>
      </c>
      <c r="J644">
        <v>17.600000000000001</v>
      </c>
      <c r="K644">
        <v>567.5</v>
      </c>
      <c r="L644">
        <v>449</v>
      </c>
      <c r="M644">
        <v>449</v>
      </c>
      <c r="P644">
        <v>407</v>
      </c>
      <c r="Q644">
        <v>491</v>
      </c>
      <c r="R644">
        <v>84</v>
      </c>
      <c r="S644">
        <v>137.69999999999999</v>
      </c>
      <c r="T644">
        <v>408</v>
      </c>
      <c r="U644">
        <v>408</v>
      </c>
      <c r="V644">
        <v>500</v>
      </c>
      <c r="W644">
        <v>2.79</v>
      </c>
    </row>
    <row r="645" spans="1:23" x14ac:dyDescent="0.25">
      <c r="A645" t="s">
        <v>36</v>
      </c>
      <c r="B645">
        <v>11</v>
      </c>
      <c r="C645">
        <v>21</v>
      </c>
      <c r="D645">
        <v>2007</v>
      </c>
      <c r="E645">
        <v>135</v>
      </c>
      <c r="F645">
        <v>0.6</v>
      </c>
      <c r="G645">
        <v>0.6</v>
      </c>
      <c r="H645">
        <v>0</v>
      </c>
      <c r="I645">
        <v>0</v>
      </c>
      <c r="J645">
        <v>5.0999999999999996</v>
      </c>
      <c r="K645">
        <v>572.6</v>
      </c>
      <c r="L645">
        <v>408</v>
      </c>
      <c r="M645">
        <v>408</v>
      </c>
      <c r="P645">
        <v>393</v>
      </c>
      <c r="Q645">
        <v>423</v>
      </c>
      <c r="R645">
        <v>30</v>
      </c>
      <c r="S645">
        <v>137.69999999999999</v>
      </c>
      <c r="T645">
        <v>408</v>
      </c>
      <c r="U645">
        <v>408</v>
      </c>
      <c r="V645">
        <v>500</v>
      </c>
      <c r="W645">
        <v>2.79</v>
      </c>
    </row>
    <row r="646" spans="1:23" x14ac:dyDescent="0.25">
      <c r="A646" t="s">
        <v>36</v>
      </c>
      <c r="B646">
        <v>11</v>
      </c>
      <c r="C646">
        <v>22</v>
      </c>
      <c r="D646">
        <v>2008</v>
      </c>
      <c r="E646">
        <v>135.6</v>
      </c>
      <c r="F646">
        <v>0.6</v>
      </c>
      <c r="G646">
        <v>0.6</v>
      </c>
      <c r="H646">
        <v>0</v>
      </c>
      <c r="I646">
        <v>0</v>
      </c>
      <c r="J646">
        <v>5.0999999999999996</v>
      </c>
      <c r="K646">
        <v>577.70000000000005</v>
      </c>
      <c r="L646">
        <v>427</v>
      </c>
      <c r="M646">
        <v>427</v>
      </c>
      <c r="P646">
        <v>389</v>
      </c>
      <c r="Q646">
        <v>466</v>
      </c>
      <c r="R646">
        <v>77</v>
      </c>
      <c r="S646">
        <v>137.69999999999999</v>
      </c>
      <c r="T646">
        <v>408</v>
      </c>
      <c r="U646">
        <v>408</v>
      </c>
      <c r="V646">
        <v>500</v>
      </c>
      <c r="W646">
        <v>2.79</v>
      </c>
    </row>
    <row r="647" spans="1:23" x14ac:dyDescent="0.25">
      <c r="A647" t="s">
        <v>36</v>
      </c>
      <c r="B647">
        <v>11</v>
      </c>
      <c r="C647">
        <v>23</v>
      </c>
      <c r="D647">
        <v>2009</v>
      </c>
      <c r="E647">
        <v>136.19999999999999</v>
      </c>
      <c r="F647">
        <v>0.6</v>
      </c>
      <c r="G647">
        <v>0.6</v>
      </c>
      <c r="H647">
        <v>0</v>
      </c>
      <c r="I647">
        <v>0</v>
      </c>
      <c r="J647">
        <v>5.0999999999999996</v>
      </c>
      <c r="K647">
        <v>582.79999999999995</v>
      </c>
      <c r="L647">
        <v>427</v>
      </c>
      <c r="M647">
        <v>427</v>
      </c>
      <c r="P647">
        <v>418</v>
      </c>
      <c r="Q647">
        <v>437</v>
      </c>
      <c r="R647">
        <v>19</v>
      </c>
      <c r="S647">
        <v>137.69999999999999</v>
      </c>
      <c r="T647">
        <v>408</v>
      </c>
      <c r="U647">
        <v>408</v>
      </c>
      <c r="V647">
        <v>500</v>
      </c>
      <c r="W647">
        <v>2.79</v>
      </c>
    </row>
    <row r="648" spans="1:23" x14ac:dyDescent="0.25">
      <c r="A648" t="s">
        <v>36</v>
      </c>
      <c r="B648">
        <v>11</v>
      </c>
      <c r="C648">
        <v>24</v>
      </c>
      <c r="D648">
        <v>2010</v>
      </c>
      <c r="E648">
        <v>136.80000000000001</v>
      </c>
      <c r="F648">
        <v>0.6</v>
      </c>
      <c r="G648">
        <v>0.6</v>
      </c>
      <c r="H648">
        <v>0</v>
      </c>
      <c r="I648">
        <v>0</v>
      </c>
      <c r="J648">
        <v>5.0999999999999996</v>
      </c>
      <c r="K648">
        <v>587.9</v>
      </c>
      <c r="L648">
        <v>408</v>
      </c>
      <c r="M648">
        <v>408</v>
      </c>
      <c r="P648">
        <v>393</v>
      </c>
      <c r="Q648">
        <v>423</v>
      </c>
      <c r="R648">
        <v>30</v>
      </c>
      <c r="S648">
        <v>137.69999999999999</v>
      </c>
      <c r="T648">
        <v>408</v>
      </c>
      <c r="U648">
        <v>408</v>
      </c>
      <c r="V648">
        <v>500</v>
      </c>
      <c r="W648">
        <v>2.79</v>
      </c>
    </row>
    <row r="649" spans="1:23" x14ac:dyDescent="0.25">
      <c r="A649" t="s">
        <v>36</v>
      </c>
      <c r="B649">
        <v>11</v>
      </c>
      <c r="C649">
        <v>25</v>
      </c>
      <c r="D649">
        <v>2011</v>
      </c>
      <c r="E649">
        <v>137.1</v>
      </c>
      <c r="F649">
        <v>0.3</v>
      </c>
      <c r="G649">
        <v>0.3</v>
      </c>
      <c r="H649">
        <v>0</v>
      </c>
      <c r="I649">
        <v>0</v>
      </c>
      <c r="J649">
        <v>2.6</v>
      </c>
      <c r="K649">
        <v>590.5</v>
      </c>
      <c r="L649">
        <v>420</v>
      </c>
      <c r="M649">
        <v>420</v>
      </c>
      <c r="P649">
        <v>420</v>
      </c>
      <c r="Q649">
        <v>420</v>
      </c>
      <c r="R649">
        <v>0</v>
      </c>
      <c r="S649">
        <v>137.69999999999999</v>
      </c>
      <c r="T649">
        <v>408</v>
      </c>
      <c r="U649">
        <v>408</v>
      </c>
      <c r="V649">
        <v>500</v>
      </c>
      <c r="W649">
        <v>2.79</v>
      </c>
    </row>
    <row r="650" spans="1:23" x14ac:dyDescent="0.25">
      <c r="A650" t="s">
        <v>36</v>
      </c>
      <c r="B650">
        <v>11</v>
      </c>
      <c r="C650">
        <v>26</v>
      </c>
      <c r="D650">
        <v>2012</v>
      </c>
      <c r="E650">
        <v>137.69999999999999</v>
      </c>
      <c r="F650">
        <v>0.6</v>
      </c>
      <c r="G650">
        <v>0.6</v>
      </c>
      <c r="H650">
        <v>0</v>
      </c>
      <c r="I650">
        <v>0</v>
      </c>
      <c r="J650">
        <v>5.2</v>
      </c>
      <c r="K650">
        <v>595.70000000000005</v>
      </c>
      <c r="L650">
        <v>358</v>
      </c>
      <c r="M650">
        <v>358</v>
      </c>
      <c r="P650">
        <v>326</v>
      </c>
      <c r="Q650">
        <v>391</v>
      </c>
      <c r="R650">
        <v>65</v>
      </c>
      <c r="S650">
        <v>137.69999999999999</v>
      </c>
      <c r="T650">
        <v>408</v>
      </c>
      <c r="U650">
        <v>408</v>
      </c>
      <c r="V650">
        <v>500</v>
      </c>
      <c r="W650">
        <v>2.79</v>
      </c>
    </row>
    <row r="651" spans="1:23" x14ac:dyDescent="0.25">
      <c r="A651" t="s">
        <v>36</v>
      </c>
      <c r="B651">
        <v>12</v>
      </c>
      <c r="C651">
        <v>1</v>
      </c>
      <c r="D651">
        <v>1986</v>
      </c>
      <c r="E651">
        <v>11.4</v>
      </c>
      <c r="F651">
        <v>11.4</v>
      </c>
      <c r="G651">
        <v>8.4</v>
      </c>
      <c r="H651">
        <v>0</v>
      </c>
      <c r="I651">
        <v>0</v>
      </c>
      <c r="J651">
        <v>4.0999999999999996</v>
      </c>
      <c r="K651">
        <v>4.0999999999999996</v>
      </c>
      <c r="L651">
        <v>371</v>
      </c>
      <c r="M651">
        <v>371</v>
      </c>
      <c r="P651">
        <v>300</v>
      </c>
      <c r="Q651">
        <v>417</v>
      </c>
      <c r="R651">
        <v>117</v>
      </c>
      <c r="S651">
        <v>144.9</v>
      </c>
      <c r="T651">
        <v>426</v>
      </c>
      <c r="U651">
        <v>418</v>
      </c>
      <c r="V651">
        <v>500</v>
      </c>
      <c r="W651">
        <v>2.79</v>
      </c>
    </row>
    <row r="652" spans="1:23" x14ac:dyDescent="0.25">
      <c r="A652" t="s">
        <v>36</v>
      </c>
      <c r="B652">
        <v>12</v>
      </c>
      <c r="C652">
        <v>2</v>
      </c>
      <c r="D652">
        <v>1987</v>
      </c>
      <c r="E652">
        <v>32.1</v>
      </c>
      <c r="F652">
        <v>20.7</v>
      </c>
      <c r="G652">
        <v>20.7</v>
      </c>
      <c r="H652">
        <v>0</v>
      </c>
      <c r="I652">
        <v>0</v>
      </c>
      <c r="J652">
        <v>28.3</v>
      </c>
      <c r="K652">
        <v>32.4</v>
      </c>
      <c r="L652">
        <v>350</v>
      </c>
      <c r="M652">
        <v>350</v>
      </c>
      <c r="P652">
        <v>278</v>
      </c>
      <c r="Q652">
        <v>477</v>
      </c>
      <c r="R652">
        <v>199</v>
      </c>
      <c r="S652">
        <v>144.9</v>
      </c>
      <c r="T652">
        <v>426</v>
      </c>
      <c r="U652">
        <v>418</v>
      </c>
      <c r="V652">
        <v>500</v>
      </c>
      <c r="W652">
        <v>2.79</v>
      </c>
    </row>
    <row r="653" spans="1:23" x14ac:dyDescent="0.25">
      <c r="A653" t="s">
        <v>36</v>
      </c>
      <c r="B653">
        <v>12</v>
      </c>
      <c r="C653">
        <v>3</v>
      </c>
      <c r="D653">
        <v>1988</v>
      </c>
      <c r="E653">
        <v>49.5</v>
      </c>
      <c r="F653">
        <v>17.399999999999999</v>
      </c>
      <c r="G653">
        <v>17.399999999999999</v>
      </c>
      <c r="H653">
        <v>0</v>
      </c>
      <c r="I653">
        <v>0</v>
      </c>
      <c r="J653">
        <v>44.6</v>
      </c>
      <c r="K653">
        <v>77</v>
      </c>
      <c r="L653">
        <v>366</v>
      </c>
      <c r="M653">
        <v>366</v>
      </c>
      <c r="P653">
        <v>274</v>
      </c>
      <c r="Q653">
        <v>482</v>
      </c>
      <c r="R653">
        <v>208</v>
      </c>
      <c r="S653">
        <v>144.9</v>
      </c>
      <c r="T653">
        <v>426</v>
      </c>
      <c r="U653">
        <v>418</v>
      </c>
      <c r="V653">
        <v>500</v>
      </c>
      <c r="W653">
        <v>2.79</v>
      </c>
    </row>
    <row r="654" spans="1:23" x14ac:dyDescent="0.25">
      <c r="A654" t="s">
        <v>36</v>
      </c>
      <c r="B654">
        <v>12</v>
      </c>
      <c r="C654">
        <v>4</v>
      </c>
      <c r="D654">
        <v>1989</v>
      </c>
      <c r="E654">
        <v>63.9</v>
      </c>
      <c r="F654">
        <v>14.4</v>
      </c>
      <c r="G654">
        <v>14.1</v>
      </c>
      <c r="H654">
        <v>0.3</v>
      </c>
      <c r="I654">
        <v>2</v>
      </c>
      <c r="J654">
        <v>51.3</v>
      </c>
      <c r="K654">
        <v>128.30000000000001</v>
      </c>
      <c r="L654">
        <v>360</v>
      </c>
      <c r="M654">
        <v>356</v>
      </c>
      <c r="N654">
        <v>532</v>
      </c>
      <c r="O654">
        <v>176</v>
      </c>
      <c r="P654">
        <v>296</v>
      </c>
      <c r="Q654">
        <v>532</v>
      </c>
      <c r="R654">
        <v>236</v>
      </c>
      <c r="S654">
        <v>144.9</v>
      </c>
      <c r="T654">
        <v>426</v>
      </c>
      <c r="U654">
        <v>418</v>
      </c>
      <c r="V654">
        <v>500</v>
      </c>
      <c r="W654">
        <v>2.79</v>
      </c>
    </row>
    <row r="655" spans="1:23" x14ac:dyDescent="0.25">
      <c r="A655" t="s">
        <v>36</v>
      </c>
      <c r="B655">
        <v>12</v>
      </c>
      <c r="C655">
        <v>5</v>
      </c>
      <c r="D655">
        <v>1990</v>
      </c>
      <c r="E655">
        <v>72.3</v>
      </c>
      <c r="F655">
        <v>8.4</v>
      </c>
      <c r="G655">
        <v>7.5</v>
      </c>
      <c r="H655">
        <v>0.9</v>
      </c>
      <c r="I655">
        <v>10</v>
      </c>
      <c r="J655">
        <v>35.9</v>
      </c>
      <c r="K655">
        <v>164.2</v>
      </c>
      <c r="L655">
        <v>405</v>
      </c>
      <c r="M655">
        <v>393</v>
      </c>
      <c r="N655">
        <v>504</v>
      </c>
      <c r="O655">
        <v>111</v>
      </c>
      <c r="P655">
        <v>346</v>
      </c>
      <c r="Q655">
        <v>509</v>
      </c>
      <c r="R655">
        <v>163</v>
      </c>
      <c r="S655">
        <v>144.9</v>
      </c>
      <c r="T655">
        <v>426</v>
      </c>
      <c r="U655">
        <v>418</v>
      </c>
      <c r="V655">
        <v>500</v>
      </c>
      <c r="W655">
        <v>2.79</v>
      </c>
    </row>
    <row r="656" spans="1:23" x14ac:dyDescent="0.25">
      <c r="A656" t="s">
        <v>36</v>
      </c>
      <c r="B656">
        <v>12</v>
      </c>
      <c r="C656">
        <v>6</v>
      </c>
      <c r="D656">
        <v>1991</v>
      </c>
      <c r="E656">
        <v>81.599999999999994</v>
      </c>
      <c r="F656">
        <v>9.3000000000000007</v>
      </c>
      <c r="G656">
        <v>8.4</v>
      </c>
      <c r="H656">
        <v>0.9</v>
      </c>
      <c r="I656">
        <v>9</v>
      </c>
      <c r="J656">
        <v>45</v>
      </c>
      <c r="K656">
        <v>209.2</v>
      </c>
      <c r="L656">
        <v>384</v>
      </c>
      <c r="M656">
        <v>368</v>
      </c>
      <c r="N656">
        <v>535</v>
      </c>
      <c r="O656">
        <v>167</v>
      </c>
      <c r="P656">
        <v>319</v>
      </c>
      <c r="Q656">
        <v>552</v>
      </c>
      <c r="R656">
        <v>233</v>
      </c>
      <c r="S656">
        <v>144.9</v>
      </c>
      <c r="T656">
        <v>426</v>
      </c>
      <c r="U656">
        <v>418</v>
      </c>
      <c r="V656">
        <v>500</v>
      </c>
      <c r="W656">
        <v>2.79</v>
      </c>
    </row>
    <row r="657" spans="1:23" x14ac:dyDescent="0.25">
      <c r="A657" t="s">
        <v>36</v>
      </c>
      <c r="B657">
        <v>12</v>
      </c>
      <c r="C657">
        <v>7</v>
      </c>
      <c r="D657">
        <v>1992</v>
      </c>
      <c r="E657">
        <v>93</v>
      </c>
      <c r="F657">
        <v>11.4</v>
      </c>
      <c r="G657">
        <v>10.5</v>
      </c>
      <c r="H657">
        <v>0.9</v>
      </c>
      <c r="I657">
        <v>7</v>
      </c>
      <c r="J657">
        <v>62.5</v>
      </c>
      <c r="K657">
        <v>271.7</v>
      </c>
      <c r="L657">
        <v>385</v>
      </c>
      <c r="M657">
        <v>374</v>
      </c>
      <c r="N657">
        <v>520</v>
      </c>
      <c r="O657">
        <v>146</v>
      </c>
      <c r="P657">
        <v>324</v>
      </c>
      <c r="Q657">
        <v>531</v>
      </c>
      <c r="R657">
        <v>207</v>
      </c>
      <c r="S657">
        <v>144.9</v>
      </c>
      <c r="T657">
        <v>426</v>
      </c>
      <c r="U657">
        <v>418</v>
      </c>
      <c r="V657">
        <v>500</v>
      </c>
      <c r="W657">
        <v>2.79</v>
      </c>
    </row>
    <row r="658" spans="1:23" x14ac:dyDescent="0.25">
      <c r="A658" t="s">
        <v>36</v>
      </c>
      <c r="B658">
        <v>12</v>
      </c>
      <c r="C658">
        <v>8</v>
      </c>
      <c r="D658">
        <v>1993</v>
      </c>
      <c r="E658">
        <v>100.2</v>
      </c>
      <c r="F658">
        <v>7.2</v>
      </c>
      <c r="G658">
        <v>6.3</v>
      </c>
      <c r="H658">
        <v>0.9</v>
      </c>
      <c r="I658">
        <v>12</v>
      </c>
      <c r="J658">
        <v>43.7</v>
      </c>
      <c r="K658">
        <v>315.39999999999998</v>
      </c>
      <c r="L658">
        <v>417</v>
      </c>
      <c r="M658">
        <v>400</v>
      </c>
      <c r="N658">
        <v>541</v>
      </c>
      <c r="O658">
        <v>141</v>
      </c>
      <c r="P658">
        <v>345</v>
      </c>
      <c r="Q658">
        <v>568</v>
      </c>
      <c r="R658">
        <v>223</v>
      </c>
      <c r="S658">
        <v>144.9</v>
      </c>
      <c r="T658">
        <v>426</v>
      </c>
      <c r="U658">
        <v>418</v>
      </c>
      <c r="V658">
        <v>500</v>
      </c>
      <c r="W658">
        <v>2.79</v>
      </c>
    </row>
    <row r="659" spans="1:23" x14ac:dyDescent="0.25">
      <c r="A659" t="s">
        <v>36</v>
      </c>
      <c r="B659">
        <v>12</v>
      </c>
      <c r="C659">
        <v>9</v>
      </c>
      <c r="D659">
        <v>1994</v>
      </c>
      <c r="E659">
        <v>108.6</v>
      </c>
      <c r="F659">
        <v>8.4</v>
      </c>
      <c r="G659">
        <v>8.4</v>
      </c>
      <c r="H659">
        <v>0</v>
      </c>
      <c r="I659">
        <v>0</v>
      </c>
      <c r="J659">
        <v>55.1</v>
      </c>
      <c r="K659">
        <v>370.5</v>
      </c>
      <c r="L659">
        <v>392</v>
      </c>
      <c r="M659">
        <v>392</v>
      </c>
      <c r="P659">
        <v>300</v>
      </c>
      <c r="Q659">
        <v>496</v>
      </c>
      <c r="R659">
        <v>196</v>
      </c>
      <c r="S659">
        <v>144.9</v>
      </c>
      <c r="T659">
        <v>426</v>
      </c>
      <c r="U659">
        <v>418</v>
      </c>
      <c r="V659">
        <v>500</v>
      </c>
      <c r="W659">
        <v>2.79</v>
      </c>
    </row>
    <row r="660" spans="1:23" x14ac:dyDescent="0.25">
      <c r="A660" t="s">
        <v>36</v>
      </c>
      <c r="B660">
        <v>12</v>
      </c>
      <c r="C660">
        <v>10</v>
      </c>
      <c r="D660">
        <v>1995</v>
      </c>
      <c r="E660">
        <v>114</v>
      </c>
      <c r="F660">
        <v>5.4</v>
      </c>
      <c r="G660">
        <v>4.8</v>
      </c>
      <c r="H660">
        <v>0.6</v>
      </c>
      <c r="I660">
        <v>11</v>
      </c>
      <c r="J660">
        <v>37.799999999999997</v>
      </c>
      <c r="K660">
        <v>408.3</v>
      </c>
      <c r="L660">
        <v>418</v>
      </c>
      <c r="M660">
        <v>402</v>
      </c>
      <c r="N660">
        <v>544</v>
      </c>
      <c r="O660">
        <v>142</v>
      </c>
      <c r="P660">
        <v>312</v>
      </c>
      <c r="Q660">
        <v>560</v>
      </c>
      <c r="R660">
        <v>248</v>
      </c>
      <c r="S660">
        <v>144.9</v>
      </c>
      <c r="T660">
        <v>426</v>
      </c>
      <c r="U660">
        <v>418</v>
      </c>
      <c r="V660">
        <v>500</v>
      </c>
      <c r="W660">
        <v>2.79</v>
      </c>
    </row>
    <row r="661" spans="1:23" x14ac:dyDescent="0.25">
      <c r="A661" t="s">
        <v>36</v>
      </c>
      <c r="B661">
        <v>12</v>
      </c>
      <c r="C661">
        <v>11</v>
      </c>
      <c r="D661">
        <v>1996</v>
      </c>
      <c r="E661">
        <v>120.3</v>
      </c>
      <c r="F661">
        <v>6.3</v>
      </c>
      <c r="G661">
        <v>5.4</v>
      </c>
      <c r="H661">
        <v>0.9</v>
      </c>
      <c r="I661">
        <v>14</v>
      </c>
      <c r="J661">
        <v>46.4</v>
      </c>
      <c r="K661">
        <v>454.7</v>
      </c>
      <c r="L661">
        <v>415</v>
      </c>
      <c r="M661">
        <v>397</v>
      </c>
      <c r="N661">
        <v>526</v>
      </c>
      <c r="O661">
        <v>129</v>
      </c>
      <c r="P661">
        <v>345</v>
      </c>
      <c r="Q661">
        <v>552</v>
      </c>
      <c r="R661">
        <v>207</v>
      </c>
      <c r="S661">
        <v>144.9</v>
      </c>
      <c r="T661">
        <v>426</v>
      </c>
      <c r="U661">
        <v>418</v>
      </c>
      <c r="V661">
        <v>500</v>
      </c>
      <c r="W661">
        <v>2.79</v>
      </c>
    </row>
    <row r="662" spans="1:23" x14ac:dyDescent="0.25">
      <c r="A662" t="s">
        <v>36</v>
      </c>
      <c r="B662">
        <v>12</v>
      </c>
      <c r="C662">
        <v>12</v>
      </c>
      <c r="D662">
        <v>1997</v>
      </c>
      <c r="E662">
        <v>123.9</v>
      </c>
      <c r="F662">
        <v>3.6</v>
      </c>
      <c r="G662">
        <v>1.8</v>
      </c>
      <c r="H662">
        <v>1.8</v>
      </c>
      <c r="I662">
        <v>50</v>
      </c>
      <c r="J662">
        <v>27.6</v>
      </c>
      <c r="K662">
        <v>482.3</v>
      </c>
      <c r="L662">
        <v>499</v>
      </c>
      <c r="M662">
        <v>451</v>
      </c>
      <c r="N662">
        <v>547</v>
      </c>
      <c r="O662">
        <v>96</v>
      </c>
      <c r="P662">
        <v>411</v>
      </c>
      <c r="Q662">
        <v>599</v>
      </c>
      <c r="R662">
        <v>188</v>
      </c>
      <c r="S662">
        <v>144.9</v>
      </c>
      <c r="T662">
        <v>426</v>
      </c>
      <c r="U662">
        <v>418</v>
      </c>
      <c r="V662">
        <v>500</v>
      </c>
      <c r="W662">
        <v>2.79</v>
      </c>
    </row>
    <row r="663" spans="1:23" x14ac:dyDescent="0.25">
      <c r="A663" t="s">
        <v>36</v>
      </c>
      <c r="B663">
        <v>12</v>
      </c>
      <c r="C663">
        <v>13</v>
      </c>
      <c r="D663">
        <v>1998</v>
      </c>
      <c r="E663">
        <v>128.69999999999999</v>
      </c>
      <c r="F663">
        <v>4.8</v>
      </c>
      <c r="G663">
        <v>3</v>
      </c>
      <c r="H663">
        <v>1.8</v>
      </c>
      <c r="I663">
        <v>37</v>
      </c>
      <c r="J663">
        <v>38.1</v>
      </c>
      <c r="K663">
        <v>520.4</v>
      </c>
      <c r="L663">
        <v>465</v>
      </c>
      <c r="M663">
        <v>425</v>
      </c>
      <c r="N663">
        <v>532</v>
      </c>
      <c r="O663">
        <v>107</v>
      </c>
      <c r="P663">
        <v>372</v>
      </c>
      <c r="Q663">
        <v>563</v>
      </c>
      <c r="R663">
        <v>191</v>
      </c>
      <c r="S663">
        <v>144.9</v>
      </c>
      <c r="T663">
        <v>426</v>
      </c>
      <c r="U663">
        <v>418</v>
      </c>
      <c r="V663">
        <v>500</v>
      </c>
      <c r="W663">
        <v>2.79</v>
      </c>
    </row>
    <row r="664" spans="1:23" x14ac:dyDescent="0.25">
      <c r="A664" t="s">
        <v>36</v>
      </c>
      <c r="B664">
        <v>12</v>
      </c>
      <c r="C664">
        <v>14</v>
      </c>
      <c r="D664">
        <v>1999</v>
      </c>
      <c r="E664">
        <v>133.80000000000001</v>
      </c>
      <c r="F664">
        <v>5.0999999999999996</v>
      </c>
      <c r="G664">
        <v>3.9</v>
      </c>
      <c r="H664">
        <v>1.2</v>
      </c>
      <c r="I664">
        <v>23</v>
      </c>
      <c r="J664">
        <v>42.1</v>
      </c>
      <c r="K664">
        <v>562.4</v>
      </c>
      <c r="L664">
        <v>455</v>
      </c>
      <c r="M664">
        <v>432</v>
      </c>
      <c r="N664">
        <v>529</v>
      </c>
      <c r="O664">
        <v>97</v>
      </c>
      <c r="P664">
        <v>383</v>
      </c>
      <c r="Q664">
        <v>539</v>
      </c>
      <c r="R664">
        <v>156</v>
      </c>
      <c r="S664">
        <v>144.9</v>
      </c>
      <c r="T664">
        <v>426</v>
      </c>
      <c r="U664">
        <v>418</v>
      </c>
      <c r="V664">
        <v>500</v>
      </c>
      <c r="W664">
        <v>2.79</v>
      </c>
    </row>
    <row r="665" spans="1:23" x14ac:dyDescent="0.25">
      <c r="A665" t="s">
        <v>36</v>
      </c>
      <c r="B665">
        <v>12</v>
      </c>
      <c r="C665">
        <v>15</v>
      </c>
      <c r="D665">
        <v>2000</v>
      </c>
      <c r="E665">
        <v>138.30000000000001</v>
      </c>
      <c r="F665">
        <v>4.5</v>
      </c>
      <c r="G665">
        <v>2.7</v>
      </c>
      <c r="H665">
        <v>1.8</v>
      </c>
      <c r="I665">
        <v>40</v>
      </c>
      <c r="J665">
        <v>38.5</v>
      </c>
      <c r="K665">
        <v>600.9</v>
      </c>
      <c r="L665">
        <v>483</v>
      </c>
      <c r="M665">
        <v>444</v>
      </c>
      <c r="N665">
        <v>542</v>
      </c>
      <c r="O665">
        <v>98</v>
      </c>
      <c r="P665">
        <v>392</v>
      </c>
      <c r="Q665">
        <v>581</v>
      </c>
      <c r="R665">
        <v>189</v>
      </c>
      <c r="S665">
        <v>144.9</v>
      </c>
      <c r="T665">
        <v>426</v>
      </c>
      <c r="U665">
        <v>418</v>
      </c>
      <c r="V665">
        <v>500</v>
      </c>
      <c r="W665">
        <v>2.79</v>
      </c>
    </row>
    <row r="666" spans="1:23" x14ac:dyDescent="0.25">
      <c r="A666" t="s">
        <v>36</v>
      </c>
      <c r="B666">
        <v>12</v>
      </c>
      <c r="C666">
        <v>16</v>
      </c>
      <c r="D666">
        <v>2001</v>
      </c>
      <c r="E666">
        <v>141</v>
      </c>
      <c r="F666">
        <v>2.7</v>
      </c>
      <c r="G666">
        <v>1.5</v>
      </c>
      <c r="H666">
        <v>1.2</v>
      </c>
      <c r="I666">
        <v>44</v>
      </c>
      <c r="J666">
        <v>23.7</v>
      </c>
      <c r="K666">
        <v>624.6</v>
      </c>
      <c r="L666">
        <v>492</v>
      </c>
      <c r="M666">
        <v>447</v>
      </c>
      <c r="N666">
        <v>547</v>
      </c>
      <c r="O666">
        <v>100</v>
      </c>
      <c r="P666">
        <v>408</v>
      </c>
      <c r="Q666">
        <v>584</v>
      </c>
      <c r="R666">
        <v>176</v>
      </c>
      <c r="S666">
        <v>144.9</v>
      </c>
      <c r="T666">
        <v>426</v>
      </c>
      <c r="U666">
        <v>418</v>
      </c>
      <c r="V666">
        <v>500</v>
      </c>
      <c r="W666">
        <v>2.79</v>
      </c>
    </row>
    <row r="667" spans="1:23" x14ac:dyDescent="0.25">
      <c r="A667" t="s">
        <v>36</v>
      </c>
      <c r="B667">
        <v>12</v>
      </c>
      <c r="C667">
        <v>17</v>
      </c>
      <c r="D667">
        <v>2002</v>
      </c>
      <c r="E667">
        <v>143.4</v>
      </c>
      <c r="F667">
        <v>2.4</v>
      </c>
      <c r="G667">
        <v>0.9</v>
      </c>
      <c r="H667">
        <v>1.5</v>
      </c>
      <c r="I667">
        <v>62</v>
      </c>
      <c r="J667">
        <v>21.4</v>
      </c>
      <c r="K667">
        <v>646</v>
      </c>
      <c r="L667">
        <v>491</v>
      </c>
      <c r="M667">
        <v>397</v>
      </c>
      <c r="N667">
        <v>547</v>
      </c>
      <c r="O667">
        <v>150</v>
      </c>
      <c r="P667">
        <v>377</v>
      </c>
      <c r="Q667">
        <v>580</v>
      </c>
      <c r="R667">
        <v>203</v>
      </c>
      <c r="S667">
        <v>144.9</v>
      </c>
      <c r="T667">
        <v>426</v>
      </c>
      <c r="U667">
        <v>418</v>
      </c>
      <c r="V667">
        <v>500</v>
      </c>
      <c r="W667">
        <v>2.79</v>
      </c>
    </row>
    <row r="668" spans="1:23" x14ac:dyDescent="0.25">
      <c r="A668" t="s">
        <v>36</v>
      </c>
      <c r="B668">
        <v>12</v>
      </c>
      <c r="C668">
        <v>18</v>
      </c>
      <c r="D668">
        <v>2003</v>
      </c>
      <c r="E668">
        <v>145.19999999999999</v>
      </c>
      <c r="F668">
        <v>1.8</v>
      </c>
      <c r="G668">
        <v>1.2</v>
      </c>
      <c r="H668">
        <v>0.6</v>
      </c>
      <c r="I668">
        <v>33</v>
      </c>
      <c r="J668">
        <v>16.3</v>
      </c>
      <c r="K668">
        <v>662.3</v>
      </c>
      <c r="L668">
        <v>472</v>
      </c>
      <c r="M668">
        <v>435</v>
      </c>
      <c r="N668">
        <v>546</v>
      </c>
      <c r="O668">
        <v>111</v>
      </c>
      <c r="P668">
        <v>417</v>
      </c>
      <c r="Q668">
        <v>561</v>
      </c>
      <c r="R668">
        <v>144</v>
      </c>
      <c r="S668">
        <v>144.9</v>
      </c>
      <c r="T668">
        <v>426</v>
      </c>
      <c r="U668">
        <v>418</v>
      </c>
      <c r="V668">
        <v>500</v>
      </c>
      <c r="W668">
        <v>2.79</v>
      </c>
    </row>
    <row r="669" spans="1:23" x14ac:dyDescent="0.25">
      <c r="A669" t="s">
        <v>36</v>
      </c>
      <c r="B669">
        <v>12</v>
      </c>
      <c r="C669">
        <v>19</v>
      </c>
      <c r="D669">
        <v>2004</v>
      </c>
      <c r="E669">
        <v>146.4</v>
      </c>
      <c r="F669">
        <v>1.2</v>
      </c>
      <c r="G669">
        <v>1.2</v>
      </c>
      <c r="H669">
        <v>0</v>
      </c>
      <c r="I669">
        <v>0</v>
      </c>
      <c r="J669">
        <v>11</v>
      </c>
      <c r="K669">
        <v>673.3</v>
      </c>
      <c r="L669">
        <v>444</v>
      </c>
      <c r="M669">
        <v>444</v>
      </c>
      <c r="P669">
        <v>400</v>
      </c>
      <c r="Q669">
        <v>493</v>
      </c>
      <c r="R669">
        <v>93</v>
      </c>
      <c r="S669">
        <v>144.9</v>
      </c>
      <c r="T669">
        <v>426</v>
      </c>
      <c r="U669">
        <v>418</v>
      </c>
      <c r="V669">
        <v>500</v>
      </c>
      <c r="W669">
        <v>2.79</v>
      </c>
    </row>
    <row r="670" spans="1:23" x14ac:dyDescent="0.25">
      <c r="A670" t="s">
        <v>36</v>
      </c>
      <c r="B670">
        <v>12</v>
      </c>
      <c r="C670">
        <v>20</v>
      </c>
      <c r="D670">
        <v>2005</v>
      </c>
      <c r="E670">
        <v>147.9</v>
      </c>
      <c r="F670">
        <v>1.5</v>
      </c>
      <c r="G670">
        <v>1.2</v>
      </c>
      <c r="H670">
        <v>0.3</v>
      </c>
      <c r="I670">
        <v>20</v>
      </c>
      <c r="J670">
        <v>13.9</v>
      </c>
      <c r="K670">
        <v>687.2</v>
      </c>
      <c r="L670">
        <v>471</v>
      </c>
      <c r="M670">
        <v>461</v>
      </c>
      <c r="N670">
        <v>513</v>
      </c>
      <c r="O670">
        <v>52</v>
      </c>
      <c r="P670">
        <v>421</v>
      </c>
      <c r="Q670">
        <v>513</v>
      </c>
      <c r="R670">
        <v>92</v>
      </c>
      <c r="S670">
        <v>144.9</v>
      </c>
      <c r="T670">
        <v>426</v>
      </c>
      <c r="U670">
        <v>418</v>
      </c>
      <c r="V670">
        <v>500</v>
      </c>
      <c r="W670">
        <v>2.79</v>
      </c>
    </row>
    <row r="671" spans="1:23" x14ac:dyDescent="0.25">
      <c r="A671" t="s">
        <v>36</v>
      </c>
      <c r="B671">
        <v>13</v>
      </c>
      <c r="C671">
        <v>2</v>
      </c>
      <c r="D671">
        <v>1987</v>
      </c>
      <c r="E671">
        <v>26.9</v>
      </c>
      <c r="F671">
        <v>26.9</v>
      </c>
      <c r="G671">
        <v>20.100000000000001</v>
      </c>
      <c r="H671">
        <v>1.8</v>
      </c>
      <c r="I671">
        <v>6</v>
      </c>
      <c r="J671">
        <v>22.7</v>
      </c>
      <c r="K671">
        <v>22.7</v>
      </c>
      <c r="L671">
        <v>374</v>
      </c>
      <c r="M671">
        <v>361</v>
      </c>
      <c r="N671">
        <v>522</v>
      </c>
      <c r="O671">
        <v>161</v>
      </c>
      <c r="P671">
        <v>178</v>
      </c>
      <c r="Q671">
        <v>543</v>
      </c>
      <c r="R671">
        <v>365</v>
      </c>
      <c r="S671">
        <v>226.2</v>
      </c>
      <c r="T671">
        <v>428</v>
      </c>
      <c r="U671">
        <v>431</v>
      </c>
      <c r="V671">
        <v>500</v>
      </c>
      <c r="W671">
        <v>2.79</v>
      </c>
    </row>
    <row r="672" spans="1:23" x14ac:dyDescent="0.25">
      <c r="A672" t="s">
        <v>36</v>
      </c>
      <c r="B672">
        <v>13</v>
      </c>
      <c r="C672">
        <v>3</v>
      </c>
      <c r="D672">
        <v>1988</v>
      </c>
      <c r="E672">
        <v>44.9</v>
      </c>
      <c r="F672">
        <v>18</v>
      </c>
      <c r="G672">
        <v>16.5</v>
      </c>
      <c r="H672">
        <v>1.5</v>
      </c>
      <c r="I672">
        <v>8</v>
      </c>
      <c r="J672">
        <v>40.6</v>
      </c>
      <c r="K672">
        <v>63.3</v>
      </c>
      <c r="L672">
        <v>385</v>
      </c>
      <c r="M672">
        <v>373</v>
      </c>
      <c r="N672">
        <v>522</v>
      </c>
      <c r="O672">
        <v>149</v>
      </c>
      <c r="P672">
        <v>318</v>
      </c>
      <c r="Q672">
        <v>530</v>
      </c>
      <c r="R672">
        <v>212</v>
      </c>
      <c r="S672">
        <v>226.2</v>
      </c>
      <c r="T672">
        <v>428</v>
      </c>
      <c r="U672">
        <v>431</v>
      </c>
      <c r="V672">
        <v>500</v>
      </c>
      <c r="W672">
        <v>2.79</v>
      </c>
    </row>
    <row r="673" spans="1:23" x14ac:dyDescent="0.25">
      <c r="A673" t="s">
        <v>36</v>
      </c>
      <c r="B673">
        <v>13</v>
      </c>
      <c r="C673">
        <v>4</v>
      </c>
      <c r="D673">
        <v>1989</v>
      </c>
      <c r="E673">
        <v>59.9</v>
      </c>
      <c r="F673">
        <v>15</v>
      </c>
      <c r="G673">
        <v>14.4</v>
      </c>
      <c r="H673">
        <v>0.6</v>
      </c>
      <c r="I673">
        <v>4</v>
      </c>
      <c r="J673">
        <v>49.4</v>
      </c>
      <c r="K673">
        <v>112.7</v>
      </c>
      <c r="L673">
        <v>370</v>
      </c>
      <c r="M673">
        <v>364</v>
      </c>
      <c r="N673">
        <v>523</v>
      </c>
      <c r="O673">
        <v>159</v>
      </c>
      <c r="P673">
        <v>308</v>
      </c>
      <c r="Q673">
        <v>525</v>
      </c>
      <c r="R673">
        <v>217</v>
      </c>
      <c r="S673">
        <v>226.2</v>
      </c>
      <c r="T673">
        <v>428</v>
      </c>
      <c r="U673">
        <v>431</v>
      </c>
      <c r="V673">
        <v>500</v>
      </c>
      <c r="W673">
        <v>2.79</v>
      </c>
    </row>
    <row r="674" spans="1:23" x14ac:dyDescent="0.25">
      <c r="A674" t="s">
        <v>36</v>
      </c>
      <c r="B674">
        <v>13</v>
      </c>
      <c r="C674">
        <v>5</v>
      </c>
      <c r="D674">
        <v>1990</v>
      </c>
      <c r="E674">
        <v>70.099999999999994</v>
      </c>
      <c r="F674">
        <v>10.199999999999999</v>
      </c>
      <c r="G674">
        <v>9.3000000000000007</v>
      </c>
      <c r="H674">
        <v>0.9</v>
      </c>
      <c r="I674">
        <v>8</v>
      </c>
      <c r="J674">
        <v>41.7</v>
      </c>
      <c r="K674">
        <v>154.4</v>
      </c>
      <c r="L674">
        <v>388</v>
      </c>
      <c r="M674">
        <v>374</v>
      </c>
      <c r="N674">
        <v>530</v>
      </c>
      <c r="O674">
        <v>156</v>
      </c>
      <c r="P674">
        <v>323</v>
      </c>
      <c r="Q674">
        <v>536</v>
      </c>
      <c r="R674">
        <v>213</v>
      </c>
      <c r="S674">
        <v>226.2</v>
      </c>
      <c r="T674">
        <v>428</v>
      </c>
      <c r="U674">
        <v>431</v>
      </c>
      <c r="V674">
        <v>500</v>
      </c>
      <c r="W674">
        <v>2.79</v>
      </c>
    </row>
    <row r="675" spans="1:23" x14ac:dyDescent="0.25">
      <c r="A675" t="s">
        <v>36</v>
      </c>
      <c r="B675">
        <v>13</v>
      </c>
      <c r="C675">
        <v>6</v>
      </c>
      <c r="D675">
        <v>1991</v>
      </c>
      <c r="E675">
        <v>83.6</v>
      </c>
      <c r="F675">
        <v>13.5</v>
      </c>
      <c r="G675">
        <v>12.3</v>
      </c>
      <c r="H675">
        <v>1.2</v>
      </c>
      <c r="I675">
        <v>8</v>
      </c>
      <c r="J675">
        <v>65.2</v>
      </c>
      <c r="K675">
        <v>219.6</v>
      </c>
      <c r="L675">
        <v>409</v>
      </c>
      <c r="M675">
        <v>397</v>
      </c>
      <c r="N675">
        <v>531</v>
      </c>
      <c r="O675">
        <v>134</v>
      </c>
      <c r="P675">
        <v>359</v>
      </c>
      <c r="Q675">
        <v>550</v>
      </c>
      <c r="R675">
        <v>191</v>
      </c>
      <c r="S675">
        <v>226.2</v>
      </c>
      <c r="T675">
        <v>428</v>
      </c>
      <c r="U675">
        <v>431</v>
      </c>
      <c r="V675">
        <v>500</v>
      </c>
      <c r="W675">
        <v>2.79</v>
      </c>
    </row>
    <row r="676" spans="1:23" x14ac:dyDescent="0.25">
      <c r="A676" t="s">
        <v>36</v>
      </c>
      <c r="B676">
        <v>13</v>
      </c>
      <c r="C676">
        <v>7</v>
      </c>
      <c r="D676">
        <v>1992</v>
      </c>
      <c r="E676">
        <v>101</v>
      </c>
      <c r="F676">
        <v>17.399999999999999</v>
      </c>
      <c r="G676">
        <v>15.3</v>
      </c>
      <c r="H676">
        <v>2.1</v>
      </c>
      <c r="I676">
        <v>12</v>
      </c>
      <c r="J676">
        <v>100.9</v>
      </c>
      <c r="K676">
        <v>320.5</v>
      </c>
      <c r="L676">
        <v>394</v>
      </c>
      <c r="M676">
        <v>377</v>
      </c>
      <c r="N676">
        <v>522</v>
      </c>
      <c r="O676">
        <v>145</v>
      </c>
      <c r="P676">
        <v>327</v>
      </c>
      <c r="Q676">
        <v>540</v>
      </c>
      <c r="R676">
        <v>213</v>
      </c>
      <c r="S676">
        <v>226.2</v>
      </c>
      <c r="T676">
        <v>428</v>
      </c>
      <c r="U676">
        <v>431</v>
      </c>
      <c r="V676">
        <v>500</v>
      </c>
      <c r="W676">
        <v>2.79</v>
      </c>
    </row>
    <row r="677" spans="1:23" x14ac:dyDescent="0.25">
      <c r="A677" t="s">
        <v>36</v>
      </c>
      <c r="B677">
        <v>13</v>
      </c>
      <c r="C677">
        <v>8</v>
      </c>
      <c r="D677">
        <v>1993</v>
      </c>
      <c r="E677">
        <v>109.1</v>
      </c>
      <c r="F677">
        <v>8.1</v>
      </c>
      <c r="G677">
        <v>6.9</v>
      </c>
      <c r="H677">
        <v>1.2</v>
      </c>
      <c r="I677">
        <v>14</v>
      </c>
      <c r="J677">
        <v>53.5</v>
      </c>
      <c r="K677">
        <v>373.9</v>
      </c>
      <c r="L677">
        <v>410</v>
      </c>
      <c r="M677">
        <v>388</v>
      </c>
      <c r="N677">
        <v>538</v>
      </c>
      <c r="O677">
        <v>150</v>
      </c>
      <c r="P677">
        <v>346</v>
      </c>
      <c r="Q677">
        <v>573</v>
      </c>
      <c r="R677">
        <v>227</v>
      </c>
      <c r="S677">
        <v>226.2</v>
      </c>
      <c r="T677">
        <v>428</v>
      </c>
      <c r="U677">
        <v>431</v>
      </c>
      <c r="V677">
        <v>500</v>
      </c>
      <c r="W677">
        <v>2.79</v>
      </c>
    </row>
    <row r="678" spans="1:23" x14ac:dyDescent="0.25">
      <c r="A678" t="s">
        <v>36</v>
      </c>
      <c r="B678">
        <v>13</v>
      </c>
      <c r="C678">
        <v>9</v>
      </c>
      <c r="D678">
        <v>1994</v>
      </c>
      <c r="E678">
        <v>114.8</v>
      </c>
      <c r="F678">
        <v>5.7</v>
      </c>
      <c r="G678">
        <v>4.2</v>
      </c>
      <c r="H678">
        <v>1.5</v>
      </c>
      <c r="I678">
        <v>26</v>
      </c>
      <c r="J678">
        <v>40.1</v>
      </c>
      <c r="K678">
        <v>414</v>
      </c>
      <c r="L678">
        <v>434</v>
      </c>
      <c r="M678">
        <v>394</v>
      </c>
      <c r="N678">
        <v>547</v>
      </c>
      <c r="O678">
        <v>153</v>
      </c>
      <c r="P678">
        <v>332</v>
      </c>
      <c r="Q678">
        <v>572</v>
      </c>
      <c r="R678">
        <v>240</v>
      </c>
      <c r="S678">
        <v>226.2</v>
      </c>
      <c r="T678">
        <v>428</v>
      </c>
      <c r="U678">
        <v>431</v>
      </c>
      <c r="V678">
        <v>500</v>
      </c>
      <c r="W678">
        <v>2.79</v>
      </c>
    </row>
    <row r="679" spans="1:23" x14ac:dyDescent="0.25">
      <c r="A679" t="s">
        <v>36</v>
      </c>
      <c r="B679">
        <v>13</v>
      </c>
      <c r="C679">
        <v>10</v>
      </c>
      <c r="D679">
        <v>1995</v>
      </c>
      <c r="E679">
        <v>120.2</v>
      </c>
      <c r="F679">
        <v>5.4</v>
      </c>
      <c r="G679">
        <v>3.9</v>
      </c>
      <c r="H679">
        <v>1.5</v>
      </c>
      <c r="I679">
        <v>27</v>
      </c>
      <c r="J679">
        <v>39.9</v>
      </c>
      <c r="K679">
        <v>453.9</v>
      </c>
      <c r="L679">
        <v>443</v>
      </c>
      <c r="M679">
        <v>409</v>
      </c>
      <c r="N679">
        <v>529</v>
      </c>
      <c r="O679">
        <v>120</v>
      </c>
      <c r="P679">
        <v>342</v>
      </c>
      <c r="Q679">
        <v>562</v>
      </c>
      <c r="R679">
        <v>220</v>
      </c>
      <c r="S679">
        <v>226.2</v>
      </c>
      <c r="T679">
        <v>428</v>
      </c>
      <c r="U679">
        <v>431</v>
      </c>
      <c r="V679">
        <v>500</v>
      </c>
      <c r="W679">
        <v>2.79</v>
      </c>
    </row>
    <row r="680" spans="1:23" x14ac:dyDescent="0.25">
      <c r="A680" t="s">
        <v>36</v>
      </c>
      <c r="B680">
        <v>13</v>
      </c>
      <c r="C680">
        <v>11</v>
      </c>
      <c r="D680">
        <v>1996</v>
      </c>
      <c r="E680">
        <v>128</v>
      </c>
      <c r="F680">
        <v>7.8</v>
      </c>
      <c r="G680">
        <v>6</v>
      </c>
      <c r="H680">
        <v>1.8</v>
      </c>
      <c r="I680">
        <v>23</v>
      </c>
      <c r="J680">
        <v>60.8</v>
      </c>
      <c r="K680">
        <v>514.70000000000005</v>
      </c>
      <c r="L680">
        <v>423</v>
      </c>
      <c r="M680">
        <v>387</v>
      </c>
      <c r="N680">
        <v>545</v>
      </c>
      <c r="O680">
        <v>158</v>
      </c>
      <c r="P680">
        <v>297</v>
      </c>
      <c r="Q680">
        <v>572</v>
      </c>
      <c r="R680">
        <v>275</v>
      </c>
      <c r="S680">
        <v>226.2</v>
      </c>
      <c r="T680">
        <v>428</v>
      </c>
      <c r="U680">
        <v>431</v>
      </c>
      <c r="V680">
        <v>500</v>
      </c>
      <c r="W680">
        <v>2.79</v>
      </c>
    </row>
    <row r="681" spans="1:23" x14ac:dyDescent="0.25">
      <c r="A681" t="s">
        <v>36</v>
      </c>
      <c r="B681">
        <v>13</v>
      </c>
      <c r="C681">
        <v>12</v>
      </c>
      <c r="D681">
        <v>1997</v>
      </c>
      <c r="E681">
        <v>137.30000000000001</v>
      </c>
      <c r="F681">
        <v>9.3000000000000007</v>
      </c>
      <c r="G681">
        <v>7.2</v>
      </c>
      <c r="H681">
        <v>2.1</v>
      </c>
      <c r="I681">
        <v>22</v>
      </c>
      <c r="J681">
        <v>77.5</v>
      </c>
      <c r="K681">
        <v>592.20000000000005</v>
      </c>
      <c r="L681">
        <v>429</v>
      </c>
      <c r="M681">
        <v>394</v>
      </c>
      <c r="N681">
        <v>548</v>
      </c>
      <c r="O681">
        <v>154</v>
      </c>
      <c r="P681">
        <v>335</v>
      </c>
      <c r="Q681">
        <v>569</v>
      </c>
      <c r="R681">
        <v>234</v>
      </c>
      <c r="S681">
        <v>226.2</v>
      </c>
      <c r="T681">
        <v>428</v>
      </c>
      <c r="U681">
        <v>431</v>
      </c>
      <c r="V681">
        <v>500</v>
      </c>
      <c r="W681">
        <v>2.79</v>
      </c>
    </row>
    <row r="682" spans="1:23" x14ac:dyDescent="0.25">
      <c r="A682" t="s">
        <v>36</v>
      </c>
      <c r="B682">
        <v>13</v>
      </c>
      <c r="C682">
        <v>13</v>
      </c>
      <c r="D682">
        <v>1998</v>
      </c>
      <c r="E682">
        <v>144.5</v>
      </c>
      <c r="F682">
        <v>7.2</v>
      </c>
      <c r="G682">
        <v>4.8</v>
      </c>
      <c r="H682">
        <v>2.4</v>
      </c>
      <c r="I682">
        <v>33</v>
      </c>
      <c r="J682">
        <v>63.7</v>
      </c>
      <c r="K682">
        <v>656</v>
      </c>
      <c r="L682">
        <v>443</v>
      </c>
      <c r="M682">
        <v>389</v>
      </c>
      <c r="N682">
        <v>551</v>
      </c>
      <c r="O682">
        <v>162</v>
      </c>
      <c r="P682">
        <v>347</v>
      </c>
      <c r="Q682">
        <v>591</v>
      </c>
      <c r="R682">
        <v>244</v>
      </c>
      <c r="S682">
        <v>226.2</v>
      </c>
      <c r="T682">
        <v>428</v>
      </c>
      <c r="U682">
        <v>431</v>
      </c>
      <c r="V682">
        <v>500</v>
      </c>
      <c r="W682">
        <v>2.79</v>
      </c>
    </row>
    <row r="683" spans="1:23" x14ac:dyDescent="0.25">
      <c r="A683" t="s">
        <v>36</v>
      </c>
      <c r="B683">
        <v>13</v>
      </c>
      <c r="C683">
        <v>14</v>
      </c>
      <c r="D683">
        <v>1999</v>
      </c>
      <c r="E683">
        <v>152.30000000000001</v>
      </c>
      <c r="F683">
        <v>7.8</v>
      </c>
      <c r="G683">
        <v>4.2</v>
      </c>
      <c r="H683">
        <v>3.6</v>
      </c>
      <c r="I683">
        <v>46</v>
      </c>
      <c r="J683">
        <v>72.7</v>
      </c>
      <c r="K683">
        <v>728.7</v>
      </c>
      <c r="L683">
        <v>458</v>
      </c>
      <c r="M683">
        <v>393</v>
      </c>
      <c r="N683">
        <v>533</v>
      </c>
      <c r="O683">
        <v>140</v>
      </c>
      <c r="P683">
        <v>331</v>
      </c>
      <c r="Q683">
        <v>579</v>
      </c>
      <c r="R683">
        <v>248</v>
      </c>
      <c r="S683">
        <v>226.2</v>
      </c>
      <c r="T683">
        <v>428</v>
      </c>
      <c r="U683">
        <v>431</v>
      </c>
      <c r="V683">
        <v>500</v>
      </c>
      <c r="W683">
        <v>2.79</v>
      </c>
    </row>
    <row r="684" spans="1:23" x14ac:dyDescent="0.25">
      <c r="A684" t="s">
        <v>36</v>
      </c>
      <c r="B684">
        <v>13</v>
      </c>
      <c r="C684">
        <v>15</v>
      </c>
      <c r="D684">
        <v>2000</v>
      </c>
      <c r="E684">
        <v>160.69999999999999</v>
      </c>
      <c r="F684">
        <v>8.4</v>
      </c>
      <c r="G684">
        <v>6.6</v>
      </c>
      <c r="H684">
        <v>1.8</v>
      </c>
      <c r="I684">
        <v>21</v>
      </c>
      <c r="J684">
        <v>82.6</v>
      </c>
      <c r="K684">
        <v>811.3</v>
      </c>
      <c r="L684">
        <v>430</v>
      </c>
      <c r="M684">
        <v>402</v>
      </c>
      <c r="N684">
        <v>530</v>
      </c>
      <c r="O684">
        <v>128</v>
      </c>
      <c r="P684">
        <v>317</v>
      </c>
      <c r="Q684">
        <v>549</v>
      </c>
      <c r="R684">
        <v>232</v>
      </c>
      <c r="S684">
        <v>226.2</v>
      </c>
      <c r="T684">
        <v>428</v>
      </c>
      <c r="U684">
        <v>431</v>
      </c>
      <c r="V684">
        <v>500</v>
      </c>
      <c r="W684">
        <v>2.79</v>
      </c>
    </row>
    <row r="685" spans="1:23" x14ac:dyDescent="0.25">
      <c r="A685" t="s">
        <v>36</v>
      </c>
      <c r="B685">
        <v>13</v>
      </c>
      <c r="C685">
        <v>16</v>
      </c>
      <c r="D685">
        <v>2001</v>
      </c>
      <c r="E685">
        <v>168.2</v>
      </c>
      <c r="F685">
        <v>7.5</v>
      </c>
      <c r="G685">
        <v>5.0999999999999996</v>
      </c>
      <c r="H685">
        <v>2.4</v>
      </c>
      <c r="I685">
        <v>32</v>
      </c>
      <c r="J685">
        <v>77.5</v>
      </c>
      <c r="K685">
        <v>888.8</v>
      </c>
      <c r="L685">
        <v>459</v>
      </c>
      <c r="M685">
        <v>411</v>
      </c>
      <c r="N685">
        <v>559</v>
      </c>
      <c r="O685">
        <v>148</v>
      </c>
      <c r="P685">
        <v>347</v>
      </c>
      <c r="Q685">
        <v>596</v>
      </c>
      <c r="R685">
        <v>249</v>
      </c>
      <c r="S685">
        <v>226.2</v>
      </c>
      <c r="T685">
        <v>428</v>
      </c>
      <c r="U685">
        <v>431</v>
      </c>
      <c r="V685">
        <v>500</v>
      </c>
      <c r="W685">
        <v>2.79</v>
      </c>
    </row>
    <row r="686" spans="1:23" x14ac:dyDescent="0.25">
      <c r="A686" t="s">
        <v>36</v>
      </c>
      <c r="B686">
        <v>13</v>
      </c>
      <c r="C686">
        <v>17</v>
      </c>
      <c r="D686">
        <v>2002</v>
      </c>
      <c r="E686">
        <v>176.9</v>
      </c>
      <c r="F686">
        <v>8.6999999999999993</v>
      </c>
      <c r="G686">
        <v>4.5</v>
      </c>
      <c r="H686">
        <v>4.2</v>
      </c>
      <c r="I686">
        <v>48</v>
      </c>
      <c r="J686">
        <v>94.3</v>
      </c>
      <c r="K686">
        <v>983.1</v>
      </c>
      <c r="L686">
        <v>468</v>
      </c>
      <c r="M686">
        <v>381</v>
      </c>
      <c r="N686">
        <v>561</v>
      </c>
      <c r="O686">
        <v>180</v>
      </c>
      <c r="P686">
        <v>334</v>
      </c>
      <c r="Q686">
        <v>602</v>
      </c>
      <c r="R686">
        <v>268</v>
      </c>
      <c r="S686">
        <v>226.2</v>
      </c>
      <c r="T686">
        <v>428</v>
      </c>
      <c r="U686">
        <v>431</v>
      </c>
      <c r="V686">
        <v>500</v>
      </c>
      <c r="W686">
        <v>2.79</v>
      </c>
    </row>
    <row r="687" spans="1:23" x14ac:dyDescent="0.25">
      <c r="A687" t="s">
        <v>36</v>
      </c>
      <c r="B687">
        <v>13</v>
      </c>
      <c r="C687">
        <v>18</v>
      </c>
      <c r="D687">
        <v>2003</v>
      </c>
      <c r="E687">
        <v>185.9</v>
      </c>
      <c r="F687">
        <v>9</v>
      </c>
      <c r="G687">
        <v>7.5</v>
      </c>
      <c r="H687">
        <v>1.5</v>
      </c>
      <c r="I687">
        <v>16</v>
      </c>
      <c r="J687">
        <v>102.6</v>
      </c>
      <c r="K687">
        <v>1085.7</v>
      </c>
      <c r="L687">
        <v>438</v>
      </c>
      <c r="M687">
        <v>415</v>
      </c>
      <c r="N687">
        <v>550</v>
      </c>
      <c r="O687">
        <v>135</v>
      </c>
      <c r="P687">
        <v>355</v>
      </c>
      <c r="Q687">
        <v>577</v>
      </c>
      <c r="R687">
        <v>222</v>
      </c>
      <c r="S687">
        <v>226.2</v>
      </c>
      <c r="T687">
        <v>428</v>
      </c>
      <c r="U687">
        <v>431</v>
      </c>
      <c r="V687">
        <v>500</v>
      </c>
      <c r="W687">
        <v>2.79</v>
      </c>
    </row>
    <row r="688" spans="1:23" x14ac:dyDescent="0.25">
      <c r="A688" t="s">
        <v>36</v>
      </c>
      <c r="B688">
        <v>13</v>
      </c>
      <c r="C688">
        <v>19</v>
      </c>
      <c r="D688">
        <v>2004</v>
      </c>
      <c r="E688">
        <v>193.1</v>
      </c>
      <c r="F688">
        <v>7.2</v>
      </c>
      <c r="G688">
        <v>5.7</v>
      </c>
      <c r="H688">
        <v>1.5</v>
      </c>
      <c r="I688">
        <v>20</v>
      </c>
      <c r="J688">
        <v>85.7</v>
      </c>
      <c r="K688">
        <v>1171.4000000000001</v>
      </c>
      <c r="L688">
        <v>439</v>
      </c>
      <c r="M688">
        <v>411</v>
      </c>
      <c r="N688">
        <v>546</v>
      </c>
      <c r="O688">
        <v>135</v>
      </c>
      <c r="P688">
        <v>363</v>
      </c>
      <c r="Q688">
        <v>568</v>
      </c>
      <c r="R688">
        <v>205</v>
      </c>
      <c r="S688">
        <v>226.2</v>
      </c>
      <c r="T688">
        <v>428</v>
      </c>
      <c r="U688">
        <v>431</v>
      </c>
      <c r="V688">
        <v>500</v>
      </c>
      <c r="W688">
        <v>2.79</v>
      </c>
    </row>
    <row r="689" spans="1:23" x14ac:dyDescent="0.25">
      <c r="A689" t="s">
        <v>36</v>
      </c>
      <c r="B689">
        <v>13</v>
      </c>
      <c r="C689">
        <v>20</v>
      </c>
      <c r="D689">
        <v>2005</v>
      </c>
      <c r="E689">
        <v>199.1</v>
      </c>
      <c r="F689">
        <v>6</v>
      </c>
      <c r="G689">
        <v>5.7</v>
      </c>
      <c r="H689">
        <v>0.3</v>
      </c>
      <c r="I689">
        <v>5</v>
      </c>
      <c r="J689">
        <v>73.900000000000006</v>
      </c>
      <c r="K689">
        <v>1245.4000000000001</v>
      </c>
      <c r="L689">
        <v>429</v>
      </c>
      <c r="M689">
        <v>424</v>
      </c>
      <c r="N689">
        <v>531</v>
      </c>
      <c r="O689">
        <v>107</v>
      </c>
      <c r="P689">
        <v>381</v>
      </c>
      <c r="Q689">
        <v>531</v>
      </c>
      <c r="R689">
        <v>150</v>
      </c>
      <c r="S689">
        <v>226.2</v>
      </c>
      <c r="T689">
        <v>428</v>
      </c>
      <c r="U689">
        <v>431</v>
      </c>
      <c r="V689">
        <v>500</v>
      </c>
      <c r="W689">
        <v>2.79</v>
      </c>
    </row>
    <row r="690" spans="1:23" x14ac:dyDescent="0.25">
      <c r="A690" t="s">
        <v>36</v>
      </c>
      <c r="B690">
        <v>13</v>
      </c>
      <c r="C690">
        <v>21</v>
      </c>
      <c r="D690">
        <v>2006</v>
      </c>
      <c r="E690">
        <v>202.4</v>
      </c>
      <c r="F690">
        <v>3.3</v>
      </c>
      <c r="G690">
        <v>2.1</v>
      </c>
      <c r="H690">
        <v>1.2</v>
      </c>
      <c r="I690">
        <v>36</v>
      </c>
      <c r="J690">
        <v>41.6</v>
      </c>
      <c r="K690">
        <v>1287</v>
      </c>
      <c r="L690">
        <v>454</v>
      </c>
      <c r="M690">
        <v>409</v>
      </c>
      <c r="N690">
        <v>532</v>
      </c>
      <c r="O690">
        <v>123</v>
      </c>
      <c r="P690">
        <v>342</v>
      </c>
      <c r="Q690">
        <v>572</v>
      </c>
      <c r="R690">
        <v>230</v>
      </c>
      <c r="S690">
        <v>226.2</v>
      </c>
      <c r="T690">
        <v>428</v>
      </c>
      <c r="U690">
        <v>431</v>
      </c>
      <c r="V690">
        <v>500</v>
      </c>
      <c r="W690">
        <v>2.79</v>
      </c>
    </row>
    <row r="691" spans="1:23" x14ac:dyDescent="0.25">
      <c r="A691" t="s">
        <v>36</v>
      </c>
      <c r="B691">
        <v>13</v>
      </c>
      <c r="C691">
        <v>22</v>
      </c>
      <c r="D691">
        <v>2007</v>
      </c>
      <c r="E691">
        <v>206.6</v>
      </c>
      <c r="F691">
        <v>4.2</v>
      </c>
      <c r="G691">
        <v>1.8</v>
      </c>
      <c r="H691">
        <v>2.4</v>
      </c>
      <c r="I691">
        <v>57</v>
      </c>
      <c r="J691">
        <v>54</v>
      </c>
      <c r="K691">
        <v>1340.9</v>
      </c>
      <c r="L691">
        <v>482</v>
      </c>
      <c r="M691">
        <v>401</v>
      </c>
      <c r="N691">
        <v>543</v>
      </c>
      <c r="O691">
        <v>142</v>
      </c>
      <c r="P691">
        <v>350</v>
      </c>
      <c r="Q691">
        <v>629</v>
      </c>
      <c r="R691">
        <v>279</v>
      </c>
      <c r="S691">
        <v>226.2</v>
      </c>
      <c r="T691">
        <v>428</v>
      </c>
      <c r="U691">
        <v>431</v>
      </c>
      <c r="V691">
        <v>500</v>
      </c>
      <c r="W691">
        <v>2.79</v>
      </c>
    </row>
    <row r="692" spans="1:23" x14ac:dyDescent="0.25">
      <c r="A692" t="s">
        <v>36</v>
      </c>
      <c r="B692">
        <v>13</v>
      </c>
      <c r="C692">
        <v>23</v>
      </c>
      <c r="D692">
        <v>2008</v>
      </c>
      <c r="E692">
        <v>212.3</v>
      </c>
      <c r="F692">
        <v>5.7</v>
      </c>
      <c r="G692">
        <v>3.9</v>
      </c>
      <c r="H692">
        <v>1.8</v>
      </c>
      <c r="I692">
        <v>31</v>
      </c>
      <c r="J692">
        <v>75</v>
      </c>
      <c r="K692">
        <v>1416</v>
      </c>
      <c r="L692">
        <v>458</v>
      </c>
      <c r="M692">
        <v>416</v>
      </c>
      <c r="N692">
        <v>549</v>
      </c>
      <c r="O692">
        <v>133</v>
      </c>
      <c r="P692">
        <v>351</v>
      </c>
      <c r="Q692">
        <v>580</v>
      </c>
      <c r="R692">
        <v>229</v>
      </c>
      <c r="S692">
        <v>226.2</v>
      </c>
      <c r="T692">
        <v>428</v>
      </c>
      <c r="U692">
        <v>431</v>
      </c>
      <c r="V692">
        <v>500</v>
      </c>
      <c r="W692">
        <v>2.79</v>
      </c>
    </row>
    <row r="693" spans="1:23" x14ac:dyDescent="0.25">
      <c r="A693" t="s">
        <v>36</v>
      </c>
      <c r="B693">
        <v>13</v>
      </c>
      <c r="C693">
        <v>24</v>
      </c>
      <c r="D693">
        <v>2009</v>
      </c>
      <c r="E693">
        <v>217.7</v>
      </c>
      <c r="F693">
        <v>5.4</v>
      </c>
      <c r="G693">
        <v>3.3</v>
      </c>
      <c r="H693">
        <v>2.1</v>
      </c>
      <c r="I693">
        <v>38</v>
      </c>
      <c r="J693">
        <v>72.900000000000006</v>
      </c>
      <c r="K693">
        <v>1488.9</v>
      </c>
      <c r="L693">
        <v>450</v>
      </c>
      <c r="M693">
        <v>399</v>
      </c>
      <c r="N693">
        <v>530</v>
      </c>
      <c r="O693">
        <v>131</v>
      </c>
      <c r="P693">
        <v>336</v>
      </c>
      <c r="Q693">
        <v>553</v>
      </c>
      <c r="R693">
        <v>217</v>
      </c>
      <c r="S693">
        <v>226.2</v>
      </c>
      <c r="T693">
        <v>428</v>
      </c>
      <c r="U693">
        <v>431</v>
      </c>
      <c r="V693">
        <v>500</v>
      </c>
      <c r="W693">
        <v>2.79</v>
      </c>
    </row>
    <row r="694" spans="1:23" x14ac:dyDescent="0.25">
      <c r="A694" t="s">
        <v>36</v>
      </c>
      <c r="B694">
        <v>13</v>
      </c>
      <c r="C694">
        <v>25</v>
      </c>
      <c r="D694">
        <v>2010</v>
      </c>
      <c r="E694">
        <v>222.5</v>
      </c>
      <c r="F694">
        <v>4.8</v>
      </c>
      <c r="G694">
        <v>3.6</v>
      </c>
      <c r="H694">
        <v>1.2</v>
      </c>
      <c r="I694">
        <v>24</v>
      </c>
      <c r="J694">
        <v>66.400000000000006</v>
      </c>
      <c r="K694">
        <v>1555.3</v>
      </c>
      <c r="L694">
        <v>431</v>
      </c>
      <c r="M694">
        <v>386</v>
      </c>
      <c r="N694">
        <v>566</v>
      </c>
      <c r="O694">
        <v>180</v>
      </c>
      <c r="P694">
        <v>332</v>
      </c>
      <c r="Q694">
        <v>587</v>
      </c>
      <c r="R694">
        <v>255</v>
      </c>
      <c r="S694">
        <v>226.2</v>
      </c>
      <c r="T694">
        <v>428</v>
      </c>
      <c r="U694">
        <v>431</v>
      </c>
      <c r="V694">
        <v>500</v>
      </c>
      <c r="W694">
        <v>2.79</v>
      </c>
    </row>
    <row r="695" spans="1:23" x14ac:dyDescent="0.25">
      <c r="A695" t="s">
        <v>36</v>
      </c>
      <c r="B695">
        <v>13</v>
      </c>
      <c r="C695">
        <v>26</v>
      </c>
      <c r="D695">
        <v>2011</v>
      </c>
      <c r="E695">
        <v>227.6</v>
      </c>
      <c r="F695">
        <v>5.0999999999999996</v>
      </c>
      <c r="G695">
        <v>4.2</v>
      </c>
      <c r="H695">
        <v>0.9</v>
      </c>
      <c r="I695">
        <v>17</v>
      </c>
      <c r="J695">
        <v>72.099999999999994</v>
      </c>
      <c r="K695">
        <v>1627.4</v>
      </c>
      <c r="L695">
        <v>410</v>
      </c>
      <c r="M695">
        <v>379</v>
      </c>
      <c r="N695">
        <v>551</v>
      </c>
      <c r="O695">
        <v>172</v>
      </c>
      <c r="P695">
        <v>312</v>
      </c>
      <c r="Q695">
        <v>587</v>
      </c>
      <c r="R695">
        <v>275</v>
      </c>
      <c r="S695">
        <v>226.2</v>
      </c>
      <c r="T695">
        <v>428</v>
      </c>
      <c r="U695">
        <v>431</v>
      </c>
      <c r="V695">
        <v>500</v>
      </c>
      <c r="W695">
        <v>2.79</v>
      </c>
    </row>
    <row r="696" spans="1:23" x14ac:dyDescent="0.25">
      <c r="A696" t="s">
        <v>36</v>
      </c>
      <c r="B696">
        <v>13</v>
      </c>
      <c r="C696">
        <v>27</v>
      </c>
      <c r="D696">
        <v>2012</v>
      </c>
      <c r="E696">
        <v>231.2</v>
      </c>
      <c r="F696">
        <v>3.6</v>
      </c>
      <c r="G696">
        <v>3</v>
      </c>
      <c r="H696">
        <v>0.6</v>
      </c>
      <c r="I696">
        <v>16</v>
      </c>
      <c r="J696">
        <v>51.9</v>
      </c>
      <c r="K696">
        <v>1679.3</v>
      </c>
      <c r="L696">
        <v>435</v>
      </c>
      <c r="M696">
        <v>403</v>
      </c>
      <c r="N696">
        <v>591</v>
      </c>
      <c r="O696">
        <v>188</v>
      </c>
      <c r="P696">
        <v>326</v>
      </c>
      <c r="Q696">
        <v>628</v>
      </c>
      <c r="R696">
        <v>302</v>
      </c>
      <c r="S696">
        <v>226.2</v>
      </c>
      <c r="T696">
        <v>428</v>
      </c>
      <c r="U696">
        <v>431</v>
      </c>
      <c r="V696">
        <v>500</v>
      </c>
      <c r="W696">
        <v>2.79</v>
      </c>
    </row>
    <row r="697" spans="1:23" x14ac:dyDescent="0.25">
      <c r="A697" t="s">
        <v>36</v>
      </c>
      <c r="B697">
        <v>14</v>
      </c>
      <c r="C697">
        <v>3</v>
      </c>
      <c r="D697">
        <v>1988</v>
      </c>
      <c r="E697">
        <v>57.9</v>
      </c>
      <c r="F697">
        <v>57.9</v>
      </c>
      <c r="G697">
        <v>27.9</v>
      </c>
      <c r="H697">
        <v>0</v>
      </c>
      <c r="I697">
        <v>0</v>
      </c>
      <c r="J697">
        <v>105.3</v>
      </c>
      <c r="K697">
        <v>105.3</v>
      </c>
      <c r="L697">
        <v>294</v>
      </c>
      <c r="M697">
        <v>294</v>
      </c>
      <c r="P697">
        <v>245</v>
      </c>
      <c r="Q697">
        <v>415</v>
      </c>
      <c r="R697">
        <v>170</v>
      </c>
      <c r="S697">
        <v>193.2</v>
      </c>
      <c r="T697">
        <v>390</v>
      </c>
      <c r="U697">
        <v>377</v>
      </c>
      <c r="V697">
        <v>500</v>
      </c>
      <c r="W697">
        <v>2.79</v>
      </c>
    </row>
    <row r="698" spans="1:23" x14ac:dyDescent="0.25">
      <c r="A698" t="s">
        <v>36</v>
      </c>
      <c r="B698">
        <v>14</v>
      </c>
      <c r="C698">
        <v>4</v>
      </c>
      <c r="D698">
        <v>1989</v>
      </c>
      <c r="E698">
        <v>78.900000000000006</v>
      </c>
      <c r="F698">
        <v>21</v>
      </c>
      <c r="G698">
        <v>21</v>
      </c>
      <c r="H698">
        <v>0</v>
      </c>
      <c r="I698">
        <v>0</v>
      </c>
      <c r="J698">
        <v>90.3</v>
      </c>
      <c r="K698">
        <v>195.6</v>
      </c>
      <c r="L698">
        <v>304</v>
      </c>
      <c r="M698">
        <v>304</v>
      </c>
      <c r="P698">
        <v>253</v>
      </c>
      <c r="Q698">
        <v>479</v>
      </c>
      <c r="R698">
        <v>226</v>
      </c>
      <c r="S698">
        <v>193.2</v>
      </c>
      <c r="T698">
        <v>390</v>
      </c>
      <c r="U698">
        <v>377</v>
      </c>
      <c r="V698">
        <v>500</v>
      </c>
      <c r="W698">
        <v>2.79</v>
      </c>
    </row>
    <row r="699" spans="1:23" x14ac:dyDescent="0.25">
      <c r="A699" t="s">
        <v>36</v>
      </c>
      <c r="B699">
        <v>14</v>
      </c>
      <c r="C699">
        <v>5</v>
      </c>
      <c r="D699">
        <v>1990</v>
      </c>
      <c r="E699">
        <v>93.9</v>
      </c>
      <c r="F699">
        <v>15</v>
      </c>
      <c r="G699">
        <v>15</v>
      </c>
      <c r="H699">
        <v>0</v>
      </c>
      <c r="I699">
        <v>0</v>
      </c>
      <c r="J699">
        <v>81.400000000000006</v>
      </c>
      <c r="K699">
        <v>277</v>
      </c>
      <c r="L699">
        <v>320</v>
      </c>
      <c r="M699">
        <v>320</v>
      </c>
      <c r="P699">
        <v>271</v>
      </c>
      <c r="Q699">
        <v>438</v>
      </c>
      <c r="R699">
        <v>167</v>
      </c>
      <c r="S699">
        <v>193.2</v>
      </c>
      <c r="T699">
        <v>390</v>
      </c>
      <c r="U699">
        <v>377</v>
      </c>
      <c r="V699">
        <v>500</v>
      </c>
      <c r="W699">
        <v>2.79</v>
      </c>
    </row>
    <row r="700" spans="1:23" x14ac:dyDescent="0.25">
      <c r="A700" t="s">
        <v>36</v>
      </c>
      <c r="B700">
        <v>14</v>
      </c>
      <c r="C700">
        <v>6</v>
      </c>
      <c r="D700">
        <v>1991</v>
      </c>
      <c r="E700">
        <v>100.8</v>
      </c>
      <c r="F700">
        <v>6.9</v>
      </c>
      <c r="G700">
        <v>6.6</v>
      </c>
      <c r="H700">
        <v>0.3</v>
      </c>
      <c r="I700">
        <v>4</v>
      </c>
      <c r="J700">
        <v>42.2</v>
      </c>
      <c r="K700">
        <v>319.2</v>
      </c>
      <c r="L700">
        <v>379</v>
      </c>
      <c r="M700">
        <v>373</v>
      </c>
      <c r="N700">
        <v>507</v>
      </c>
      <c r="O700">
        <v>134</v>
      </c>
      <c r="P700">
        <v>299</v>
      </c>
      <c r="Q700">
        <v>507</v>
      </c>
      <c r="R700">
        <v>208</v>
      </c>
      <c r="S700">
        <v>193.2</v>
      </c>
      <c r="T700">
        <v>390</v>
      </c>
      <c r="U700">
        <v>377</v>
      </c>
      <c r="V700">
        <v>500</v>
      </c>
      <c r="W700">
        <v>2.79</v>
      </c>
    </row>
    <row r="701" spans="1:23" x14ac:dyDescent="0.25">
      <c r="A701" t="s">
        <v>36</v>
      </c>
      <c r="B701">
        <v>14</v>
      </c>
      <c r="C701">
        <v>7</v>
      </c>
      <c r="D701">
        <v>1992</v>
      </c>
      <c r="E701">
        <v>114.9</v>
      </c>
      <c r="F701">
        <v>14.1</v>
      </c>
      <c r="G701">
        <v>14.1</v>
      </c>
      <c r="H701">
        <v>0</v>
      </c>
      <c r="I701">
        <v>0</v>
      </c>
      <c r="J701">
        <v>95.5</v>
      </c>
      <c r="K701">
        <v>414.8</v>
      </c>
      <c r="L701">
        <v>348</v>
      </c>
      <c r="M701">
        <v>348</v>
      </c>
      <c r="P701">
        <v>284</v>
      </c>
      <c r="Q701">
        <v>493</v>
      </c>
      <c r="R701">
        <v>209</v>
      </c>
      <c r="S701">
        <v>193.2</v>
      </c>
      <c r="T701">
        <v>390</v>
      </c>
      <c r="U701">
        <v>377</v>
      </c>
      <c r="V701">
        <v>500</v>
      </c>
      <c r="W701">
        <v>2.79</v>
      </c>
    </row>
    <row r="702" spans="1:23" x14ac:dyDescent="0.25">
      <c r="A702" t="s">
        <v>36</v>
      </c>
      <c r="B702">
        <v>14</v>
      </c>
      <c r="C702">
        <v>8</v>
      </c>
      <c r="D702">
        <v>1993</v>
      </c>
      <c r="E702">
        <v>122.1</v>
      </c>
      <c r="F702">
        <v>7.2</v>
      </c>
      <c r="G702">
        <v>6.3</v>
      </c>
      <c r="H702">
        <v>0.9</v>
      </c>
      <c r="I702">
        <v>12</v>
      </c>
      <c r="J702">
        <v>53.6</v>
      </c>
      <c r="K702">
        <v>468.4</v>
      </c>
      <c r="L702">
        <v>366</v>
      </c>
      <c r="M702">
        <v>345</v>
      </c>
      <c r="N702">
        <v>516</v>
      </c>
      <c r="O702">
        <v>171</v>
      </c>
      <c r="P702">
        <v>311</v>
      </c>
      <c r="Q702">
        <v>525</v>
      </c>
      <c r="R702">
        <v>214</v>
      </c>
      <c r="S702">
        <v>193.2</v>
      </c>
      <c r="T702">
        <v>390</v>
      </c>
      <c r="U702">
        <v>377</v>
      </c>
      <c r="V702">
        <v>500</v>
      </c>
      <c r="W702">
        <v>2.79</v>
      </c>
    </row>
    <row r="703" spans="1:23" x14ac:dyDescent="0.25">
      <c r="A703" t="s">
        <v>36</v>
      </c>
      <c r="B703">
        <v>14</v>
      </c>
      <c r="C703">
        <v>9</v>
      </c>
      <c r="D703">
        <v>1994</v>
      </c>
      <c r="E703">
        <v>129.30000000000001</v>
      </c>
      <c r="F703">
        <v>7.2</v>
      </c>
      <c r="G703">
        <v>6.3</v>
      </c>
      <c r="H703">
        <v>0.9</v>
      </c>
      <c r="I703">
        <v>12</v>
      </c>
      <c r="J703">
        <v>56.9</v>
      </c>
      <c r="K703">
        <v>525.20000000000005</v>
      </c>
      <c r="L703">
        <v>374</v>
      </c>
      <c r="M703">
        <v>350</v>
      </c>
      <c r="N703">
        <v>542</v>
      </c>
      <c r="O703">
        <v>192</v>
      </c>
      <c r="P703">
        <v>284</v>
      </c>
      <c r="Q703">
        <v>572</v>
      </c>
      <c r="R703">
        <v>288</v>
      </c>
      <c r="S703">
        <v>193.2</v>
      </c>
      <c r="T703">
        <v>390</v>
      </c>
      <c r="U703">
        <v>377</v>
      </c>
      <c r="V703">
        <v>500</v>
      </c>
      <c r="W703">
        <v>2.79</v>
      </c>
    </row>
    <row r="704" spans="1:23" x14ac:dyDescent="0.25">
      <c r="A704" t="s">
        <v>36</v>
      </c>
      <c r="B704">
        <v>14</v>
      </c>
      <c r="C704">
        <v>10</v>
      </c>
      <c r="D704">
        <v>1995</v>
      </c>
      <c r="E704">
        <v>135.9</v>
      </c>
      <c r="F704">
        <v>6.6</v>
      </c>
      <c r="G704">
        <v>5.7</v>
      </c>
      <c r="H704">
        <v>0.9</v>
      </c>
      <c r="I704">
        <v>13</v>
      </c>
      <c r="J704">
        <v>55</v>
      </c>
      <c r="K704">
        <v>580.20000000000005</v>
      </c>
      <c r="L704">
        <v>385</v>
      </c>
      <c r="M704">
        <v>363</v>
      </c>
      <c r="N704">
        <v>522</v>
      </c>
      <c r="O704">
        <v>159</v>
      </c>
      <c r="P704">
        <v>286</v>
      </c>
      <c r="Q704">
        <v>535</v>
      </c>
      <c r="R704">
        <v>249</v>
      </c>
      <c r="S704">
        <v>193.2</v>
      </c>
      <c r="T704">
        <v>390</v>
      </c>
      <c r="U704">
        <v>377</v>
      </c>
      <c r="V704">
        <v>500</v>
      </c>
      <c r="W704">
        <v>2.79</v>
      </c>
    </row>
    <row r="705" spans="1:23" x14ac:dyDescent="0.25">
      <c r="A705" t="s">
        <v>36</v>
      </c>
      <c r="B705">
        <v>14</v>
      </c>
      <c r="C705">
        <v>11</v>
      </c>
      <c r="D705">
        <v>1996</v>
      </c>
      <c r="E705">
        <v>147</v>
      </c>
      <c r="F705">
        <v>11.1</v>
      </c>
      <c r="G705">
        <v>11.1</v>
      </c>
      <c r="H705">
        <v>0</v>
      </c>
      <c r="I705">
        <v>0</v>
      </c>
      <c r="J705">
        <v>98.7</v>
      </c>
      <c r="K705">
        <v>678.9</v>
      </c>
      <c r="L705">
        <v>359</v>
      </c>
      <c r="M705">
        <v>359</v>
      </c>
      <c r="P705">
        <v>274</v>
      </c>
      <c r="Q705">
        <v>493</v>
      </c>
      <c r="R705">
        <v>219</v>
      </c>
      <c r="S705">
        <v>193.2</v>
      </c>
      <c r="T705">
        <v>390</v>
      </c>
      <c r="U705">
        <v>377</v>
      </c>
      <c r="V705">
        <v>500</v>
      </c>
      <c r="W705">
        <v>2.79</v>
      </c>
    </row>
    <row r="706" spans="1:23" x14ac:dyDescent="0.25">
      <c r="A706" t="s">
        <v>36</v>
      </c>
      <c r="B706">
        <v>14</v>
      </c>
      <c r="C706">
        <v>12</v>
      </c>
      <c r="D706">
        <v>1997</v>
      </c>
      <c r="E706">
        <v>159.30000000000001</v>
      </c>
      <c r="F706">
        <v>12.3</v>
      </c>
      <c r="G706">
        <v>11.7</v>
      </c>
      <c r="H706">
        <v>0.6</v>
      </c>
      <c r="I706">
        <v>4</v>
      </c>
      <c r="J706">
        <v>118.4</v>
      </c>
      <c r="K706">
        <v>797.2</v>
      </c>
      <c r="L706">
        <v>381</v>
      </c>
      <c r="M706">
        <v>373</v>
      </c>
      <c r="N706">
        <v>524</v>
      </c>
      <c r="O706">
        <v>151</v>
      </c>
      <c r="P706">
        <v>320</v>
      </c>
      <c r="Q706">
        <v>545</v>
      </c>
      <c r="R706">
        <v>225</v>
      </c>
      <c r="S706">
        <v>193.2</v>
      </c>
      <c r="T706">
        <v>390</v>
      </c>
      <c r="U706">
        <v>377</v>
      </c>
      <c r="V706">
        <v>500</v>
      </c>
      <c r="W706">
        <v>2.79</v>
      </c>
    </row>
    <row r="707" spans="1:23" x14ac:dyDescent="0.25">
      <c r="A707" t="s">
        <v>36</v>
      </c>
      <c r="B707">
        <v>14</v>
      </c>
      <c r="C707">
        <v>13</v>
      </c>
      <c r="D707">
        <v>1998</v>
      </c>
      <c r="E707">
        <v>167.1</v>
      </c>
      <c r="F707">
        <v>7.8</v>
      </c>
      <c r="G707">
        <v>6.6</v>
      </c>
      <c r="H707">
        <v>1.2</v>
      </c>
      <c r="I707">
        <v>15</v>
      </c>
      <c r="J707">
        <v>80</v>
      </c>
      <c r="K707">
        <v>877.2</v>
      </c>
      <c r="L707">
        <v>396</v>
      </c>
      <c r="M707">
        <v>373</v>
      </c>
      <c r="N707">
        <v>527</v>
      </c>
      <c r="O707">
        <v>154</v>
      </c>
      <c r="P707">
        <v>302</v>
      </c>
      <c r="Q707">
        <v>543</v>
      </c>
      <c r="R707">
        <v>241</v>
      </c>
      <c r="S707">
        <v>193.2</v>
      </c>
      <c r="T707">
        <v>390</v>
      </c>
      <c r="U707">
        <v>377</v>
      </c>
      <c r="V707">
        <v>500</v>
      </c>
      <c r="W707">
        <v>2.79</v>
      </c>
    </row>
    <row r="708" spans="1:23" x14ac:dyDescent="0.25">
      <c r="A708" t="s">
        <v>36</v>
      </c>
      <c r="B708">
        <v>14</v>
      </c>
      <c r="C708">
        <v>14</v>
      </c>
      <c r="D708">
        <v>1999</v>
      </c>
      <c r="E708">
        <v>174.9</v>
      </c>
      <c r="F708">
        <v>7.8</v>
      </c>
      <c r="G708">
        <v>7.5</v>
      </c>
      <c r="H708">
        <v>0.3</v>
      </c>
      <c r="I708">
        <v>3</v>
      </c>
      <c r="J708">
        <v>83.8</v>
      </c>
      <c r="K708">
        <v>961</v>
      </c>
      <c r="L708">
        <v>387</v>
      </c>
      <c r="M708">
        <v>381</v>
      </c>
      <c r="N708">
        <v>524</v>
      </c>
      <c r="O708">
        <v>143</v>
      </c>
      <c r="P708">
        <v>325</v>
      </c>
      <c r="Q708">
        <v>524</v>
      </c>
      <c r="R708">
        <v>199</v>
      </c>
      <c r="S708">
        <v>193.2</v>
      </c>
      <c r="T708">
        <v>390</v>
      </c>
      <c r="U708">
        <v>377</v>
      </c>
      <c r="V708">
        <v>500</v>
      </c>
      <c r="W708">
        <v>2.79</v>
      </c>
    </row>
    <row r="709" spans="1:23" x14ac:dyDescent="0.25">
      <c r="A709" t="s">
        <v>36</v>
      </c>
      <c r="B709">
        <v>14</v>
      </c>
      <c r="C709">
        <v>15</v>
      </c>
      <c r="D709">
        <v>2000</v>
      </c>
      <c r="E709">
        <v>181.5</v>
      </c>
      <c r="F709">
        <v>6.6</v>
      </c>
      <c r="G709">
        <v>6</v>
      </c>
      <c r="H709">
        <v>0.6</v>
      </c>
      <c r="I709">
        <v>9</v>
      </c>
      <c r="J709">
        <v>73.900000000000006</v>
      </c>
      <c r="K709">
        <v>1034.9000000000001</v>
      </c>
      <c r="L709">
        <v>383</v>
      </c>
      <c r="M709">
        <v>367</v>
      </c>
      <c r="N709">
        <v>540</v>
      </c>
      <c r="O709">
        <v>173</v>
      </c>
      <c r="P709">
        <v>298</v>
      </c>
      <c r="Q709">
        <v>547</v>
      </c>
      <c r="R709">
        <v>249</v>
      </c>
      <c r="S709">
        <v>193.2</v>
      </c>
      <c r="T709">
        <v>390</v>
      </c>
      <c r="U709">
        <v>377</v>
      </c>
      <c r="V709">
        <v>500</v>
      </c>
      <c r="W709">
        <v>2.79</v>
      </c>
    </row>
    <row r="710" spans="1:23" x14ac:dyDescent="0.25">
      <c r="A710" t="s">
        <v>36</v>
      </c>
      <c r="B710">
        <v>14</v>
      </c>
      <c r="C710">
        <v>16</v>
      </c>
      <c r="D710">
        <v>2001</v>
      </c>
      <c r="E710">
        <v>186</v>
      </c>
      <c r="F710">
        <v>4.5</v>
      </c>
      <c r="G710">
        <v>3.6</v>
      </c>
      <c r="H710">
        <v>0.9</v>
      </c>
      <c r="I710">
        <v>20</v>
      </c>
      <c r="J710">
        <v>52</v>
      </c>
      <c r="K710">
        <v>1086.9000000000001</v>
      </c>
      <c r="L710">
        <v>423</v>
      </c>
      <c r="M710">
        <v>391</v>
      </c>
      <c r="N710">
        <v>550</v>
      </c>
      <c r="O710">
        <v>159</v>
      </c>
      <c r="P710">
        <v>328</v>
      </c>
      <c r="Q710">
        <v>592</v>
      </c>
      <c r="R710">
        <v>264</v>
      </c>
      <c r="S710">
        <v>193.2</v>
      </c>
      <c r="T710">
        <v>390</v>
      </c>
      <c r="U710">
        <v>377</v>
      </c>
      <c r="V710">
        <v>500</v>
      </c>
      <c r="W710">
        <v>2.79</v>
      </c>
    </row>
    <row r="711" spans="1:23" x14ac:dyDescent="0.25">
      <c r="A711" t="s">
        <v>36</v>
      </c>
      <c r="B711">
        <v>14</v>
      </c>
      <c r="C711">
        <v>17</v>
      </c>
      <c r="D711">
        <v>2002</v>
      </c>
      <c r="E711">
        <v>192.9</v>
      </c>
      <c r="F711">
        <v>6.9</v>
      </c>
      <c r="G711">
        <v>5.7</v>
      </c>
      <c r="H711">
        <v>1.2</v>
      </c>
      <c r="I711">
        <v>17</v>
      </c>
      <c r="J711">
        <v>82.1</v>
      </c>
      <c r="K711">
        <v>1169</v>
      </c>
      <c r="L711">
        <v>408</v>
      </c>
      <c r="M711">
        <v>376</v>
      </c>
      <c r="N711">
        <v>562</v>
      </c>
      <c r="O711">
        <v>186</v>
      </c>
      <c r="P711">
        <v>306</v>
      </c>
      <c r="Q711">
        <v>598</v>
      </c>
      <c r="R711">
        <v>292</v>
      </c>
      <c r="S711">
        <v>193.2</v>
      </c>
      <c r="T711">
        <v>390</v>
      </c>
      <c r="U711">
        <v>377</v>
      </c>
      <c r="V711">
        <v>500</v>
      </c>
      <c r="W711">
        <v>2.79</v>
      </c>
    </row>
    <row r="712" spans="1:23" x14ac:dyDescent="0.25">
      <c r="A712" t="s">
        <v>36</v>
      </c>
      <c r="B712">
        <v>14</v>
      </c>
      <c r="C712">
        <v>18</v>
      </c>
      <c r="D712">
        <v>2003</v>
      </c>
      <c r="E712">
        <v>198</v>
      </c>
      <c r="F712">
        <v>5.0999999999999996</v>
      </c>
      <c r="G712">
        <v>4.8</v>
      </c>
      <c r="H712">
        <v>0.3</v>
      </c>
      <c r="I712">
        <v>5</v>
      </c>
      <c r="J712">
        <v>62.6</v>
      </c>
      <c r="K712">
        <v>1231.5999999999999</v>
      </c>
      <c r="L712">
        <v>380</v>
      </c>
      <c r="M712">
        <v>370</v>
      </c>
      <c r="N712">
        <v>547</v>
      </c>
      <c r="O712">
        <v>177</v>
      </c>
      <c r="P712">
        <v>334</v>
      </c>
      <c r="Q712">
        <v>547</v>
      </c>
      <c r="R712">
        <v>213</v>
      </c>
      <c r="S712">
        <v>193.2</v>
      </c>
      <c r="T712">
        <v>390</v>
      </c>
      <c r="U712">
        <v>377</v>
      </c>
      <c r="V712">
        <v>500</v>
      </c>
      <c r="W712">
        <v>2.79</v>
      </c>
    </row>
    <row r="713" spans="1:23" x14ac:dyDescent="0.25">
      <c r="A713" t="s">
        <v>36</v>
      </c>
      <c r="B713">
        <v>14</v>
      </c>
      <c r="C713">
        <v>19</v>
      </c>
      <c r="D713">
        <v>2004</v>
      </c>
      <c r="E713">
        <v>202.2</v>
      </c>
      <c r="F713">
        <v>4.2</v>
      </c>
      <c r="G713">
        <v>3.6</v>
      </c>
      <c r="H713">
        <v>0.6</v>
      </c>
      <c r="I713">
        <v>14</v>
      </c>
      <c r="J713">
        <v>52.8</v>
      </c>
      <c r="K713">
        <v>1284.4000000000001</v>
      </c>
      <c r="L713">
        <v>408</v>
      </c>
      <c r="M713">
        <v>383</v>
      </c>
      <c r="N713">
        <v>560</v>
      </c>
      <c r="O713">
        <v>177</v>
      </c>
      <c r="P713">
        <v>335</v>
      </c>
      <c r="Q713">
        <v>599</v>
      </c>
      <c r="R713">
        <v>264</v>
      </c>
      <c r="S713">
        <v>193.2</v>
      </c>
      <c r="T713">
        <v>390</v>
      </c>
      <c r="U713">
        <v>377</v>
      </c>
      <c r="V713">
        <v>500</v>
      </c>
      <c r="W713">
        <v>2.79</v>
      </c>
    </row>
    <row r="714" spans="1:23" x14ac:dyDescent="0.25">
      <c r="A714" t="s">
        <v>36</v>
      </c>
      <c r="B714">
        <v>14</v>
      </c>
      <c r="C714">
        <v>20</v>
      </c>
      <c r="D714">
        <v>2005</v>
      </c>
      <c r="E714">
        <v>207</v>
      </c>
      <c r="F714">
        <v>4.8</v>
      </c>
      <c r="G714">
        <v>4.2</v>
      </c>
      <c r="H714">
        <v>0.6</v>
      </c>
      <c r="I714">
        <v>12</v>
      </c>
      <c r="J714">
        <v>61.7</v>
      </c>
      <c r="K714">
        <v>1346.1</v>
      </c>
      <c r="L714">
        <v>408</v>
      </c>
      <c r="M714">
        <v>391</v>
      </c>
      <c r="N714">
        <v>527</v>
      </c>
      <c r="O714">
        <v>136</v>
      </c>
      <c r="P714">
        <v>348</v>
      </c>
      <c r="Q714">
        <v>548</v>
      </c>
      <c r="R714">
        <v>200</v>
      </c>
      <c r="S714">
        <v>193.2</v>
      </c>
      <c r="T714">
        <v>390</v>
      </c>
      <c r="U714">
        <v>377</v>
      </c>
      <c r="V714">
        <v>500</v>
      </c>
      <c r="W714">
        <v>2.79</v>
      </c>
    </row>
    <row r="715" spans="1:23" x14ac:dyDescent="0.25">
      <c r="A715" t="s">
        <v>36</v>
      </c>
      <c r="B715">
        <v>14</v>
      </c>
      <c r="C715">
        <v>21</v>
      </c>
      <c r="D715">
        <v>2006</v>
      </c>
      <c r="E715">
        <v>209.7</v>
      </c>
      <c r="F715">
        <v>2.7</v>
      </c>
      <c r="G715">
        <v>2.1</v>
      </c>
      <c r="H715">
        <v>0.6</v>
      </c>
      <c r="I715">
        <v>22</v>
      </c>
      <c r="J715">
        <v>35.299999999999997</v>
      </c>
      <c r="K715">
        <v>1381.5</v>
      </c>
      <c r="L715">
        <v>443</v>
      </c>
      <c r="M715">
        <v>415</v>
      </c>
      <c r="N715">
        <v>543</v>
      </c>
      <c r="O715">
        <v>128</v>
      </c>
      <c r="P715">
        <v>343</v>
      </c>
      <c r="Q715">
        <v>567</v>
      </c>
      <c r="R715">
        <v>224</v>
      </c>
      <c r="S715">
        <v>193.2</v>
      </c>
      <c r="T715">
        <v>390</v>
      </c>
      <c r="U715">
        <v>377</v>
      </c>
      <c r="V715">
        <v>500</v>
      </c>
      <c r="W715">
        <v>2.79</v>
      </c>
    </row>
    <row r="716" spans="1:23" x14ac:dyDescent="0.25">
      <c r="A716" t="s">
        <v>36</v>
      </c>
      <c r="B716">
        <v>14</v>
      </c>
      <c r="C716">
        <v>22</v>
      </c>
      <c r="D716">
        <v>2007</v>
      </c>
      <c r="E716">
        <v>212.1</v>
      </c>
      <c r="F716">
        <v>2.4</v>
      </c>
      <c r="G716">
        <v>1.8</v>
      </c>
      <c r="H716">
        <v>0.6</v>
      </c>
      <c r="I716">
        <v>25</v>
      </c>
      <c r="J716">
        <v>31.8</v>
      </c>
      <c r="K716">
        <v>1413.3</v>
      </c>
      <c r="L716">
        <v>466</v>
      </c>
      <c r="M716">
        <v>430</v>
      </c>
      <c r="N716">
        <v>576</v>
      </c>
      <c r="O716">
        <v>146</v>
      </c>
      <c r="P716">
        <v>368</v>
      </c>
      <c r="Q716">
        <v>630</v>
      </c>
      <c r="R716">
        <v>262</v>
      </c>
      <c r="S716">
        <v>193.2</v>
      </c>
      <c r="T716">
        <v>390</v>
      </c>
      <c r="U716">
        <v>377</v>
      </c>
      <c r="V716">
        <v>500</v>
      </c>
      <c r="W716">
        <v>2.79</v>
      </c>
    </row>
    <row r="717" spans="1:23" x14ac:dyDescent="0.25">
      <c r="A717" t="s">
        <v>36</v>
      </c>
      <c r="B717">
        <v>14</v>
      </c>
      <c r="C717">
        <v>23</v>
      </c>
      <c r="D717">
        <v>2008</v>
      </c>
      <c r="E717">
        <v>215.4</v>
      </c>
      <c r="F717">
        <v>3.3</v>
      </c>
      <c r="G717">
        <v>3</v>
      </c>
      <c r="H717">
        <v>0.3</v>
      </c>
      <c r="I717">
        <v>9</v>
      </c>
      <c r="J717">
        <v>44.3</v>
      </c>
      <c r="K717">
        <v>1457.6</v>
      </c>
      <c r="L717">
        <v>421</v>
      </c>
      <c r="M717">
        <v>407</v>
      </c>
      <c r="N717">
        <v>560</v>
      </c>
      <c r="O717">
        <v>153</v>
      </c>
      <c r="P717">
        <v>365</v>
      </c>
      <c r="Q717">
        <v>560</v>
      </c>
      <c r="R717">
        <v>195</v>
      </c>
      <c r="S717">
        <v>193.2</v>
      </c>
      <c r="T717">
        <v>390</v>
      </c>
      <c r="U717">
        <v>377</v>
      </c>
      <c r="V717">
        <v>500</v>
      </c>
      <c r="W717">
        <v>2.79</v>
      </c>
    </row>
    <row r="718" spans="1:23" x14ac:dyDescent="0.25">
      <c r="A718" t="s">
        <v>36</v>
      </c>
      <c r="B718">
        <v>14</v>
      </c>
      <c r="C718">
        <v>24</v>
      </c>
      <c r="D718">
        <v>2009</v>
      </c>
      <c r="E718">
        <v>218.1</v>
      </c>
      <c r="F718">
        <v>2.7</v>
      </c>
      <c r="G718">
        <v>2.4</v>
      </c>
      <c r="H718">
        <v>0.3</v>
      </c>
      <c r="I718">
        <v>11</v>
      </c>
      <c r="J718">
        <v>36.799999999999997</v>
      </c>
      <c r="K718">
        <v>1494.4</v>
      </c>
      <c r="L718">
        <v>441</v>
      </c>
      <c r="M718">
        <v>423</v>
      </c>
      <c r="N718">
        <v>586</v>
      </c>
      <c r="O718">
        <v>163</v>
      </c>
      <c r="P718">
        <v>383</v>
      </c>
      <c r="Q718">
        <v>586</v>
      </c>
      <c r="R718">
        <v>203</v>
      </c>
      <c r="S718">
        <v>193.2</v>
      </c>
      <c r="T718">
        <v>390</v>
      </c>
      <c r="U718">
        <v>377</v>
      </c>
      <c r="V718">
        <v>500</v>
      </c>
      <c r="W718">
        <v>2.79</v>
      </c>
    </row>
    <row r="719" spans="1:23" x14ac:dyDescent="0.25">
      <c r="A719" t="s">
        <v>36</v>
      </c>
      <c r="B719">
        <v>14</v>
      </c>
      <c r="C719">
        <v>25</v>
      </c>
      <c r="D719">
        <v>2010</v>
      </c>
      <c r="E719">
        <v>220.5</v>
      </c>
      <c r="F719">
        <v>2.4</v>
      </c>
      <c r="G719">
        <v>1.8</v>
      </c>
      <c r="H719">
        <v>0.6</v>
      </c>
      <c r="I719">
        <v>25</v>
      </c>
      <c r="J719">
        <v>33.1</v>
      </c>
      <c r="K719">
        <v>1527.5</v>
      </c>
      <c r="L719">
        <v>449</v>
      </c>
      <c r="M719">
        <v>416</v>
      </c>
      <c r="N719">
        <v>547</v>
      </c>
      <c r="O719">
        <v>131</v>
      </c>
      <c r="P719">
        <v>372</v>
      </c>
      <c r="Q719">
        <v>551</v>
      </c>
      <c r="R719">
        <v>179</v>
      </c>
      <c r="S719">
        <v>193.2</v>
      </c>
      <c r="T719">
        <v>390</v>
      </c>
      <c r="U719">
        <v>377</v>
      </c>
      <c r="V719">
        <v>500</v>
      </c>
      <c r="W719">
        <v>2.79</v>
      </c>
    </row>
    <row r="720" spans="1:23" x14ac:dyDescent="0.25">
      <c r="A720" t="s">
        <v>36</v>
      </c>
      <c r="B720">
        <v>14</v>
      </c>
      <c r="C720">
        <v>26</v>
      </c>
      <c r="D720">
        <v>2011</v>
      </c>
      <c r="E720">
        <v>222.3</v>
      </c>
      <c r="F720">
        <v>1.8</v>
      </c>
      <c r="G720">
        <v>1.8</v>
      </c>
      <c r="H720">
        <v>0</v>
      </c>
      <c r="I720">
        <v>0</v>
      </c>
      <c r="J720">
        <v>25</v>
      </c>
      <c r="K720">
        <v>1552.5</v>
      </c>
      <c r="L720">
        <v>414</v>
      </c>
      <c r="M720">
        <v>414</v>
      </c>
      <c r="P720">
        <v>369</v>
      </c>
      <c r="Q720">
        <v>461</v>
      </c>
      <c r="R720">
        <v>92</v>
      </c>
      <c r="S720">
        <v>193.2</v>
      </c>
      <c r="T720">
        <v>390</v>
      </c>
      <c r="U720">
        <v>377</v>
      </c>
      <c r="V720">
        <v>500</v>
      </c>
      <c r="W720">
        <v>2.79</v>
      </c>
    </row>
    <row r="721" spans="1:23" x14ac:dyDescent="0.25">
      <c r="A721" t="s">
        <v>36</v>
      </c>
      <c r="B721">
        <v>14</v>
      </c>
      <c r="C721">
        <v>27</v>
      </c>
      <c r="D721">
        <v>2012</v>
      </c>
      <c r="E721">
        <v>223.2</v>
      </c>
      <c r="F721">
        <v>0.9</v>
      </c>
      <c r="G721">
        <v>0.9</v>
      </c>
      <c r="H721">
        <v>0</v>
      </c>
      <c r="I721">
        <v>0</v>
      </c>
      <c r="J721">
        <v>12.6</v>
      </c>
      <c r="K721">
        <v>1565.1</v>
      </c>
      <c r="L721">
        <v>419</v>
      </c>
      <c r="M721">
        <v>419</v>
      </c>
      <c r="P721">
        <v>366</v>
      </c>
      <c r="Q721">
        <v>459</v>
      </c>
      <c r="R721">
        <v>93</v>
      </c>
      <c r="S721">
        <v>193.2</v>
      </c>
      <c r="T721">
        <v>390</v>
      </c>
      <c r="U721">
        <v>377</v>
      </c>
      <c r="V721">
        <v>500</v>
      </c>
      <c r="W721">
        <v>2.79</v>
      </c>
    </row>
    <row r="722" spans="1:23" x14ac:dyDescent="0.25">
      <c r="A722" t="s">
        <v>36</v>
      </c>
      <c r="B722">
        <v>15</v>
      </c>
      <c r="C722">
        <v>3</v>
      </c>
      <c r="D722">
        <v>1988</v>
      </c>
      <c r="E722">
        <v>37.700000000000003</v>
      </c>
      <c r="F722">
        <v>37.700000000000003</v>
      </c>
      <c r="G722">
        <v>17.7</v>
      </c>
      <c r="H722">
        <v>0</v>
      </c>
      <c r="I722">
        <v>0</v>
      </c>
      <c r="J722">
        <v>44.7</v>
      </c>
      <c r="K722">
        <v>44.7</v>
      </c>
      <c r="L722">
        <v>341</v>
      </c>
      <c r="M722">
        <v>341</v>
      </c>
      <c r="P722">
        <v>264</v>
      </c>
      <c r="Q722">
        <v>476</v>
      </c>
      <c r="R722">
        <v>212</v>
      </c>
      <c r="S722">
        <v>172.5</v>
      </c>
      <c r="T722">
        <v>414</v>
      </c>
      <c r="U722">
        <v>397</v>
      </c>
      <c r="V722">
        <v>500</v>
      </c>
      <c r="W722">
        <v>2.79</v>
      </c>
    </row>
    <row r="723" spans="1:23" x14ac:dyDescent="0.25">
      <c r="A723" t="s">
        <v>36</v>
      </c>
      <c r="B723">
        <v>15</v>
      </c>
      <c r="C723">
        <v>4</v>
      </c>
      <c r="D723">
        <v>1989</v>
      </c>
      <c r="E723">
        <v>61.1</v>
      </c>
      <c r="F723">
        <v>23.4</v>
      </c>
      <c r="G723">
        <v>23.4</v>
      </c>
      <c r="H723">
        <v>0</v>
      </c>
      <c r="I723">
        <v>0</v>
      </c>
      <c r="J723">
        <v>72.599999999999994</v>
      </c>
      <c r="K723">
        <v>117.3</v>
      </c>
      <c r="L723">
        <v>344</v>
      </c>
      <c r="M723">
        <v>344</v>
      </c>
      <c r="P723">
        <v>276</v>
      </c>
      <c r="Q723">
        <v>471</v>
      </c>
      <c r="R723">
        <v>195</v>
      </c>
      <c r="S723">
        <v>172.5</v>
      </c>
      <c r="T723">
        <v>414</v>
      </c>
      <c r="U723">
        <v>397</v>
      </c>
      <c r="V723">
        <v>500</v>
      </c>
      <c r="W723">
        <v>2.79</v>
      </c>
    </row>
    <row r="724" spans="1:23" x14ac:dyDescent="0.25">
      <c r="A724" t="s">
        <v>36</v>
      </c>
      <c r="B724">
        <v>15</v>
      </c>
      <c r="C724">
        <v>5</v>
      </c>
      <c r="D724">
        <v>1990</v>
      </c>
      <c r="E724">
        <v>73.400000000000006</v>
      </c>
      <c r="F724">
        <v>12.3</v>
      </c>
      <c r="G724">
        <v>12.3</v>
      </c>
      <c r="H724">
        <v>0</v>
      </c>
      <c r="I724">
        <v>0</v>
      </c>
      <c r="J724">
        <v>52</v>
      </c>
      <c r="K724">
        <v>169.3</v>
      </c>
      <c r="L724">
        <v>354</v>
      </c>
      <c r="M724">
        <v>354</v>
      </c>
      <c r="P724">
        <v>274</v>
      </c>
      <c r="Q724">
        <v>471</v>
      </c>
      <c r="R724">
        <v>197</v>
      </c>
      <c r="S724">
        <v>172.5</v>
      </c>
      <c r="T724">
        <v>414</v>
      </c>
      <c r="U724">
        <v>397</v>
      </c>
      <c r="V724">
        <v>500</v>
      </c>
      <c r="W724">
        <v>2.79</v>
      </c>
    </row>
    <row r="725" spans="1:23" x14ac:dyDescent="0.25">
      <c r="A725" t="s">
        <v>36</v>
      </c>
      <c r="B725">
        <v>15</v>
      </c>
      <c r="C725">
        <v>6</v>
      </c>
      <c r="D725">
        <v>1991</v>
      </c>
      <c r="E725">
        <v>87.2</v>
      </c>
      <c r="F725">
        <v>13.8</v>
      </c>
      <c r="G725">
        <v>12</v>
      </c>
      <c r="H725">
        <v>1.8</v>
      </c>
      <c r="I725">
        <v>13</v>
      </c>
      <c r="J725">
        <v>69.599999999999994</v>
      </c>
      <c r="K725">
        <v>238.9</v>
      </c>
      <c r="L725">
        <v>372</v>
      </c>
      <c r="M725">
        <v>351</v>
      </c>
      <c r="N725">
        <v>511</v>
      </c>
      <c r="O725">
        <v>160</v>
      </c>
      <c r="P725">
        <v>273</v>
      </c>
      <c r="Q725">
        <v>539</v>
      </c>
      <c r="R725">
        <v>266</v>
      </c>
      <c r="S725">
        <v>172.5</v>
      </c>
      <c r="T725">
        <v>414</v>
      </c>
      <c r="U725">
        <v>397</v>
      </c>
      <c r="V725">
        <v>500</v>
      </c>
      <c r="W725">
        <v>2.79</v>
      </c>
    </row>
    <row r="726" spans="1:23" x14ac:dyDescent="0.25">
      <c r="A726" t="s">
        <v>36</v>
      </c>
      <c r="B726">
        <v>15</v>
      </c>
      <c r="C726">
        <v>7</v>
      </c>
      <c r="D726">
        <v>1992</v>
      </c>
      <c r="E726">
        <v>100.4</v>
      </c>
      <c r="F726">
        <v>13.2</v>
      </c>
      <c r="G726">
        <v>12.9</v>
      </c>
      <c r="H726">
        <v>0.3</v>
      </c>
      <c r="I726">
        <v>2</v>
      </c>
      <c r="J726">
        <v>77.8</v>
      </c>
      <c r="K726">
        <v>316.7</v>
      </c>
      <c r="L726">
        <v>369</v>
      </c>
      <c r="M726">
        <v>365</v>
      </c>
      <c r="N726">
        <v>503</v>
      </c>
      <c r="O726">
        <v>138</v>
      </c>
      <c r="P726">
        <v>298</v>
      </c>
      <c r="Q726">
        <v>503</v>
      </c>
      <c r="R726">
        <v>205</v>
      </c>
      <c r="S726">
        <v>172.5</v>
      </c>
      <c r="T726">
        <v>414</v>
      </c>
      <c r="U726">
        <v>397</v>
      </c>
      <c r="V726">
        <v>500</v>
      </c>
      <c r="W726">
        <v>2.79</v>
      </c>
    </row>
    <row r="727" spans="1:23" x14ac:dyDescent="0.25">
      <c r="A727" t="s">
        <v>36</v>
      </c>
      <c r="B727">
        <v>15</v>
      </c>
      <c r="C727">
        <v>8</v>
      </c>
      <c r="D727">
        <v>1993</v>
      </c>
      <c r="E727">
        <v>108.8</v>
      </c>
      <c r="F727">
        <v>8.4</v>
      </c>
      <c r="G727">
        <v>7.8</v>
      </c>
      <c r="H727">
        <v>0.6</v>
      </c>
      <c r="I727">
        <v>7</v>
      </c>
      <c r="J727">
        <v>55.2</v>
      </c>
      <c r="K727">
        <v>371.9</v>
      </c>
      <c r="L727">
        <v>362</v>
      </c>
      <c r="M727">
        <v>349</v>
      </c>
      <c r="N727">
        <v>527</v>
      </c>
      <c r="O727">
        <v>178</v>
      </c>
      <c r="P727">
        <v>307</v>
      </c>
      <c r="Q727">
        <v>540</v>
      </c>
      <c r="R727">
        <v>233</v>
      </c>
      <c r="S727">
        <v>172.5</v>
      </c>
      <c r="T727">
        <v>414</v>
      </c>
      <c r="U727">
        <v>397</v>
      </c>
      <c r="V727">
        <v>500</v>
      </c>
      <c r="W727">
        <v>2.79</v>
      </c>
    </row>
    <row r="728" spans="1:23" x14ac:dyDescent="0.25">
      <c r="A728" t="s">
        <v>36</v>
      </c>
      <c r="B728">
        <v>15</v>
      </c>
      <c r="C728">
        <v>9</v>
      </c>
      <c r="D728">
        <v>1994</v>
      </c>
      <c r="E728">
        <v>114.8</v>
      </c>
      <c r="F728">
        <v>6</v>
      </c>
      <c r="G728">
        <v>5.7</v>
      </c>
      <c r="H728">
        <v>0.3</v>
      </c>
      <c r="I728">
        <v>5</v>
      </c>
      <c r="J728">
        <v>42.1</v>
      </c>
      <c r="K728">
        <v>414</v>
      </c>
      <c r="L728">
        <v>378</v>
      </c>
      <c r="M728">
        <v>371</v>
      </c>
      <c r="N728">
        <v>507</v>
      </c>
      <c r="O728">
        <v>136</v>
      </c>
      <c r="P728">
        <v>269</v>
      </c>
      <c r="Q728">
        <v>507</v>
      </c>
      <c r="R728">
        <v>238</v>
      </c>
      <c r="S728">
        <v>172.5</v>
      </c>
      <c r="T728">
        <v>414</v>
      </c>
      <c r="U728">
        <v>397</v>
      </c>
      <c r="V728">
        <v>500</v>
      </c>
      <c r="W728">
        <v>2.79</v>
      </c>
    </row>
    <row r="729" spans="1:23" x14ac:dyDescent="0.25">
      <c r="A729" t="s">
        <v>36</v>
      </c>
      <c r="B729">
        <v>15</v>
      </c>
      <c r="C729">
        <v>10</v>
      </c>
      <c r="D729">
        <v>1995</v>
      </c>
      <c r="E729">
        <v>119.9</v>
      </c>
      <c r="F729">
        <v>5.0999999999999996</v>
      </c>
      <c r="G729">
        <v>4.2</v>
      </c>
      <c r="H729">
        <v>0.9</v>
      </c>
      <c r="I729">
        <v>17</v>
      </c>
      <c r="J729">
        <v>37.6</v>
      </c>
      <c r="K729">
        <v>451.6</v>
      </c>
      <c r="L729">
        <v>426</v>
      </c>
      <c r="M729">
        <v>403</v>
      </c>
      <c r="N729">
        <v>535</v>
      </c>
      <c r="O729">
        <v>132</v>
      </c>
      <c r="P729">
        <v>313</v>
      </c>
      <c r="Q729">
        <v>579</v>
      </c>
      <c r="R729">
        <v>266</v>
      </c>
      <c r="S729">
        <v>172.5</v>
      </c>
      <c r="T729">
        <v>414</v>
      </c>
      <c r="U729">
        <v>397</v>
      </c>
      <c r="V729">
        <v>500</v>
      </c>
      <c r="W729">
        <v>2.79</v>
      </c>
    </row>
    <row r="730" spans="1:23" x14ac:dyDescent="0.25">
      <c r="A730" t="s">
        <v>36</v>
      </c>
      <c r="B730">
        <v>15</v>
      </c>
      <c r="C730">
        <v>11</v>
      </c>
      <c r="D730">
        <v>1996</v>
      </c>
      <c r="E730">
        <v>128.6</v>
      </c>
      <c r="F730">
        <v>8.6999999999999993</v>
      </c>
      <c r="G730">
        <v>8.1</v>
      </c>
      <c r="H730">
        <v>0.6</v>
      </c>
      <c r="I730">
        <v>6</v>
      </c>
      <c r="J730">
        <v>67.900000000000006</v>
      </c>
      <c r="K730">
        <v>519.6</v>
      </c>
      <c r="L730">
        <v>376</v>
      </c>
      <c r="M730">
        <v>365</v>
      </c>
      <c r="N730">
        <v>523</v>
      </c>
      <c r="O730">
        <v>158</v>
      </c>
      <c r="P730">
        <v>318</v>
      </c>
      <c r="Q730">
        <v>539</v>
      </c>
      <c r="R730">
        <v>221</v>
      </c>
      <c r="S730">
        <v>172.5</v>
      </c>
      <c r="T730">
        <v>414</v>
      </c>
      <c r="U730">
        <v>397</v>
      </c>
      <c r="V730">
        <v>500</v>
      </c>
      <c r="W730">
        <v>2.79</v>
      </c>
    </row>
    <row r="731" spans="1:23" x14ac:dyDescent="0.25">
      <c r="A731" t="s">
        <v>36</v>
      </c>
      <c r="B731">
        <v>15</v>
      </c>
      <c r="C731">
        <v>12</v>
      </c>
      <c r="D731">
        <v>1997</v>
      </c>
      <c r="E731">
        <v>139.1</v>
      </c>
      <c r="F731">
        <v>10.5</v>
      </c>
      <c r="G731">
        <v>9.9</v>
      </c>
      <c r="H731">
        <v>0.6</v>
      </c>
      <c r="I731">
        <v>5</v>
      </c>
      <c r="J731">
        <v>88.3</v>
      </c>
      <c r="K731">
        <v>607.9</v>
      </c>
      <c r="L731">
        <v>395</v>
      </c>
      <c r="M731">
        <v>388</v>
      </c>
      <c r="N731">
        <v>509</v>
      </c>
      <c r="O731">
        <v>121</v>
      </c>
      <c r="P731">
        <v>328</v>
      </c>
      <c r="Q731">
        <v>517</v>
      </c>
      <c r="R731">
        <v>189</v>
      </c>
      <c r="S731">
        <v>172.5</v>
      </c>
      <c r="T731">
        <v>414</v>
      </c>
      <c r="U731">
        <v>397</v>
      </c>
      <c r="V731">
        <v>500</v>
      </c>
      <c r="W731">
        <v>2.79</v>
      </c>
    </row>
    <row r="732" spans="1:23" x14ac:dyDescent="0.25">
      <c r="A732" t="s">
        <v>36</v>
      </c>
      <c r="B732">
        <v>15</v>
      </c>
      <c r="C732">
        <v>13</v>
      </c>
      <c r="D732">
        <v>1998</v>
      </c>
      <c r="E732">
        <v>146.6</v>
      </c>
      <c r="F732">
        <v>7.5</v>
      </c>
      <c r="G732">
        <v>7.5</v>
      </c>
      <c r="H732">
        <v>0</v>
      </c>
      <c r="I732">
        <v>0</v>
      </c>
      <c r="J732">
        <v>67.3</v>
      </c>
      <c r="K732">
        <v>675.2</v>
      </c>
      <c r="L732">
        <v>407</v>
      </c>
      <c r="M732">
        <v>407</v>
      </c>
      <c r="P732">
        <v>337</v>
      </c>
      <c r="Q732">
        <v>488</v>
      </c>
      <c r="R732">
        <v>151</v>
      </c>
      <c r="S732">
        <v>172.5</v>
      </c>
      <c r="T732">
        <v>414</v>
      </c>
      <c r="U732">
        <v>397</v>
      </c>
      <c r="V732">
        <v>500</v>
      </c>
      <c r="W732">
        <v>2.79</v>
      </c>
    </row>
    <row r="733" spans="1:23" x14ac:dyDescent="0.25">
      <c r="A733" t="s">
        <v>36</v>
      </c>
      <c r="B733">
        <v>15</v>
      </c>
      <c r="C733">
        <v>14</v>
      </c>
      <c r="D733">
        <v>1999</v>
      </c>
      <c r="E733">
        <v>154.4</v>
      </c>
      <c r="F733">
        <v>7.8</v>
      </c>
      <c r="G733">
        <v>7.8</v>
      </c>
      <c r="H733">
        <v>0</v>
      </c>
      <c r="I733">
        <v>0</v>
      </c>
      <c r="J733">
        <v>73.8</v>
      </c>
      <c r="K733">
        <v>748.9</v>
      </c>
      <c r="L733">
        <v>392</v>
      </c>
      <c r="M733">
        <v>392</v>
      </c>
      <c r="P733">
        <v>328</v>
      </c>
      <c r="Q733">
        <v>491</v>
      </c>
      <c r="R733">
        <v>163</v>
      </c>
      <c r="S733">
        <v>172.5</v>
      </c>
      <c r="T733">
        <v>414</v>
      </c>
      <c r="U733">
        <v>397</v>
      </c>
      <c r="V733">
        <v>500</v>
      </c>
      <c r="W733">
        <v>2.79</v>
      </c>
    </row>
    <row r="734" spans="1:23" x14ac:dyDescent="0.25">
      <c r="A734" t="s">
        <v>36</v>
      </c>
      <c r="B734">
        <v>15</v>
      </c>
      <c r="C734">
        <v>15</v>
      </c>
      <c r="D734">
        <v>2000</v>
      </c>
      <c r="E734">
        <v>163.69999999999999</v>
      </c>
      <c r="F734">
        <v>9.3000000000000007</v>
      </c>
      <c r="G734">
        <v>8.4</v>
      </c>
      <c r="H734">
        <v>0.9</v>
      </c>
      <c r="I734">
        <v>9</v>
      </c>
      <c r="J734">
        <v>92.9</v>
      </c>
      <c r="K734">
        <v>841.9</v>
      </c>
      <c r="L734">
        <v>403</v>
      </c>
      <c r="M734">
        <v>389</v>
      </c>
      <c r="N734">
        <v>536</v>
      </c>
      <c r="O734">
        <v>147</v>
      </c>
      <c r="P734">
        <v>330</v>
      </c>
      <c r="Q734">
        <v>573</v>
      </c>
      <c r="R734">
        <v>243</v>
      </c>
      <c r="S734">
        <v>172.5</v>
      </c>
      <c r="T734">
        <v>414</v>
      </c>
      <c r="U734">
        <v>397</v>
      </c>
      <c r="V734">
        <v>500</v>
      </c>
      <c r="W734">
        <v>2.79</v>
      </c>
    </row>
    <row r="735" spans="1:23" x14ac:dyDescent="0.25">
      <c r="A735" t="s">
        <v>36</v>
      </c>
      <c r="B735">
        <v>15</v>
      </c>
      <c r="C735">
        <v>16</v>
      </c>
      <c r="D735">
        <v>2001</v>
      </c>
      <c r="E735">
        <v>167.3</v>
      </c>
      <c r="F735">
        <v>3.6</v>
      </c>
      <c r="G735">
        <v>2.1</v>
      </c>
      <c r="H735">
        <v>1.5</v>
      </c>
      <c r="I735">
        <v>41</v>
      </c>
      <c r="J735">
        <v>37.4</v>
      </c>
      <c r="K735">
        <v>879.3</v>
      </c>
      <c r="L735">
        <v>486</v>
      </c>
      <c r="M735">
        <v>440</v>
      </c>
      <c r="N735">
        <v>550</v>
      </c>
      <c r="O735">
        <v>110</v>
      </c>
      <c r="P735">
        <v>372</v>
      </c>
      <c r="Q735">
        <v>590</v>
      </c>
      <c r="R735">
        <v>218</v>
      </c>
      <c r="S735">
        <v>172.5</v>
      </c>
      <c r="T735">
        <v>414</v>
      </c>
      <c r="U735">
        <v>397</v>
      </c>
      <c r="V735">
        <v>500</v>
      </c>
      <c r="W735">
        <v>2.79</v>
      </c>
    </row>
    <row r="736" spans="1:23" x14ac:dyDescent="0.25">
      <c r="A736" t="s">
        <v>36</v>
      </c>
      <c r="B736">
        <v>15</v>
      </c>
      <c r="C736">
        <v>17</v>
      </c>
      <c r="D736">
        <v>2002</v>
      </c>
      <c r="E736">
        <v>172.4</v>
      </c>
      <c r="F736">
        <v>5.0999999999999996</v>
      </c>
      <c r="G736">
        <v>4.8</v>
      </c>
      <c r="H736">
        <v>0.3</v>
      </c>
      <c r="I736">
        <v>5</v>
      </c>
      <c r="J736">
        <v>54.4</v>
      </c>
      <c r="K736">
        <v>933.7</v>
      </c>
      <c r="L736">
        <v>426</v>
      </c>
      <c r="M736">
        <v>420</v>
      </c>
      <c r="N736">
        <v>524</v>
      </c>
      <c r="O736">
        <v>104</v>
      </c>
      <c r="P736">
        <v>368</v>
      </c>
      <c r="Q736">
        <v>524</v>
      </c>
      <c r="R736">
        <v>156</v>
      </c>
      <c r="S736">
        <v>172.5</v>
      </c>
      <c r="T736">
        <v>414</v>
      </c>
      <c r="U736">
        <v>397</v>
      </c>
      <c r="V736">
        <v>500</v>
      </c>
      <c r="W736">
        <v>2.79</v>
      </c>
    </row>
    <row r="737" spans="1:23" x14ac:dyDescent="0.25">
      <c r="A737" t="s">
        <v>36</v>
      </c>
      <c r="B737">
        <v>15</v>
      </c>
      <c r="C737">
        <v>18</v>
      </c>
      <c r="D737">
        <v>2003</v>
      </c>
      <c r="E737">
        <v>176.3</v>
      </c>
      <c r="F737">
        <v>3.9</v>
      </c>
      <c r="G737">
        <v>3</v>
      </c>
      <c r="H737">
        <v>0.9</v>
      </c>
      <c r="I737">
        <v>23</v>
      </c>
      <c r="J737">
        <v>42.7</v>
      </c>
      <c r="K737">
        <v>976.5</v>
      </c>
      <c r="L737">
        <v>417</v>
      </c>
      <c r="M737">
        <v>380</v>
      </c>
      <c r="N737">
        <v>541</v>
      </c>
      <c r="O737">
        <v>161</v>
      </c>
      <c r="P737">
        <v>336</v>
      </c>
      <c r="Q737">
        <v>562</v>
      </c>
      <c r="R737">
        <v>226</v>
      </c>
      <c r="S737">
        <v>172.5</v>
      </c>
      <c r="T737">
        <v>414</v>
      </c>
      <c r="U737">
        <v>397</v>
      </c>
      <c r="V737">
        <v>500</v>
      </c>
      <c r="W737">
        <v>2.79</v>
      </c>
    </row>
    <row r="738" spans="1:23" x14ac:dyDescent="0.25">
      <c r="A738" t="s">
        <v>36</v>
      </c>
      <c r="B738">
        <v>15</v>
      </c>
      <c r="C738">
        <v>19</v>
      </c>
      <c r="D738">
        <v>2004</v>
      </c>
      <c r="E738">
        <v>179.3</v>
      </c>
      <c r="F738">
        <v>3</v>
      </c>
      <c r="G738">
        <v>2.7</v>
      </c>
      <c r="H738">
        <v>0.3</v>
      </c>
      <c r="I738">
        <v>10</v>
      </c>
      <c r="J738">
        <v>33.5</v>
      </c>
      <c r="K738">
        <v>1010</v>
      </c>
      <c r="L738">
        <v>427</v>
      </c>
      <c r="M738">
        <v>419</v>
      </c>
      <c r="N738">
        <v>501</v>
      </c>
      <c r="O738">
        <v>82</v>
      </c>
      <c r="P738">
        <v>347</v>
      </c>
      <c r="Q738">
        <v>501</v>
      </c>
      <c r="R738">
        <v>154</v>
      </c>
      <c r="S738">
        <v>172.5</v>
      </c>
      <c r="T738">
        <v>414</v>
      </c>
      <c r="U738">
        <v>397</v>
      </c>
      <c r="V738">
        <v>500</v>
      </c>
      <c r="W738">
        <v>2.79</v>
      </c>
    </row>
    <row r="739" spans="1:23" x14ac:dyDescent="0.25">
      <c r="A739" t="s">
        <v>36</v>
      </c>
      <c r="B739">
        <v>15</v>
      </c>
      <c r="C739">
        <v>20</v>
      </c>
      <c r="D739">
        <v>2005</v>
      </c>
      <c r="E739">
        <v>180.5</v>
      </c>
      <c r="F739">
        <v>1.2</v>
      </c>
      <c r="G739">
        <v>0.9</v>
      </c>
      <c r="H739">
        <v>0.3</v>
      </c>
      <c r="I739">
        <v>25</v>
      </c>
      <c r="J739">
        <v>13.6</v>
      </c>
      <c r="K739">
        <v>1023.5</v>
      </c>
      <c r="L739">
        <v>454</v>
      </c>
      <c r="M739">
        <v>433</v>
      </c>
      <c r="N739">
        <v>520</v>
      </c>
      <c r="O739">
        <v>87</v>
      </c>
      <c r="P739">
        <v>361</v>
      </c>
      <c r="Q739">
        <v>520</v>
      </c>
      <c r="R739">
        <v>159</v>
      </c>
      <c r="S739">
        <v>172.5</v>
      </c>
      <c r="T739">
        <v>414</v>
      </c>
      <c r="U739">
        <v>397</v>
      </c>
      <c r="V739">
        <v>500</v>
      </c>
      <c r="W739">
        <v>2.79</v>
      </c>
    </row>
    <row r="740" spans="1:23" x14ac:dyDescent="0.25">
      <c r="A740" t="s">
        <v>36</v>
      </c>
      <c r="B740">
        <v>15</v>
      </c>
      <c r="C740">
        <v>21</v>
      </c>
      <c r="D740">
        <v>2006</v>
      </c>
      <c r="E740">
        <v>181.7</v>
      </c>
      <c r="F740">
        <v>1.2</v>
      </c>
      <c r="G740">
        <v>0.6</v>
      </c>
      <c r="H740">
        <v>0.6</v>
      </c>
      <c r="I740">
        <v>49</v>
      </c>
      <c r="J740">
        <v>13.7</v>
      </c>
      <c r="K740">
        <v>1037.2</v>
      </c>
      <c r="L740">
        <v>473</v>
      </c>
      <c r="M740">
        <v>410</v>
      </c>
      <c r="N740">
        <v>537</v>
      </c>
      <c r="O740">
        <v>127</v>
      </c>
      <c r="P740">
        <v>384</v>
      </c>
      <c r="Q740">
        <v>562</v>
      </c>
      <c r="R740">
        <v>178</v>
      </c>
      <c r="S740">
        <v>172.5</v>
      </c>
      <c r="T740">
        <v>414</v>
      </c>
      <c r="U740">
        <v>397</v>
      </c>
      <c r="V740">
        <v>500</v>
      </c>
      <c r="W740">
        <v>2.79</v>
      </c>
    </row>
    <row r="741" spans="1:23" x14ac:dyDescent="0.25">
      <c r="A741" t="s">
        <v>36</v>
      </c>
      <c r="B741">
        <v>15</v>
      </c>
      <c r="C741">
        <v>22</v>
      </c>
      <c r="D741">
        <v>2007</v>
      </c>
      <c r="E741">
        <v>182.6</v>
      </c>
      <c r="F741">
        <v>0.9</v>
      </c>
      <c r="G741">
        <v>0.3</v>
      </c>
      <c r="H741">
        <v>0.6</v>
      </c>
      <c r="I741">
        <v>66</v>
      </c>
      <c r="J741">
        <v>10.3</v>
      </c>
      <c r="K741">
        <v>1047.5</v>
      </c>
      <c r="L741">
        <v>510</v>
      </c>
      <c r="M741">
        <v>401</v>
      </c>
      <c r="N741">
        <v>565</v>
      </c>
      <c r="O741">
        <v>164</v>
      </c>
      <c r="P741">
        <v>401</v>
      </c>
      <c r="Q741">
        <v>604</v>
      </c>
      <c r="R741">
        <v>203</v>
      </c>
      <c r="S741">
        <v>172.5</v>
      </c>
      <c r="T741">
        <v>414</v>
      </c>
      <c r="U741">
        <v>397</v>
      </c>
      <c r="V741">
        <v>500</v>
      </c>
      <c r="W741">
        <v>2.79</v>
      </c>
    </row>
    <row r="742" spans="1:23" x14ac:dyDescent="0.25">
      <c r="A742" t="s">
        <v>36</v>
      </c>
      <c r="B742">
        <v>15</v>
      </c>
      <c r="C742">
        <v>23</v>
      </c>
      <c r="D742">
        <v>2008</v>
      </c>
      <c r="E742">
        <v>185.3</v>
      </c>
      <c r="F742">
        <v>2.7</v>
      </c>
      <c r="G742">
        <v>1.5</v>
      </c>
      <c r="H742">
        <v>1.2</v>
      </c>
      <c r="I742">
        <v>44</v>
      </c>
      <c r="J742">
        <v>31.2</v>
      </c>
      <c r="K742">
        <v>1078.7</v>
      </c>
      <c r="L742">
        <v>450</v>
      </c>
      <c r="M742">
        <v>387</v>
      </c>
      <c r="N742">
        <v>530</v>
      </c>
      <c r="O742">
        <v>143</v>
      </c>
      <c r="P742">
        <v>360</v>
      </c>
      <c r="Q742">
        <v>552</v>
      </c>
      <c r="R742">
        <v>192</v>
      </c>
      <c r="S742">
        <v>172.5</v>
      </c>
      <c r="T742">
        <v>414</v>
      </c>
      <c r="U742">
        <v>397</v>
      </c>
      <c r="V742">
        <v>500</v>
      </c>
      <c r="W742">
        <v>2.79</v>
      </c>
    </row>
    <row r="743" spans="1:23" x14ac:dyDescent="0.25">
      <c r="A743" t="s">
        <v>36</v>
      </c>
      <c r="B743">
        <v>15</v>
      </c>
      <c r="C743">
        <v>24</v>
      </c>
      <c r="D743">
        <v>2009</v>
      </c>
      <c r="E743">
        <v>187.7</v>
      </c>
      <c r="F743">
        <v>2.4</v>
      </c>
      <c r="G743">
        <v>1.2</v>
      </c>
      <c r="H743">
        <v>1.2</v>
      </c>
      <c r="I743">
        <v>49</v>
      </c>
      <c r="J743">
        <v>28.1</v>
      </c>
      <c r="K743">
        <v>1106.8</v>
      </c>
      <c r="L743">
        <v>475</v>
      </c>
      <c r="M743">
        <v>407</v>
      </c>
      <c r="N743">
        <v>543</v>
      </c>
      <c r="O743">
        <v>136</v>
      </c>
      <c r="P743">
        <v>373</v>
      </c>
      <c r="Q743">
        <v>592</v>
      </c>
      <c r="R743">
        <v>219</v>
      </c>
      <c r="S743">
        <v>172.5</v>
      </c>
      <c r="T743">
        <v>414</v>
      </c>
      <c r="U743">
        <v>397</v>
      </c>
      <c r="V743">
        <v>500</v>
      </c>
      <c r="W743">
        <v>2.79</v>
      </c>
    </row>
    <row r="744" spans="1:23" x14ac:dyDescent="0.25">
      <c r="A744" t="s">
        <v>36</v>
      </c>
      <c r="B744">
        <v>15</v>
      </c>
      <c r="C744">
        <v>25</v>
      </c>
      <c r="D744">
        <v>2010</v>
      </c>
      <c r="E744">
        <v>190.4</v>
      </c>
      <c r="F744">
        <v>2.7</v>
      </c>
      <c r="G744">
        <v>2.4</v>
      </c>
      <c r="H744">
        <v>0.3</v>
      </c>
      <c r="I744">
        <v>11</v>
      </c>
      <c r="J744">
        <v>32.1</v>
      </c>
      <c r="K744">
        <v>1138.9000000000001</v>
      </c>
      <c r="L744">
        <v>437</v>
      </c>
      <c r="M744">
        <v>425</v>
      </c>
      <c r="N744">
        <v>527</v>
      </c>
      <c r="O744">
        <v>102</v>
      </c>
      <c r="P744">
        <v>378</v>
      </c>
      <c r="Q744">
        <v>527</v>
      </c>
      <c r="R744">
        <v>149</v>
      </c>
      <c r="S744">
        <v>172.5</v>
      </c>
      <c r="T744">
        <v>414</v>
      </c>
      <c r="U744">
        <v>397</v>
      </c>
      <c r="V744">
        <v>500</v>
      </c>
      <c r="W744">
        <v>2.79</v>
      </c>
    </row>
    <row r="745" spans="1:23" x14ac:dyDescent="0.25">
      <c r="A745" t="s">
        <v>36</v>
      </c>
      <c r="B745">
        <v>15</v>
      </c>
      <c r="C745">
        <v>26</v>
      </c>
      <c r="D745">
        <v>2011</v>
      </c>
      <c r="E745">
        <v>191.9</v>
      </c>
      <c r="F745">
        <v>1.5</v>
      </c>
      <c r="G745">
        <v>1.2</v>
      </c>
      <c r="H745">
        <v>0.3</v>
      </c>
      <c r="I745">
        <v>20</v>
      </c>
      <c r="J745">
        <v>18</v>
      </c>
      <c r="K745">
        <v>1156.9000000000001</v>
      </c>
      <c r="L745">
        <v>412</v>
      </c>
      <c r="M745">
        <v>388</v>
      </c>
      <c r="N745">
        <v>508</v>
      </c>
      <c r="O745">
        <v>120</v>
      </c>
      <c r="P745">
        <v>376</v>
      </c>
      <c r="Q745">
        <v>508</v>
      </c>
      <c r="R745">
        <v>132</v>
      </c>
      <c r="S745">
        <v>172.5</v>
      </c>
      <c r="T745">
        <v>414</v>
      </c>
      <c r="U745">
        <v>397</v>
      </c>
      <c r="V745">
        <v>500</v>
      </c>
      <c r="W745">
        <v>2.79</v>
      </c>
    </row>
    <row r="746" spans="1:23" x14ac:dyDescent="0.25">
      <c r="A746" t="s">
        <v>36</v>
      </c>
      <c r="B746">
        <v>15</v>
      </c>
      <c r="C746">
        <v>27</v>
      </c>
      <c r="D746">
        <v>2012</v>
      </c>
      <c r="E746">
        <v>192.5</v>
      </c>
      <c r="F746">
        <v>0.6</v>
      </c>
      <c r="G746">
        <v>0.3</v>
      </c>
      <c r="H746">
        <v>0.3</v>
      </c>
      <c r="I746">
        <v>50</v>
      </c>
      <c r="J746">
        <v>7.2</v>
      </c>
      <c r="K746">
        <v>1164.2</v>
      </c>
      <c r="L746">
        <v>483</v>
      </c>
      <c r="M746">
        <v>422</v>
      </c>
      <c r="N746">
        <v>544</v>
      </c>
      <c r="O746">
        <v>122</v>
      </c>
      <c r="P746">
        <v>422</v>
      </c>
      <c r="Q746">
        <v>544</v>
      </c>
      <c r="R746">
        <v>122</v>
      </c>
      <c r="S746">
        <v>172.5</v>
      </c>
      <c r="T746">
        <v>414</v>
      </c>
      <c r="U746">
        <v>397</v>
      </c>
      <c r="V746">
        <v>500</v>
      </c>
      <c r="W746">
        <v>2.79</v>
      </c>
    </row>
    <row r="747" spans="1:23" x14ac:dyDescent="0.25">
      <c r="A747" t="s">
        <v>37</v>
      </c>
      <c r="B747">
        <v>1</v>
      </c>
      <c r="C747">
        <v>2</v>
      </c>
      <c r="D747">
        <v>1987</v>
      </c>
      <c r="E747">
        <v>19.3</v>
      </c>
      <c r="F747">
        <v>19.3</v>
      </c>
      <c r="G747">
        <v>15.3</v>
      </c>
      <c r="H747">
        <v>0</v>
      </c>
      <c r="I747">
        <v>0</v>
      </c>
      <c r="J747">
        <v>11.7</v>
      </c>
      <c r="K747">
        <v>11.7</v>
      </c>
      <c r="L747">
        <v>329</v>
      </c>
      <c r="M747">
        <v>329</v>
      </c>
      <c r="P747">
        <v>109</v>
      </c>
      <c r="Q747">
        <v>474</v>
      </c>
      <c r="R747">
        <v>365</v>
      </c>
      <c r="S747">
        <v>267.3</v>
      </c>
      <c r="T747">
        <v>392</v>
      </c>
      <c r="U747">
        <v>395</v>
      </c>
      <c r="V747">
        <v>500</v>
      </c>
      <c r="W747">
        <v>2.79</v>
      </c>
    </row>
    <row r="748" spans="1:23" x14ac:dyDescent="0.25">
      <c r="A748" t="s">
        <v>37</v>
      </c>
      <c r="B748">
        <v>1</v>
      </c>
      <c r="C748">
        <v>3</v>
      </c>
      <c r="D748">
        <v>1988</v>
      </c>
      <c r="E748">
        <v>38.5</v>
      </c>
      <c r="F748">
        <v>19.2</v>
      </c>
      <c r="G748">
        <v>18.899999999999999</v>
      </c>
      <c r="H748">
        <v>0.3</v>
      </c>
      <c r="I748">
        <v>1</v>
      </c>
      <c r="J748">
        <v>34.9</v>
      </c>
      <c r="K748">
        <v>46.6</v>
      </c>
      <c r="L748">
        <v>330</v>
      </c>
      <c r="M748">
        <v>327</v>
      </c>
      <c r="N748">
        <v>503</v>
      </c>
      <c r="O748">
        <v>176</v>
      </c>
      <c r="P748">
        <v>261</v>
      </c>
      <c r="Q748">
        <v>503</v>
      </c>
      <c r="R748">
        <v>242</v>
      </c>
      <c r="S748">
        <v>267.3</v>
      </c>
      <c r="T748">
        <v>392</v>
      </c>
      <c r="U748">
        <v>395</v>
      </c>
      <c r="V748">
        <v>500</v>
      </c>
      <c r="W748">
        <v>2.79</v>
      </c>
    </row>
    <row r="749" spans="1:23" x14ac:dyDescent="0.25">
      <c r="A749" t="s">
        <v>37</v>
      </c>
      <c r="B749">
        <v>1</v>
      </c>
      <c r="C749">
        <v>4</v>
      </c>
      <c r="D749">
        <v>1989</v>
      </c>
      <c r="E749">
        <v>61.3</v>
      </c>
      <c r="F749">
        <v>22.8</v>
      </c>
      <c r="G749">
        <v>22.8</v>
      </c>
      <c r="H749">
        <v>0</v>
      </c>
      <c r="I749">
        <v>0</v>
      </c>
      <c r="J749">
        <v>71.5</v>
      </c>
      <c r="K749">
        <v>118.1</v>
      </c>
      <c r="L749">
        <v>353</v>
      </c>
      <c r="M749">
        <v>353</v>
      </c>
      <c r="P749">
        <v>257</v>
      </c>
      <c r="Q749">
        <v>486</v>
      </c>
      <c r="R749">
        <v>229</v>
      </c>
      <c r="S749">
        <v>267.3</v>
      </c>
      <c r="T749">
        <v>392</v>
      </c>
      <c r="U749">
        <v>395</v>
      </c>
      <c r="V749">
        <v>500</v>
      </c>
      <c r="W749">
        <v>2.79</v>
      </c>
    </row>
    <row r="750" spans="1:23" x14ac:dyDescent="0.25">
      <c r="A750" t="s">
        <v>37</v>
      </c>
      <c r="B750">
        <v>1</v>
      </c>
      <c r="C750">
        <v>5</v>
      </c>
      <c r="D750">
        <v>1990</v>
      </c>
      <c r="E750">
        <v>73.599999999999994</v>
      </c>
      <c r="F750">
        <v>12.3</v>
      </c>
      <c r="G750">
        <v>11.1</v>
      </c>
      <c r="H750">
        <v>1.2</v>
      </c>
      <c r="I750">
        <v>9</v>
      </c>
      <c r="J750">
        <v>52.1</v>
      </c>
      <c r="K750">
        <v>170.2</v>
      </c>
      <c r="L750">
        <v>355</v>
      </c>
      <c r="M750">
        <v>337</v>
      </c>
      <c r="N750">
        <v>520</v>
      </c>
      <c r="O750">
        <v>183</v>
      </c>
      <c r="P750">
        <v>284</v>
      </c>
      <c r="Q750">
        <v>550</v>
      </c>
      <c r="R750">
        <v>266</v>
      </c>
      <c r="S750">
        <v>267.3</v>
      </c>
      <c r="T750">
        <v>392</v>
      </c>
      <c r="U750">
        <v>395</v>
      </c>
      <c r="V750">
        <v>500</v>
      </c>
      <c r="W750">
        <v>2.79</v>
      </c>
    </row>
    <row r="751" spans="1:23" x14ac:dyDescent="0.25">
      <c r="A751" t="s">
        <v>37</v>
      </c>
      <c r="B751">
        <v>1</v>
      </c>
      <c r="C751">
        <v>6</v>
      </c>
      <c r="D751">
        <v>1991</v>
      </c>
      <c r="E751">
        <v>90.1</v>
      </c>
      <c r="F751">
        <v>16.5</v>
      </c>
      <c r="G751">
        <v>15.6</v>
      </c>
      <c r="H751">
        <v>0.9</v>
      </c>
      <c r="I751">
        <v>5</v>
      </c>
      <c r="J751">
        <v>84.9</v>
      </c>
      <c r="K751">
        <v>255</v>
      </c>
      <c r="L751">
        <v>347</v>
      </c>
      <c r="M751">
        <v>337</v>
      </c>
      <c r="N751">
        <v>521</v>
      </c>
      <c r="O751">
        <v>184</v>
      </c>
      <c r="P751">
        <v>267</v>
      </c>
      <c r="Q751">
        <v>544</v>
      </c>
      <c r="R751">
        <v>277</v>
      </c>
      <c r="S751">
        <v>267.3</v>
      </c>
      <c r="T751">
        <v>392</v>
      </c>
      <c r="U751">
        <v>395</v>
      </c>
      <c r="V751">
        <v>500</v>
      </c>
      <c r="W751">
        <v>2.79</v>
      </c>
    </row>
    <row r="752" spans="1:23" x14ac:dyDescent="0.25">
      <c r="A752" t="s">
        <v>37</v>
      </c>
      <c r="B752">
        <v>1</v>
      </c>
      <c r="C752">
        <v>7</v>
      </c>
      <c r="D752">
        <v>1992</v>
      </c>
      <c r="E752">
        <v>108.4</v>
      </c>
      <c r="F752">
        <v>18.3</v>
      </c>
      <c r="G752">
        <v>16.5</v>
      </c>
      <c r="H752">
        <v>1.8</v>
      </c>
      <c r="I752">
        <v>9</v>
      </c>
      <c r="J752">
        <v>114.1</v>
      </c>
      <c r="K752">
        <v>369.2</v>
      </c>
      <c r="L752">
        <v>374</v>
      </c>
      <c r="M752">
        <v>357</v>
      </c>
      <c r="N752">
        <v>525</v>
      </c>
      <c r="O752">
        <v>168</v>
      </c>
      <c r="P752">
        <v>299</v>
      </c>
      <c r="Q752">
        <v>549</v>
      </c>
      <c r="R752">
        <v>250</v>
      </c>
      <c r="S752">
        <v>267.3</v>
      </c>
      <c r="T752">
        <v>392</v>
      </c>
      <c r="U752">
        <v>395</v>
      </c>
      <c r="V752">
        <v>500</v>
      </c>
      <c r="W752">
        <v>2.79</v>
      </c>
    </row>
    <row r="753" spans="1:23" x14ac:dyDescent="0.25">
      <c r="A753" t="s">
        <v>37</v>
      </c>
      <c r="B753">
        <v>1</v>
      </c>
      <c r="C753">
        <v>8</v>
      </c>
      <c r="D753">
        <v>1993</v>
      </c>
      <c r="E753">
        <v>124.3</v>
      </c>
      <c r="F753">
        <v>15.9</v>
      </c>
      <c r="G753">
        <v>14.1</v>
      </c>
      <c r="H753">
        <v>1.8</v>
      </c>
      <c r="I753">
        <v>11</v>
      </c>
      <c r="J753">
        <v>116.2</v>
      </c>
      <c r="K753">
        <v>485.4</v>
      </c>
      <c r="L753">
        <v>378</v>
      </c>
      <c r="M753">
        <v>360</v>
      </c>
      <c r="N753">
        <v>518</v>
      </c>
      <c r="O753">
        <v>158</v>
      </c>
      <c r="P753">
        <v>288</v>
      </c>
      <c r="Q753">
        <v>548</v>
      </c>
      <c r="R753">
        <v>260</v>
      </c>
      <c r="S753">
        <v>267.3</v>
      </c>
      <c r="T753">
        <v>392</v>
      </c>
      <c r="U753">
        <v>395</v>
      </c>
      <c r="V753">
        <v>500</v>
      </c>
      <c r="W753">
        <v>2.79</v>
      </c>
    </row>
    <row r="754" spans="1:23" x14ac:dyDescent="0.25">
      <c r="A754" t="s">
        <v>37</v>
      </c>
      <c r="B754">
        <v>1</v>
      </c>
      <c r="C754">
        <v>9</v>
      </c>
      <c r="D754">
        <v>1994</v>
      </c>
      <c r="E754">
        <v>136.6</v>
      </c>
      <c r="F754">
        <v>12.3</v>
      </c>
      <c r="G754">
        <v>11.1</v>
      </c>
      <c r="H754">
        <v>1.2</v>
      </c>
      <c r="I754">
        <v>9</v>
      </c>
      <c r="J754">
        <v>100.8</v>
      </c>
      <c r="K754">
        <v>586.20000000000005</v>
      </c>
      <c r="L754">
        <v>365</v>
      </c>
      <c r="M754">
        <v>349</v>
      </c>
      <c r="N754">
        <v>520</v>
      </c>
      <c r="O754">
        <v>171</v>
      </c>
      <c r="P754">
        <v>274</v>
      </c>
      <c r="Q754">
        <v>532</v>
      </c>
      <c r="R754">
        <v>258</v>
      </c>
      <c r="S754">
        <v>267.3</v>
      </c>
      <c r="T754">
        <v>392</v>
      </c>
      <c r="U754">
        <v>395</v>
      </c>
      <c r="V754">
        <v>500</v>
      </c>
      <c r="W754">
        <v>2.79</v>
      </c>
    </row>
    <row r="755" spans="1:23" x14ac:dyDescent="0.25">
      <c r="A755" t="s">
        <v>37</v>
      </c>
      <c r="B755">
        <v>1</v>
      </c>
      <c r="C755">
        <v>10</v>
      </c>
      <c r="D755">
        <v>1995</v>
      </c>
      <c r="E755">
        <v>146.5</v>
      </c>
      <c r="F755">
        <v>9.9</v>
      </c>
      <c r="G755">
        <v>9</v>
      </c>
      <c r="H755">
        <v>0.9</v>
      </c>
      <c r="I755">
        <v>9</v>
      </c>
      <c r="J755">
        <v>88</v>
      </c>
      <c r="K755">
        <v>674.3</v>
      </c>
      <c r="L755">
        <v>388</v>
      </c>
      <c r="M755">
        <v>374</v>
      </c>
      <c r="N755">
        <v>527</v>
      </c>
      <c r="O755">
        <v>153</v>
      </c>
      <c r="P755">
        <v>300</v>
      </c>
      <c r="Q755">
        <v>557</v>
      </c>
      <c r="R755">
        <v>257</v>
      </c>
      <c r="S755">
        <v>267.3</v>
      </c>
      <c r="T755">
        <v>392</v>
      </c>
      <c r="U755">
        <v>395</v>
      </c>
      <c r="V755">
        <v>500</v>
      </c>
      <c r="W755">
        <v>2.79</v>
      </c>
    </row>
    <row r="756" spans="1:23" x14ac:dyDescent="0.25">
      <c r="A756" t="s">
        <v>37</v>
      </c>
      <c r="B756">
        <v>1</v>
      </c>
      <c r="C756">
        <v>11</v>
      </c>
      <c r="D756">
        <v>1996</v>
      </c>
      <c r="E756">
        <v>157</v>
      </c>
      <c r="F756">
        <v>10.5</v>
      </c>
      <c r="G756">
        <v>8.6999999999999993</v>
      </c>
      <c r="H756">
        <v>1.8</v>
      </c>
      <c r="I756">
        <v>17</v>
      </c>
      <c r="J756">
        <v>100.1</v>
      </c>
      <c r="K756">
        <v>774.4</v>
      </c>
      <c r="L756">
        <v>381</v>
      </c>
      <c r="M756">
        <v>350</v>
      </c>
      <c r="N756">
        <v>534</v>
      </c>
      <c r="O756">
        <v>184</v>
      </c>
      <c r="P756">
        <v>290</v>
      </c>
      <c r="Q756">
        <v>553</v>
      </c>
      <c r="R756">
        <v>263</v>
      </c>
      <c r="S756">
        <v>267.3</v>
      </c>
      <c r="T756">
        <v>392</v>
      </c>
      <c r="U756">
        <v>395</v>
      </c>
      <c r="V756">
        <v>500</v>
      </c>
      <c r="W756">
        <v>2.79</v>
      </c>
    </row>
    <row r="757" spans="1:23" x14ac:dyDescent="0.25">
      <c r="A757" t="s">
        <v>37</v>
      </c>
      <c r="B757">
        <v>1</v>
      </c>
      <c r="C757">
        <v>12</v>
      </c>
      <c r="D757">
        <v>1997</v>
      </c>
      <c r="E757">
        <v>170.8</v>
      </c>
      <c r="F757">
        <v>13.8</v>
      </c>
      <c r="G757">
        <v>11.4</v>
      </c>
      <c r="H757">
        <v>2.4</v>
      </c>
      <c r="I757">
        <v>17</v>
      </c>
      <c r="J757">
        <v>142.1</v>
      </c>
      <c r="K757">
        <v>916.5</v>
      </c>
      <c r="L757">
        <v>398</v>
      </c>
      <c r="M757">
        <v>369</v>
      </c>
      <c r="N757">
        <v>532</v>
      </c>
      <c r="O757">
        <v>163</v>
      </c>
      <c r="P757">
        <v>322</v>
      </c>
      <c r="Q757">
        <v>544</v>
      </c>
      <c r="R757">
        <v>222</v>
      </c>
      <c r="S757">
        <v>267.3</v>
      </c>
      <c r="T757">
        <v>392</v>
      </c>
      <c r="U757">
        <v>395</v>
      </c>
      <c r="V757">
        <v>500</v>
      </c>
      <c r="W757">
        <v>2.79</v>
      </c>
    </row>
    <row r="758" spans="1:23" x14ac:dyDescent="0.25">
      <c r="A758" t="s">
        <v>37</v>
      </c>
      <c r="B758">
        <v>1</v>
      </c>
      <c r="C758">
        <v>13</v>
      </c>
      <c r="D758">
        <v>1998</v>
      </c>
      <c r="E758">
        <v>181</v>
      </c>
      <c r="F758">
        <v>10.199999999999999</v>
      </c>
      <c r="G758">
        <v>9.3000000000000007</v>
      </c>
      <c r="H758">
        <v>0.9</v>
      </c>
      <c r="I758">
        <v>8</v>
      </c>
      <c r="J758">
        <v>112.7</v>
      </c>
      <c r="K758">
        <v>1029.2</v>
      </c>
      <c r="L758">
        <v>406</v>
      </c>
      <c r="M758">
        <v>392</v>
      </c>
      <c r="N758">
        <v>552</v>
      </c>
      <c r="O758">
        <v>160</v>
      </c>
      <c r="P758">
        <v>315</v>
      </c>
      <c r="Q758">
        <v>569</v>
      </c>
      <c r="R758">
        <v>254</v>
      </c>
      <c r="S758">
        <v>267.3</v>
      </c>
      <c r="T758">
        <v>392</v>
      </c>
      <c r="U758">
        <v>395</v>
      </c>
      <c r="V758">
        <v>500</v>
      </c>
      <c r="W758">
        <v>2.79</v>
      </c>
    </row>
    <row r="759" spans="1:23" x14ac:dyDescent="0.25">
      <c r="A759" t="s">
        <v>37</v>
      </c>
      <c r="B759">
        <v>1</v>
      </c>
      <c r="C759">
        <v>14</v>
      </c>
      <c r="D759">
        <v>1999</v>
      </c>
      <c r="E759">
        <v>193.3</v>
      </c>
      <c r="F759">
        <v>12.3</v>
      </c>
      <c r="G759">
        <v>11.4</v>
      </c>
      <c r="H759">
        <v>0.9</v>
      </c>
      <c r="I759">
        <v>7</v>
      </c>
      <c r="J759">
        <v>144.6</v>
      </c>
      <c r="K759">
        <v>1173.9000000000001</v>
      </c>
      <c r="L759">
        <v>400</v>
      </c>
      <c r="M759">
        <v>391</v>
      </c>
      <c r="N759">
        <v>522</v>
      </c>
      <c r="O759">
        <v>131</v>
      </c>
      <c r="P759">
        <v>336</v>
      </c>
      <c r="Q759">
        <v>537</v>
      </c>
      <c r="R759">
        <v>201</v>
      </c>
      <c r="S759">
        <v>267.3</v>
      </c>
      <c r="T759">
        <v>392</v>
      </c>
      <c r="U759">
        <v>395</v>
      </c>
      <c r="V759">
        <v>500</v>
      </c>
      <c r="W759">
        <v>2.79</v>
      </c>
    </row>
    <row r="760" spans="1:23" x14ac:dyDescent="0.25">
      <c r="A760" t="s">
        <v>37</v>
      </c>
      <c r="B760">
        <v>1</v>
      </c>
      <c r="C760">
        <v>15</v>
      </c>
      <c r="D760">
        <v>2000</v>
      </c>
      <c r="E760">
        <v>201.4</v>
      </c>
      <c r="F760">
        <v>8.1</v>
      </c>
      <c r="G760">
        <v>7.8</v>
      </c>
      <c r="H760">
        <v>0.3</v>
      </c>
      <c r="I760">
        <v>3</v>
      </c>
      <c r="J760">
        <v>100.4</v>
      </c>
      <c r="K760">
        <v>1274.3</v>
      </c>
      <c r="L760">
        <v>381</v>
      </c>
      <c r="M760">
        <v>375</v>
      </c>
      <c r="N760">
        <v>530</v>
      </c>
      <c r="O760">
        <v>155</v>
      </c>
      <c r="P760">
        <v>313</v>
      </c>
      <c r="Q760">
        <v>530</v>
      </c>
      <c r="R760">
        <v>217</v>
      </c>
      <c r="S760">
        <v>267.3</v>
      </c>
      <c r="T760">
        <v>392</v>
      </c>
      <c r="U760">
        <v>395</v>
      </c>
      <c r="V760">
        <v>500</v>
      </c>
      <c r="W760">
        <v>2.79</v>
      </c>
    </row>
    <row r="761" spans="1:23" x14ac:dyDescent="0.25">
      <c r="A761" t="s">
        <v>37</v>
      </c>
      <c r="B761">
        <v>1</v>
      </c>
      <c r="C761">
        <v>16</v>
      </c>
      <c r="D761">
        <v>2001</v>
      </c>
      <c r="E761">
        <v>208.9</v>
      </c>
      <c r="F761">
        <v>7.5</v>
      </c>
      <c r="G761">
        <v>6.3</v>
      </c>
      <c r="H761">
        <v>1.2</v>
      </c>
      <c r="I761">
        <v>16</v>
      </c>
      <c r="J761">
        <v>96.7</v>
      </c>
      <c r="K761">
        <v>1371</v>
      </c>
      <c r="L761">
        <v>406</v>
      </c>
      <c r="M761">
        <v>380</v>
      </c>
      <c r="N761">
        <v>540</v>
      </c>
      <c r="O761">
        <v>160</v>
      </c>
      <c r="P761">
        <v>333</v>
      </c>
      <c r="Q761">
        <v>568</v>
      </c>
      <c r="R761">
        <v>235</v>
      </c>
      <c r="S761">
        <v>267.3</v>
      </c>
      <c r="T761">
        <v>392</v>
      </c>
      <c r="U761">
        <v>395</v>
      </c>
      <c r="V761">
        <v>500</v>
      </c>
      <c r="W761">
        <v>2.79</v>
      </c>
    </row>
    <row r="762" spans="1:23" x14ac:dyDescent="0.25">
      <c r="A762" t="s">
        <v>37</v>
      </c>
      <c r="B762">
        <v>1</v>
      </c>
      <c r="C762">
        <v>17</v>
      </c>
      <c r="D762">
        <v>2002</v>
      </c>
      <c r="E762">
        <v>217.3</v>
      </c>
      <c r="F762">
        <v>8.4</v>
      </c>
      <c r="G762">
        <v>6.9</v>
      </c>
      <c r="H762">
        <v>1.5</v>
      </c>
      <c r="I762">
        <v>17</v>
      </c>
      <c r="J762">
        <v>112.5</v>
      </c>
      <c r="K762">
        <v>1483.4</v>
      </c>
      <c r="L762">
        <v>418</v>
      </c>
      <c r="M762">
        <v>387</v>
      </c>
      <c r="N762">
        <v>557</v>
      </c>
      <c r="O762">
        <v>170</v>
      </c>
      <c r="P762">
        <v>337</v>
      </c>
      <c r="Q762">
        <v>585</v>
      </c>
      <c r="R762">
        <v>248</v>
      </c>
      <c r="S762">
        <v>267.3</v>
      </c>
      <c r="T762">
        <v>392</v>
      </c>
      <c r="U762">
        <v>395</v>
      </c>
      <c r="V762">
        <v>500</v>
      </c>
      <c r="W762">
        <v>2.79</v>
      </c>
    </row>
    <row r="763" spans="1:23" x14ac:dyDescent="0.25">
      <c r="A763" t="s">
        <v>37</v>
      </c>
      <c r="B763">
        <v>1</v>
      </c>
      <c r="C763">
        <v>18</v>
      </c>
      <c r="D763">
        <v>2003</v>
      </c>
      <c r="E763">
        <v>227.2</v>
      </c>
      <c r="F763">
        <v>9.9</v>
      </c>
      <c r="G763">
        <v>9</v>
      </c>
      <c r="H763">
        <v>0.9</v>
      </c>
      <c r="I763">
        <v>9</v>
      </c>
      <c r="J763">
        <v>138.19999999999999</v>
      </c>
      <c r="K763">
        <v>1621.7</v>
      </c>
      <c r="L763">
        <v>406</v>
      </c>
      <c r="M763">
        <v>392</v>
      </c>
      <c r="N763">
        <v>540</v>
      </c>
      <c r="O763">
        <v>148</v>
      </c>
      <c r="P763">
        <v>328</v>
      </c>
      <c r="Q763">
        <v>552</v>
      </c>
      <c r="R763">
        <v>224</v>
      </c>
      <c r="S763">
        <v>267.3</v>
      </c>
      <c r="T763">
        <v>392</v>
      </c>
      <c r="U763">
        <v>395</v>
      </c>
      <c r="V763">
        <v>500</v>
      </c>
      <c r="W763">
        <v>2.79</v>
      </c>
    </row>
    <row r="764" spans="1:23" x14ac:dyDescent="0.25">
      <c r="A764" t="s">
        <v>37</v>
      </c>
      <c r="B764">
        <v>1</v>
      </c>
      <c r="C764">
        <v>19</v>
      </c>
      <c r="D764">
        <v>2004</v>
      </c>
      <c r="E764">
        <v>235.3</v>
      </c>
      <c r="F764">
        <v>8.1</v>
      </c>
      <c r="G764">
        <v>6.6</v>
      </c>
      <c r="H764">
        <v>1.5</v>
      </c>
      <c r="I764">
        <v>18</v>
      </c>
      <c r="J764">
        <v>117.7</v>
      </c>
      <c r="K764">
        <v>1739.4</v>
      </c>
      <c r="L764">
        <v>405</v>
      </c>
      <c r="M764">
        <v>376</v>
      </c>
      <c r="N764">
        <v>534</v>
      </c>
      <c r="O764">
        <v>158</v>
      </c>
      <c r="P764">
        <v>341</v>
      </c>
      <c r="Q764">
        <v>543</v>
      </c>
      <c r="R764">
        <v>202</v>
      </c>
      <c r="S764">
        <v>267.3</v>
      </c>
      <c r="T764">
        <v>392</v>
      </c>
      <c r="U764">
        <v>395</v>
      </c>
      <c r="V764">
        <v>500</v>
      </c>
      <c r="W764">
        <v>2.79</v>
      </c>
    </row>
    <row r="765" spans="1:23" x14ac:dyDescent="0.25">
      <c r="A765" t="s">
        <v>37</v>
      </c>
      <c r="B765">
        <v>1</v>
      </c>
      <c r="C765">
        <v>20</v>
      </c>
      <c r="D765">
        <v>2005</v>
      </c>
      <c r="E765">
        <v>244.3</v>
      </c>
      <c r="F765">
        <v>9</v>
      </c>
      <c r="G765">
        <v>7.8</v>
      </c>
      <c r="H765">
        <v>1.2</v>
      </c>
      <c r="I765">
        <v>13</v>
      </c>
      <c r="J765">
        <v>135.6</v>
      </c>
      <c r="K765">
        <v>1875</v>
      </c>
      <c r="L765">
        <v>397</v>
      </c>
      <c r="M765">
        <v>378</v>
      </c>
      <c r="N765">
        <v>520</v>
      </c>
      <c r="O765">
        <v>142</v>
      </c>
      <c r="P765">
        <v>326</v>
      </c>
      <c r="Q765">
        <v>551</v>
      </c>
      <c r="R765">
        <v>225</v>
      </c>
      <c r="S765">
        <v>267.3</v>
      </c>
      <c r="T765">
        <v>392</v>
      </c>
      <c r="U765">
        <v>395</v>
      </c>
      <c r="V765">
        <v>500</v>
      </c>
      <c r="W765">
        <v>2.79</v>
      </c>
    </row>
    <row r="766" spans="1:23" x14ac:dyDescent="0.25">
      <c r="A766" t="s">
        <v>37</v>
      </c>
      <c r="B766">
        <v>1</v>
      </c>
      <c r="C766">
        <v>21</v>
      </c>
      <c r="D766">
        <v>2006</v>
      </c>
      <c r="E766">
        <v>249.1</v>
      </c>
      <c r="F766">
        <v>4.8</v>
      </c>
      <c r="G766">
        <v>4.5</v>
      </c>
      <c r="H766">
        <v>0.3</v>
      </c>
      <c r="I766">
        <v>6</v>
      </c>
      <c r="J766">
        <v>74.400000000000006</v>
      </c>
      <c r="K766">
        <v>1949.4</v>
      </c>
      <c r="L766">
        <v>412</v>
      </c>
      <c r="M766">
        <v>401</v>
      </c>
      <c r="N766">
        <v>583</v>
      </c>
      <c r="O766">
        <v>182</v>
      </c>
      <c r="P766">
        <v>345</v>
      </c>
      <c r="Q766">
        <v>583</v>
      </c>
      <c r="R766">
        <v>238</v>
      </c>
      <c r="S766">
        <v>267.3</v>
      </c>
      <c r="T766">
        <v>392</v>
      </c>
      <c r="U766">
        <v>395</v>
      </c>
      <c r="V766">
        <v>500</v>
      </c>
      <c r="W766">
        <v>2.79</v>
      </c>
    </row>
    <row r="767" spans="1:23" x14ac:dyDescent="0.25">
      <c r="A767" t="s">
        <v>37</v>
      </c>
      <c r="B767">
        <v>1</v>
      </c>
      <c r="C767">
        <v>22</v>
      </c>
      <c r="D767">
        <v>2007</v>
      </c>
      <c r="E767">
        <v>253.6</v>
      </c>
      <c r="F767">
        <v>4.5</v>
      </c>
      <c r="G767">
        <v>3.6</v>
      </c>
      <c r="H767">
        <v>0.9</v>
      </c>
      <c r="I767">
        <v>20</v>
      </c>
      <c r="J767">
        <v>71.099999999999994</v>
      </c>
      <c r="K767">
        <v>2020.5</v>
      </c>
      <c r="L767">
        <v>444</v>
      </c>
      <c r="M767">
        <v>413</v>
      </c>
      <c r="N767">
        <v>566</v>
      </c>
      <c r="O767">
        <v>153</v>
      </c>
      <c r="P767">
        <v>348</v>
      </c>
      <c r="Q767">
        <v>599</v>
      </c>
      <c r="R767">
        <v>251</v>
      </c>
      <c r="S767">
        <v>267.3</v>
      </c>
      <c r="T767">
        <v>392</v>
      </c>
      <c r="U767">
        <v>395</v>
      </c>
      <c r="V767">
        <v>500</v>
      </c>
      <c r="W767">
        <v>2.79</v>
      </c>
    </row>
    <row r="768" spans="1:23" x14ac:dyDescent="0.25">
      <c r="A768" t="s">
        <v>37</v>
      </c>
      <c r="B768">
        <v>1</v>
      </c>
      <c r="C768">
        <v>23</v>
      </c>
      <c r="D768">
        <v>2008</v>
      </c>
      <c r="E768">
        <v>257.8</v>
      </c>
      <c r="F768">
        <v>4.2</v>
      </c>
      <c r="G768">
        <v>3</v>
      </c>
      <c r="H768">
        <v>1.2</v>
      </c>
      <c r="I768">
        <v>28</v>
      </c>
      <c r="J768">
        <v>67.5</v>
      </c>
      <c r="K768">
        <v>2087.9</v>
      </c>
      <c r="L768">
        <v>430</v>
      </c>
      <c r="M768">
        <v>390</v>
      </c>
      <c r="N768">
        <v>531</v>
      </c>
      <c r="O768">
        <v>141</v>
      </c>
      <c r="P768">
        <v>350</v>
      </c>
      <c r="Q768">
        <v>577</v>
      </c>
      <c r="R768">
        <v>227</v>
      </c>
      <c r="S768">
        <v>267.3</v>
      </c>
      <c r="T768">
        <v>392</v>
      </c>
      <c r="U768">
        <v>395</v>
      </c>
      <c r="V768">
        <v>500</v>
      </c>
      <c r="W768">
        <v>2.79</v>
      </c>
    </row>
    <row r="769" spans="1:23" x14ac:dyDescent="0.25">
      <c r="A769" t="s">
        <v>37</v>
      </c>
      <c r="B769">
        <v>1</v>
      </c>
      <c r="C769">
        <v>24</v>
      </c>
      <c r="D769">
        <v>2009</v>
      </c>
      <c r="E769">
        <v>262</v>
      </c>
      <c r="F769">
        <v>4.2</v>
      </c>
      <c r="G769">
        <v>3.3</v>
      </c>
      <c r="H769">
        <v>0.9</v>
      </c>
      <c r="I769">
        <v>21</v>
      </c>
      <c r="J769">
        <v>68.599999999999994</v>
      </c>
      <c r="K769">
        <v>2156.5</v>
      </c>
      <c r="L769">
        <v>430</v>
      </c>
      <c r="M769">
        <v>394</v>
      </c>
      <c r="N769">
        <v>561</v>
      </c>
      <c r="O769">
        <v>167</v>
      </c>
      <c r="P769">
        <v>366</v>
      </c>
      <c r="Q769">
        <v>617</v>
      </c>
      <c r="R769">
        <v>251</v>
      </c>
      <c r="S769">
        <v>267.3</v>
      </c>
      <c r="T769">
        <v>392</v>
      </c>
      <c r="U769">
        <v>395</v>
      </c>
      <c r="V769">
        <v>500</v>
      </c>
      <c r="W769">
        <v>2.79</v>
      </c>
    </row>
    <row r="770" spans="1:23" x14ac:dyDescent="0.25">
      <c r="A770" t="s">
        <v>37</v>
      </c>
      <c r="B770">
        <v>1</v>
      </c>
      <c r="C770">
        <v>25</v>
      </c>
      <c r="D770">
        <v>2010</v>
      </c>
      <c r="E770">
        <v>266.2</v>
      </c>
      <c r="F770">
        <v>4.2</v>
      </c>
      <c r="G770">
        <v>3.3</v>
      </c>
      <c r="H770">
        <v>0.9</v>
      </c>
      <c r="I770">
        <v>21</v>
      </c>
      <c r="J770">
        <v>69.7</v>
      </c>
      <c r="K770">
        <v>2226.1999999999998</v>
      </c>
      <c r="L770">
        <v>420</v>
      </c>
      <c r="M770">
        <v>385</v>
      </c>
      <c r="N770">
        <v>551</v>
      </c>
      <c r="O770">
        <v>166</v>
      </c>
      <c r="P770">
        <v>347</v>
      </c>
      <c r="Q770">
        <v>602</v>
      </c>
      <c r="R770">
        <v>255</v>
      </c>
      <c r="S770">
        <v>267.3</v>
      </c>
      <c r="T770">
        <v>392</v>
      </c>
      <c r="U770">
        <v>395</v>
      </c>
      <c r="V770">
        <v>500</v>
      </c>
      <c r="W770">
        <v>2.79</v>
      </c>
    </row>
    <row r="771" spans="1:23" x14ac:dyDescent="0.25">
      <c r="A771" t="s">
        <v>37</v>
      </c>
      <c r="B771">
        <v>1</v>
      </c>
      <c r="C771">
        <v>26</v>
      </c>
      <c r="D771">
        <v>2011</v>
      </c>
      <c r="E771">
        <v>269.2</v>
      </c>
      <c r="F771">
        <v>3</v>
      </c>
      <c r="G771">
        <v>2.4</v>
      </c>
      <c r="H771">
        <v>0.6</v>
      </c>
      <c r="I771">
        <v>20</v>
      </c>
      <c r="J771">
        <v>50.5</v>
      </c>
      <c r="K771">
        <v>2276.6999999999998</v>
      </c>
      <c r="L771">
        <v>430</v>
      </c>
      <c r="M771">
        <v>402</v>
      </c>
      <c r="N771">
        <v>545</v>
      </c>
      <c r="O771">
        <v>143</v>
      </c>
      <c r="P771">
        <v>331</v>
      </c>
      <c r="Q771">
        <v>548</v>
      </c>
      <c r="R771">
        <v>217</v>
      </c>
      <c r="S771">
        <v>267.3</v>
      </c>
      <c r="T771">
        <v>392</v>
      </c>
      <c r="U771">
        <v>395</v>
      </c>
      <c r="V771">
        <v>500</v>
      </c>
      <c r="W771">
        <v>2.79</v>
      </c>
    </row>
    <row r="772" spans="1:23" x14ac:dyDescent="0.25">
      <c r="A772" t="s">
        <v>37</v>
      </c>
      <c r="B772">
        <v>1</v>
      </c>
      <c r="C772">
        <v>27</v>
      </c>
      <c r="D772">
        <v>2012</v>
      </c>
      <c r="E772">
        <v>271.3</v>
      </c>
      <c r="F772">
        <v>2.1</v>
      </c>
      <c r="G772">
        <v>1.5</v>
      </c>
      <c r="H772">
        <v>0.6</v>
      </c>
      <c r="I772">
        <v>28</v>
      </c>
      <c r="J772">
        <v>35.700000000000003</v>
      </c>
      <c r="K772">
        <v>2312.3000000000002</v>
      </c>
      <c r="L772">
        <v>427</v>
      </c>
      <c r="M772">
        <v>389</v>
      </c>
      <c r="N772">
        <v>524</v>
      </c>
      <c r="O772">
        <v>135</v>
      </c>
      <c r="P772">
        <v>341</v>
      </c>
      <c r="Q772">
        <v>534</v>
      </c>
      <c r="R772">
        <v>193</v>
      </c>
      <c r="S772">
        <v>267.3</v>
      </c>
      <c r="T772">
        <v>392</v>
      </c>
      <c r="U772">
        <v>395</v>
      </c>
      <c r="V772">
        <v>500</v>
      </c>
      <c r="W772">
        <v>2.79</v>
      </c>
    </row>
    <row r="773" spans="1:23" x14ac:dyDescent="0.25">
      <c r="A773" t="s">
        <v>37</v>
      </c>
      <c r="B773">
        <v>2</v>
      </c>
      <c r="C773">
        <v>2</v>
      </c>
      <c r="D773">
        <v>1987</v>
      </c>
      <c r="E773">
        <v>20.100000000000001</v>
      </c>
      <c r="F773">
        <v>20.100000000000001</v>
      </c>
      <c r="G773">
        <v>17.100000000000001</v>
      </c>
      <c r="H773">
        <v>0</v>
      </c>
      <c r="I773">
        <v>0</v>
      </c>
      <c r="J773">
        <v>12.7</v>
      </c>
      <c r="K773">
        <v>12.7</v>
      </c>
      <c r="L773">
        <v>346</v>
      </c>
      <c r="M773">
        <v>346</v>
      </c>
      <c r="P773">
        <v>287</v>
      </c>
      <c r="Q773">
        <v>487</v>
      </c>
      <c r="R773">
        <v>200</v>
      </c>
      <c r="S773">
        <v>143.1</v>
      </c>
      <c r="T773">
        <v>431</v>
      </c>
      <c r="U773">
        <v>434</v>
      </c>
      <c r="V773">
        <v>500</v>
      </c>
      <c r="W773">
        <v>2.79</v>
      </c>
    </row>
    <row r="774" spans="1:23" x14ac:dyDescent="0.25">
      <c r="A774" t="s">
        <v>37</v>
      </c>
      <c r="B774">
        <v>2</v>
      </c>
      <c r="C774">
        <v>3</v>
      </c>
      <c r="D774">
        <v>1988</v>
      </c>
      <c r="E774">
        <v>40.200000000000003</v>
      </c>
      <c r="F774">
        <v>20.100000000000001</v>
      </c>
      <c r="G774">
        <v>20.100000000000001</v>
      </c>
      <c r="H774">
        <v>0</v>
      </c>
      <c r="I774">
        <v>0</v>
      </c>
      <c r="J774">
        <v>38.1</v>
      </c>
      <c r="K774">
        <v>50.8</v>
      </c>
      <c r="L774">
        <v>359</v>
      </c>
      <c r="M774">
        <v>359</v>
      </c>
      <c r="P774">
        <v>277</v>
      </c>
      <c r="Q774">
        <v>491</v>
      </c>
      <c r="R774">
        <v>214</v>
      </c>
      <c r="S774">
        <v>143.1</v>
      </c>
      <c r="T774">
        <v>431</v>
      </c>
      <c r="U774">
        <v>434</v>
      </c>
      <c r="V774">
        <v>500</v>
      </c>
      <c r="W774">
        <v>2.79</v>
      </c>
    </row>
    <row r="775" spans="1:23" x14ac:dyDescent="0.25">
      <c r="A775" t="s">
        <v>37</v>
      </c>
      <c r="B775">
        <v>2</v>
      </c>
      <c r="C775">
        <v>4</v>
      </c>
      <c r="D775">
        <v>1989</v>
      </c>
      <c r="E775">
        <v>56.4</v>
      </c>
      <c r="F775">
        <v>16.2</v>
      </c>
      <c r="G775">
        <v>15.3</v>
      </c>
      <c r="H775">
        <v>0.9</v>
      </c>
      <c r="I775">
        <v>5</v>
      </c>
      <c r="J775">
        <v>49.2</v>
      </c>
      <c r="K775">
        <v>99.9</v>
      </c>
      <c r="L775">
        <v>405</v>
      </c>
      <c r="M775">
        <v>399</v>
      </c>
      <c r="N775">
        <v>521</v>
      </c>
      <c r="O775">
        <v>122</v>
      </c>
      <c r="P775">
        <v>359</v>
      </c>
      <c r="Q775">
        <v>530</v>
      </c>
      <c r="R775">
        <v>171</v>
      </c>
      <c r="S775">
        <v>143.1</v>
      </c>
      <c r="T775">
        <v>431</v>
      </c>
      <c r="U775">
        <v>434</v>
      </c>
      <c r="V775">
        <v>500</v>
      </c>
      <c r="W775">
        <v>2.79</v>
      </c>
    </row>
    <row r="776" spans="1:23" x14ac:dyDescent="0.25">
      <c r="A776" t="s">
        <v>37</v>
      </c>
      <c r="B776">
        <v>2</v>
      </c>
      <c r="C776">
        <v>5</v>
      </c>
      <c r="D776">
        <v>1990</v>
      </c>
      <c r="E776">
        <v>64.8</v>
      </c>
      <c r="F776">
        <v>8.4</v>
      </c>
      <c r="G776">
        <v>6.3</v>
      </c>
      <c r="H776">
        <v>2.1</v>
      </c>
      <c r="I776">
        <v>24</v>
      </c>
      <c r="J776">
        <v>32</v>
      </c>
      <c r="K776">
        <v>131.9</v>
      </c>
      <c r="L776">
        <v>432</v>
      </c>
      <c r="M776">
        <v>402</v>
      </c>
      <c r="N776">
        <v>523</v>
      </c>
      <c r="O776">
        <v>121</v>
      </c>
      <c r="P776">
        <v>349</v>
      </c>
      <c r="Q776">
        <v>550</v>
      </c>
      <c r="R776">
        <v>201</v>
      </c>
      <c r="S776">
        <v>143.1</v>
      </c>
      <c r="T776">
        <v>431</v>
      </c>
      <c r="U776">
        <v>434</v>
      </c>
      <c r="V776">
        <v>500</v>
      </c>
      <c r="W776">
        <v>2.79</v>
      </c>
    </row>
    <row r="777" spans="1:23" x14ac:dyDescent="0.25">
      <c r="A777" t="s">
        <v>37</v>
      </c>
      <c r="B777">
        <v>2</v>
      </c>
      <c r="C777">
        <v>6</v>
      </c>
      <c r="D777">
        <v>1991</v>
      </c>
      <c r="E777">
        <v>74.400000000000006</v>
      </c>
      <c r="F777">
        <v>9.6</v>
      </c>
      <c r="G777">
        <v>8.1</v>
      </c>
      <c r="H777">
        <v>1.5</v>
      </c>
      <c r="I777">
        <v>15</v>
      </c>
      <c r="J777">
        <v>42</v>
      </c>
      <c r="K777">
        <v>173.9</v>
      </c>
      <c r="L777">
        <v>434</v>
      </c>
      <c r="M777">
        <v>416</v>
      </c>
      <c r="N777">
        <v>536</v>
      </c>
      <c r="O777">
        <v>120</v>
      </c>
      <c r="P777">
        <v>357</v>
      </c>
      <c r="Q777">
        <v>553</v>
      </c>
      <c r="R777">
        <v>196</v>
      </c>
      <c r="S777">
        <v>143.1</v>
      </c>
      <c r="T777">
        <v>431</v>
      </c>
      <c r="U777">
        <v>434</v>
      </c>
      <c r="V777">
        <v>500</v>
      </c>
      <c r="W777">
        <v>2.79</v>
      </c>
    </row>
    <row r="778" spans="1:23" x14ac:dyDescent="0.25">
      <c r="A778" t="s">
        <v>37</v>
      </c>
      <c r="B778">
        <v>2</v>
      </c>
      <c r="C778">
        <v>7</v>
      </c>
      <c r="D778">
        <v>1992</v>
      </c>
      <c r="E778">
        <v>82.8</v>
      </c>
      <c r="F778">
        <v>8.4</v>
      </c>
      <c r="G778">
        <v>6.3</v>
      </c>
      <c r="H778">
        <v>2.1</v>
      </c>
      <c r="I778">
        <v>24</v>
      </c>
      <c r="J778">
        <v>41.5</v>
      </c>
      <c r="K778">
        <v>215.4</v>
      </c>
      <c r="L778">
        <v>460</v>
      </c>
      <c r="M778">
        <v>433</v>
      </c>
      <c r="N778">
        <v>540</v>
      </c>
      <c r="O778">
        <v>107</v>
      </c>
      <c r="P778">
        <v>397</v>
      </c>
      <c r="Q778">
        <v>570</v>
      </c>
      <c r="R778">
        <v>173</v>
      </c>
      <c r="S778">
        <v>143.1</v>
      </c>
      <c r="T778">
        <v>431</v>
      </c>
      <c r="U778">
        <v>434</v>
      </c>
      <c r="V778">
        <v>500</v>
      </c>
      <c r="W778">
        <v>2.79</v>
      </c>
    </row>
    <row r="779" spans="1:23" x14ac:dyDescent="0.25">
      <c r="A779" t="s">
        <v>37</v>
      </c>
      <c r="B779">
        <v>2</v>
      </c>
      <c r="C779">
        <v>8</v>
      </c>
      <c r="D779">
        <v>1993</v>
      </c>
      <c r="E779">
        <v>87</v>
      </c>
      <c r="F779">
        <v>4.2</v>
      </c>
      <c r="G779">
        <v>3.3</v>
      </c>
      <c r="H779">
        <v>0.9</v>
      </c>
      <c r="I779">
        <v>21</v>
      </c>
      <c r="J779">
        <v>22.4</v>
      </c>
      <c r="K779">
        <v>237.8</v>
      </c>
      <c r="L779">
        <v>434</v>
      </c>
      <c r="M779">
        <v>404</v>
      </c>
      <c r="N779">
        <v>543</v>
      </c>
      <c r="O779">
        <v>139</v>
      </c>
      <c r="P779">
        <v>365</v>
      </c>
      <c r="Q779">
        <v>557</v>
      </c>
      <c r="R779">
        <v>192</v>
      </c>
      <c r="S779">
        <v>143.1</v>
      </c>
      <c r="T779">
        <v>431</v>
      </c>
      <c r="U779">
        <v>434</v>
      </c>
      <c r="V779">
        <v>500</v>
      </c>
      <c r="W779">
        <v>2.79</v>
      </c>
    </row>
    <row r="780" spans="1:23" x14ac:dyDescent="0.25">
      <c r="A780" t="s">
        <v>37</v>
      </c>
      <c r="B780">
        <v>2</v>
      </c>
      <c r="C780">
        <v>9</v>
      </c>
      <c r="D780">
        <v>1994</v>
      </c>
      <c r="E780">
        <v>90.9</v>
      </c>
      <c r="F780">
        <v>3.9</v>
      </c>
      <c r="G780">
        <v>2.4</v>
      </c>
      <c r="H780">
        <v>1.5</v>
      </c>
      <c r="I780">
        <v>38</v>
      </c>
      <c r="J780">
        <v>21.8</v>
      </c>
      <c r="K780">
        <v>259.60000000000002</v>
      </c>
      <c r="L780">
        <v>461</v>
      </c>
      <c r="M780">
        <v>418</v>
      </c>
      <c r="N780">
        <v>531</v>
      </c>
      <c r="O780">
        <v>113</v>
      </c>
      <c r="P780">
        <v>401</v>
      </c>
      <c r="Q780">
        <v>554</v>
      </c>
      <c r="R780">
        <v>153</v>
      </c>
      <c r="S780">
        <v>143.1</v>
      </c>
      <c r="T780">
        <v>431</v>
      </c>
      <c r="U780">
        <v>434</v>
      </c>
      <c r="V780">
        <v>500</v>
      </c>
      <c r="W780">
        <v>2.79</v>
      </c>
    </row>
    <row r="781" spans="1:23" x14ac:dyDescent="0.25">
      <c r="A781" t="s">
        <v>37</v>
      </c>
      <c r="B781">
        <v>2</v>
      </c>
      <c r="C781">
        <v>10</v>
      </c>
      <c r="D781">
        <v>1995</v>
      </c>
      <c r="E781">
        <v>94.8</v>
      </c>
      <c r="F781">
        <v>3.9</v>
      </c>
      <c r="G781">
        <v>3</v>
      </c>
      <c r="H781">
        <v>0.9</v>
      </c>
      <c r="I781">
        <v>23</v>
      </c>
      <c r="J781">
        <v>22.8</v>
      </c>
      <c r="K781">
        <v>282.3</v>
      </c>
      <c r="L781">
        <v>450</v>
      </c>
      <c r="M781">
        <v>424</v>
      </c>
      <c r="N781">
        <v>536</v>
      </c>
      <c r="O781">
        <v>112</v>
      </c>
      <c r="P781">
        <v>370</v>
      </c>
      <c r="Q781">
        <v>565</v>
      </c>
      <c r="R781">
        <v>195</v>
      </c>
      <c r="S781">
        <v>143.1</v>
      </c>
      <c r="T781">
        <v>431</v>
      </c>
      <c r="U781">
        <v>434</v>
      </c>
      <c r="V781">
        <v>500</v>
      </c>
      <c r="W781">
        <v>2.79</v>
      </c>
    </row>
    <row r="782" spans="1:23" x14ac:dyDescent="0.25">
      <c r="A782" t="s">
        <v>37</v>
      </c>
      <c r="B782">
        <v>2</v>
      </c>
      <c r="C782">
        <v>11</v>
      </c>
      <c r="D782">
        <v>1996</v>
      </c>
      <c r="E782">
        <v>102.3</v>
      </c>
      <c r="F782">
        <v>7.5</v>
      </c>
      <c r="G782">
        <v>5.7</v>
      </c>
      <c r="H782">
        <v>1.8</v>
      </c>
      <c r="I782">
        <v>24</v>
      </c>
      <c r="J782">
        <v>46.4</v>
      </c>
      <c r="K782">
        <v>328.8</v>
      </c>
      <c r="L782">
        <v>455</v>
      </c>
      <c r="M782">
        <v>423</v>
      </c>
      <c r="N782">
        <v>559</v>
      </c>
      <c r="O782">
        <v>136</v>
      </c>
      <c r="P782">
        <v>387</v>
      </c>
      <c r="Q782">
        <v>594</v>
      </c>
      <c r="R782">
        <v>207</v>
      </c>
      <c r="S782">
        <v>143.1</v>
      </c>
      <c r="T782">
        <v>431</v>
      </c>
      <c r="U782">
        <v>434</v>
      </c>
      <c r="V782">
        <v>500</v>
      </c>
      <c r="W782">
        <v>2.79</v>
      </c>
    </row>
    <row r="783" spans="1:23" x14ac:dyDescent="0.25">
      <c r="A783" t="s">
        <v>37</v>
      </c>
      <c r="B783">
        <v>2</v>
      </c>
      <c r="C783">
        <v>12</v>
      </c>
      <c r="D783">
        <v>1997</v>
      </c>
      <c r="E783">
        <v>110.1</v>
      </c>
      <c r="F783">
        <v>7.8</v>
      </c>
      <c r="G783">
        <v>5.4</v>
      </c>
      <c r="H783">
        <v>2.4</v>
      </c>
      <c r="I783">
        <v>30</v>
      </c>
      <c r="J783">
        <v>52</v>
      </c>
      <c r="K783">
        <v>380.8</v>
      </c>
      <c r="L783">
        <v>469</v>
      </c>
      <c r="M783">
        <v>433</v>
      </c>
      <c r="N783">
        <v>549</v>
      </c>
      <c r="O783">
        <v>116</v>
      </c>
      <c r="P783">
        <v>381</v>
      </c>
      <c r="Q783">
        <v>577</v>
      </c>
      <c r="R783">
        <v>196</v>
      </c>
      <c r="S783">
        <v>143.1</v>
      </c>
      <c r="T783">
        <v>431</v>
      </c>
      <c r="U783">
        <v>434</v>
      </c>
      <c r="V783">
        <v>500</v>
      </c>
      <c r="W783">
        <v>2.79</v>
      </c>
    </row>
    <row r="784" spans="1:23" x14ac:dyDescent="0.25">
      <c r="A784" t="s">
        <v>37</v>
      </c>
      <c r="B784">
        <v>2</v>
      </c>
      <c r="C784">
        <v>13</v>
      </c>
      <c r="D784">
        <v>1998</v>
      </c>
      <c r="E784">
        <v>116.1</v>
      </c>
      <c r="F784">
        <v>6</v>
      </c>
      <c r="G784">
        <v>3.9</v>
      </c>
      <c r="H784">
        <v>2.1</v>
      </c>
      <c r="I784">
        <v>35</v>
      </c>
      <c r="J784">
        <v>42.6</v>
      </c>
      <c r="K784">
        <v>423.5</v>
      </c>
      <c r="L784">
        <v>456</v>
      </c>
      <c r="M784">
        <v>417</v>
      </c>
      <c r="N784">
        <v>529</v>
      </c>
      <c r="O784">
        <v>112</v>
      </c>
      <c r="P784">
        <v>338</v>
      </c>
      <c r="Q784">
        <v>550</v>
      </c>
      <c r="R784">
        <v>212</v>
      </c>
      <c r="S784">
        <v>143.1</v>
      </c>
      <c r="T784">
        <v>431</v>
      </c>
      <c r="U784">
        <v>434</v>
      </c>
      <c r="V784">
        <v>500</v>
      </c>
      <c r="W784">
        <v>2.79</v>
      </c>
    </row>
    <row r="785" spans="1:23" x14ac:dyDescent="0.25">
      <c r="A785" t="s">
        <v>37</v>
      </c>
      <c r="B785">
        <v>2</v>
      </c>
      <c r="C785">
        <v>14</v>
      </c>
      <c r="D785">
        <v>1999</v>
      </c>
      <c r="E785">
        <v>121.2</v>
      </c>
      <c r="F785">
        <v>5.0999999999999996</v>
      </c>
      <c r="G785">
        <v>4.8</v>
      </c>
      <c r="H785">
        <v>0.3</v>
      </c>
      <c r="I785">
        <v>5</v>
      </c>
      <c r="J785">
        <v>38</v>
      </c>
      <c r="K785">
        <v>461.5</v>
      </c>
      <c r="L785">
        <v>413</v>
      </c>
      <c r="M785">
        <v>406</v>
      </c>
      <c r="N785">
        <v>521</v>
      </c>
      <c r="O785">
        <v>115</v>
      </c>
      <c r="P785">
        <v>361</v>
      </c>
      <c r="Q785">
        <v>521</v>
      </c>
      <c r="R785">
        <v>160</v>
      </c>
      <c r="S785">
        <v>143.1</v>
      </c>
      <c r="T785">
        <v>431</v>
      </c>
      <c r="U785">
        <v>434</v>
      </c>
      <c r="V785">
        <v>500</v>
      </c>
      <c r="W785">
        <v>2.79</v>
      </c>
    </row>
    <row r="786" spans="1:23" x14ac:dyDescent="0.25">
      <c r="A786" t="s">
        <v>37</v>
      </c>
      <c r="B786">
        <v>2</v>
      </c>
      <c r="C786">
        <v>15</v>
      </c>
      <c r="D786">
        <v>2000</v>
      </c>
      <c r="E786">
        <v>125.4</v>
      </c>
      <c r="F786">
        <v>4.2</v>
      </c>
      <c r="G786">
        <v>3.6</v>
      </c>
      <c r="H786">
        <v>0.6</v>
      </c>
      <c r="I786">
        <v>14</v>
      </c>
      <c r="J786">
        <v>32.5</v>
      </c>
      <c r="K786">
        <v>494</v>
      </c>
      <c r="L786">
        <v>425</v>
      </c>
      <c r="M786">
        <v>408</v>
      </c>
      <c r="N786">
        <v>528</v>
      </c>
      <c r="O786">
        <v>120</v>
      </c>
      <c r="P786">
        <v>347</v>
      </c>
      <c r="Q786">
        <v>536</v>
      </c>
      <c r="R786">
        <v>189</v>
      </c>
      <c r="S786">
        <v>143.1</v>
      </c>
      <c r="T786">
        <v>431</v>
      </c>
      <c r="U786">
        <v>434</v>
      </c>
      <c r="V786">
        <v>500</v>
      </c>
      <c r="W786">
        <v>2.79</v>
      </c>
    </row>
    <row r="787" spans="1:23" x14ac:dyDescent="0.25">
      <c r="A787" t="s">
        <v>37</v>
      </c>
      <c r="B787">
        <v>2</v>
      </c>
      <c r="C787">
        <v>16</v>
      </c>
      <c r="D787">
        <v>2001</v>
      </c>
      <c r="E787">
        <v>129.6</v>
      </c>
      <c r="F787">
        <v>4.2</v>
      </c>
      <c r="G787">
        <v>3.9</v>
      </c>
      <c r="H787">
        <v>0.3</v>
      </c>
      <c r="I787">
        <v>7</v>
      </c>
      <c r="J787">
        <v>33.6</v>
      </c>
      <c r="K787">
        <v>527.70000000000005</v>
      </c>
      <c r="L787">
        <v>446</v>
      </c>
      <c r="M787">
        <v>439</v>
      </c>
      <c r="N787">
        <v>539</v>
      </c>
      <c r="O787">
        <v>100</v>
      </c>
      <c r="P787">
        <v>383</v>
      </c>
      <c r="Q787">
        <v>539</v>
      </c>
      <c r="R787">
        <v>156</v>
      </c>
      <c r="S787">
        <v>143.1</v>
      </c>
      <c r="T787">
        <v>431</v>
      </c>
      <c r="U787">
        <v>434</v>
      </c>
      <c r="V787">
        <v>500</v>
      </c>
      <c r="W787">
        <v>2.79</v>
      </c>
    </row>
    <row r="788" spans="1:23" x14ac:dyDescent="0.25">
      <c r="A788" t="s">
        <v>37</v>
      </c>
      <c r="B788">
        <v>2</v>
      </c>
      <c r="C788">
        <v>17</v>
      </c>
      <c r="D788">
        <v>2002</v>
      </c>
      <c r="E788">
        <v>134.4</v>
      </c>
      <c r="F788">
        <v>4.8</v>
      </c>
      <c r="G788">
        <v>3.6</v>
      </c>
      <c r="H788">
        <v>1.2</v>
      </c>
      <c r="I788">
        <v>24</v>
      </c>
      <c r="J788">
        <v>39.799999999999997</v>
      </c>
      <c r="K788">
        <v>567.5</v>
      </c>
      <c r="L788">
        <v>451</v>
      </c>
      <c r="M788">
        <v>419</v>
      </c>
      <c r="N788">
        <v>545</v>
      </c>
      <c r="O788">
        <v>126</v>
      </c>
      <c r="P788">
        <v>373</v>
      </c>
      <c r="Q788">
        <v>602</v>
      </c>
      <c r="R788">
        <v>229</v>
      </c>
      <c r="S788">
        <v>143.1</v>
      </c>
      <c r="T788">
        <v>431</v>
      </c>
      <c r="U788">
        <v>434</v>
      </c>
      <c r="V788">
        <v>500</v>
      </c>
      <c r="W788">
        <v>2.79</v>
      </c>
    </row>
    <row r="789" spans="1:23" x14ac:dyDescent="0.25">
      <c r="A789" t="s">
        <v>37</v>
      </c>
      <c r="B789">
        <v>2</v>
      </c>
      <c r="C789">
        <v>18</v>
      </c>
      <c r="D789">
        <v>2003</v>
      </c>
      <c r="E789">
        <v>140.1</v>
      </c>
      <c r="F789">
        <v>5.7</v>
      </c>
      <c r="G789">
        <v>5.0999999999999996</v>
      </c>
      <c r="H789">
        <v>0.6</v>
      </c>
      <c r="I789">
        <v>10</v>
      </c>
      <c r="J789">
        <v>49.2</v>
      </c>
      <c r="K789">
        <v>616.6</v>
      </c>
      <c r="L789">
        <v>426</v>
      </c>
      <c r="M789">
        <v>415</v>
      </c>
      <c r="N789">
        <v>515</v>
      </c>
      <c r="O789">
        <v>100</v>
      </c>
      <c r="P789">
        <v>372</v>
      </c>
      <c r="Q789">
        <v>526</v>
      </c>
      <c r="R789">
        <v>154</v>
      </c>
      <c r="S789">
        <v>143.1</v>
      </c>
      <c r="T789">
        <v>431</v>
      </c>
      <c r="U789">
        <v>434</v>
      </c>
      <c r="V789">
        <v>500</v>
      </c>
      <c r="W789">
        <v>2.79</v>
      </c>
    </row>
    <row r="790" spans="1:23" x14ac:dyDescent="0.25">
      <c r="A790" t="s">
        <v>37</v>
      </c>
      <c r="B790">
        <v>2</v>
      </c>
      <c r="C790">
        <v>19</v>
      </c>
      <c r="D790">
        <v>2004</v>
      </c>
      <c r="E790">
        <v>142.80000000000001</v>
      </c>
      <c r="F790">
        <v>2.7</v>
      </c>
      <c r="G790">
        <v>1.8</v>
      </c>
      <c r="H790">
        <v>0.9</v>
      </c>
      <c r="I790">
        <v>33</v>
      </c>
      <c r="J790">
        <v>24</v>
      </c>
      <c r="K790">
        <v>640.6</v>
      </c>
      <c r="L790">
        <v>451</v>
      </c>
      <c r="M790">
        <v>413</v>
      </c>
      <c r="N790">
        <v>528</v>
      </c>
      <c r="O790">
        <v>115</v>
      </c>
      <c r="P790">
        <v>379</v>
      </c>
      <c r="Q790">
        <v>557</v>
      </c>
      <c r="R790">
        <v>178</v>
      </c>
      <c r="S790">
        <v>143.1</v>
      </c>
      <c r="T790">
        <v>431</v>
      </c>
      <c r="U790">
        <v>434</v>
      </c>
      <c r="V790">
        <v>500</v>
      </c>
      <c r="W790">
        <v>2.79</v>
      </c>
    </row>
    <row r="791" spans="1:23" x14ac:dyDescent="0.25">
      <c r="A791" t="s">
        <v>37</v>
      </c>
      <c r="B791">
        <v>3</v>
      </c>
      <c r="C791">
        <v>1</v>
      </c>
      <c r="D791">
        <v>1986</v>
      </c>
      <c r="E791">
        <v>11.7</v>
      </c>
      <c r="F791">
        <v>11.7</v>
      </c>
      <c r="G791">
        <v>11.7</v>
      </c>
      <c r="H791">
        <v>0</v>
      </c>
      <c r="I791">
        <v>0</v>
      </c>
      <c r="J791">
        <v>4.3</v>
      </c>
      <c r="K791">
        <v>4.3</v>
      </c>
      <c r="L791">
        <v>376</v>
      </c>
      <c r="M791">
        <v>376</v>
      </c>
      <c r="P791">
        <v>314</v>
      </c>
      <c r="Q791">
        <v>462</v>
      </c>
      <c r="R791">
        <v>148</v>
      </c>
      <c r="S791">
        <v>271.2</v>
      </c>
      <c r="T791">
        <v>404</v>
      </c>
      <c r="U791">
        <v>409</v>
      </c>
      <c r="V791">
        <v>500</v>
      </c>
      <c r="W791">
        <v>2.79</v>
      </c>
    </row>
    <row r="792" spans="1:23" x14ac:dyDescent="0.25">
      <c r="A792" t="s">
        <v>37</v>
      </c>
      <c r="B792">
        <v>3</v>
      </c>
      <c r="C792">
        <v>2</v>
      </c>
      <c r="D792">
        <v>1987</v>
      </c>
      <c r="E792">
        <v>31.2</v>
      </c>
      <c r="F792">
        <v>19.5</v>
      </c>
      <c r="G792">
        <v>19.5</v>
      </c>
      <c r="H792">
        <v>0</v>
      </c>
      <c r="I792">
        <v>0</v>
      </c>
      <c r="J792">
        <v>26.3</v>
      </c>
      <c r="K792">
        <v>30.6</v>
      </c>
      <c r="L792">
        <v>329</v>
      </c>
      <c r="M792">
        <v>329</v>
      </c>
      <c r="P792">
        <v>268</v>
      </c>
      <c r="Q792">
        <v>447</v>
      </c>
      <c r="R792">
        <v>179</v>
      </c>
      <c r="S792">
        <v>271.2</v>
      </c>
      <c r="T792">
        <v>404</v>
      </c>
      <c r="U792">
        <v>409</v>
      </c>
      <c r="V792">
        <v>500</v>
      </c>
      <c r="W792">
        <v>2.79</v>
      </c>
    </row>
    <row r="793" spans="1:23" x14ac:dyDescent="0.25">
      <c r="A793" t="s">
        <v>37</v>
      </c>
      <c r="B793">
        <v>3</v>
      </c>
      <c r="C793">
        <v>3</v>
      </c>
      <c r="D793">
        <v>1988</v>
      </c>
      <c r="E793">
        <v>57.3</v>
      </c>
      <c r="F793">
        <v>26.1</v>
      </c>
      <c r="G793">
        <v>22.2</v>
      </c>
      <c r="H793">
        <v>3.9</v>
      </c>
      <c r="I793">
        <v>14</v>
      </c>
      <c r="J793">
        <v>72.599999999999994</v>
      </c>
      <c r="K793">
        <v>103.1</v>
      </c>
      <c r="L793">
        <v>416</v>
      </c>
      <c r="M793">
        <v>395</v>
      </c>
      <c r="N793">
        <v>531</v>
      </c>
      <c r="O793">
        <v>136</v>
      </c>
      <c r="P793">
        <v>294</v>
      </c>
      <c r="Q793">
        <v>554</v>
      </c>
      <c r="R793">
        <v>260</v>
      </c>
      <c r="S793">
        <v>271.2</v>
      </c>
      <c r="T793">
        <v>404</v>
      </c>
      <c r="U793">
        <v>409</v>
      </c>
      <c r="V793">
        <v>500</v>
      </c>
      <c r="W793">
        <v>2.79</v>
      </c>
    </row>
    <row r="794" spans="1:23" x14ac:dyDescent="0.25">
      <c r="A794" t="s">
        <v>37</v>
      </c>
      <c r="B794">
        <v>3</v>
      </c>
      <c r="C794">
        <v>4</v>
      </c>
      <c r="D794">
        <v>1989</v>
      </c>
      <c r="E794">
        <v>76.2</v>
      </c>
      <c r="F794">
        <v>18.899999999999999</v>
      </c>
      <c r="G794">
        <v>17.7</v>
      </c>
      <c r="H794">
        <v>1.2</v>
      </c>
      <c r="I794">
        <v>6</v>
      </c>
      <c r="J794">
        <v>79.3</v>
      </c>
      <c r="K794">
        <v>182.4</v>
      </c>
      <c r="L794">
        <v>412</v>
      </c>
      <c r="M794">
        <v>404</v>
      </c>
      <c r="N794">
        <v>527</v>
      </c>
      <c r="O794">
        <v>123</v>
      </c>
      <c r="P794">
        <v>337</v>
      </c>
      <c r="Q794">
        <v>549</v>
      </c>
      <c r="R794">
        <v>212</v>
      </c>
      <c r="S794">
        <v>271.2</v>
      </c>
      <c r="T794">
        <v>404</v>
      </c>
      <c r="U794">
        <v>409</v>
      </c>
      <c r="V794">
        <v>500</v>
      </c>
      <c r="W794">
        <v>2.79</v>
      </c>
    </row>
    <row r="795" spans="1:23" x14ac:dyDescent="0.25">
      <c r="A795" t="s">
        <v>37</v>
      </c>
      <c r="B795">
        <v>3</v>
      </c>
      <c r="C795">
        <v>5</v>
      </c>
      <c r="D795">
        <v>1990</v>
      </c>
      <c r="E795">
        <v>88.5</v>
      </c>
      <c r="F795">
        <v>12.3</v>
      </c>
      <c r="G795">
        <v>10.5</v>
      </c>
      <c r="H795">
        <v>1.8</v>
      </c>
      <c r="I795">
        <v>14</v>
      </c>
      <c r="J795">
        <v>63.6</v>
      </c>
      <c r="K795">
        <v>246.1</v>
      </c>
      <c r="L795">
        <v>390</v>
      </c>
      <c r="M795">
        <v>367</v>
      </c>
      <c r="N795">
        <v>521</v>
      </c>
      <c r="O795">
        <v>154</v>
      </c>
      <c r="P795">
        <v>305</v>
      </c>
      <c r="Q795">
        <v>558</v>
      </c>
      <c r="R795">
        <v>253</v>
      </c>
      <c r="S795">
        <v>271.2</v>
      </c>
      <c r="T795">
        <v>404</v>
      </c>
      <c r="U795">
        <v>409</v>
      </c>
      <c r="V795">
        <v>500</v>
      </c>
      <c r="W795">
        <v>2.79</v>
      </c>
    </row>
    <row r="796" spans="1:23" x14ac:dyDescent="0.25">
      <c r="A796" t="s">
        <v>37</v>
      </c>
      <c r="B796">
        <v>3</v>
      </c>
      <c r="C796">
        <v>6</v>
      </c>
      <c r="D796">
        <v>1991</v>
      </c>
      <c r="E796">
        <v>96.9</v>
      </c>
      <c r="F796">
        <v>8.4</v>
      </c>
      <c r="G796">
        <v>7.5</v>
      </c>
      <c r="H796">
        <v>0.9</v>
      </c>
      <c r="I796">
        <v>10</v>
      </c>
      <c r="J796">
        <v>48.9</v>
      </c>
      <c r="K796">
        <v>295</v>
      </c>
      <c r="L796">
        <v>385</v>
      </c>
      <c r="M796">
        <v>366</v>
      </c>
      <c r="N796">
        <v>539</v>
      </c>
      <c r="O796">
        <v>173</v>
      </c>
      <c r="P796">
        <v>283</v>
      </c>
      <c r="Q796">
        <v>560</v>
      </c>
      <c r="R796">
        <v>277</v>
      </c>
      <c r="S796">
        <v>271.2</v>
      </c>
      <c r="T796">
        <v>404</v>
      </c>
      <c r="U796">
        <v>409</v>
      </c>
      <c r="V796">
        <v>500</v>
      </c>
      <c r="W796">
        <v>2.79</v>
      </c>
    </row>
    <row r="797" spans="1:23" x14ac:dyDescent="0.25">
      <c r="A797" t="s">
        <v>37</v>
      </c>
      <c r="B797">
        <v>3</v>
      </c>
      <c r="C797">
        <v>7</v>
      </c>
      <c r="D797">
        <v>1992</v>
      </c>
      <c r="E797">
        <v>108.3</v>
      </c>
      <c r="F797">
        <v>11.4</v>
      </c>
      <c r="G797">
        <v>9.9</v>
      </c>
      <c r="H797">
        <v>1.5</v>
      </c>
      <c r="I797">
        <v>13</v>
      </c>
      <c r="J797">
        <v>73.5</v>
      </c>
      <c r="K797">
        <v>368.5</v>
      </c>
      <c r="L797">
        <v>405</v>
      </c>
      <c r="M797">
        <v>386</v>
      </c>
      <c r="N797">
        <v>535</v>
      </c>
      <c r="O797">
        <v>149</v>
      </c>
      <c r="P797">
        <v>346</v>
      </c>
      <c r="Q797">
        <v>566</v>
      </c>
      <c r="R797">
        <v>220</v>
      </c>
      <c r="S797">
        <v>271.2</v>
      </c>
      <c r="T797">
        <v>404</v>
      </c>
      <c r="U797">
        <v>409</v>
      </c>
      <c r="V797">
        <v>500</v>
      </c>
      <c r="W797">
        <v>2.79</v>
      </c>
    </row>
    <row r="798" spans="1:23" x14ac:dyDescent="0.25">
      <c r="A798" t="s">
        <v>37</v>
      </c>
      <c r="B798">
        <v>3</v>
      </c>
      <c r="C798">
        <v>8</v>
      </c>
      <c r="D798">
        <v>1993</v>
      </c>
      <c r="E798">
        <v>118.8</v>
      </c>
      <c r="F798">
        <v>10.5</v>
      </c>
      <c r="G798">
        <v>8.6999999999999993</v>
      </c>
      <c r="H798">
        <v>1.8</v>
      </c>
      <c r="I798">
        <v>17</v>
      </c>
      <c r="J798">
        <v>74.900000000000006</v>
      </c>
      <c r="K798">
        <v>443.4</v>
      </c>
      <c r="L798">
        <v>397</v>
      </c>
      <c r="M798">
        <v>368</v>
      </c>
      <c r="N798">
        <v>537</v>
      </c>
      <c r="O798">
        <v>169</v>
      </c>
      <c r="P798">
        <v>316</v>
      </c>
      <c r="Q798">
        <v>562</v>
      </c>
      <c r="R798">
        <v>246</v>
      </c>
      <c r="S798">
        <v>271.2</v>
      </c>
      <c r="T798">
        <v>404</v>
      </c>
      <c r="U798">
        <v>409</v>
      </c>
      <c r="V798">
        <v>500</v>
      </c>
      <c r="W798">
        <v>2.79</v>
      </c>
    </row>
    <row r="799" spans="1:23" x14ac:dyDescent="0.25">
      <c r="A799" t="s">
        <v>37</v>
      </c>
      <c r="B799">
        <v>3</v>
      </c>
      <c r="C799">
        <v>9</v>
      </c>
      <c r="D799">
        <v>1994</v>
      </c>
      <c r="E799">
        <v>126</v>
      </c>
      <c r="F799">
        <v>7.2</v>
      </c>
      <c r="G799">
        <v>6.9</v>
      </c>
      <c r="H799">
        <v>0.3</v>
      </c>
      <c r="I799">
        <v>4</v>
      </c>
      <c r="J799">
        <v>55.4</v>
      </c>
      <c r="K799">
        <v>498.8</v>
      </c>
      <c r="L799">
        <v>374</v>
      </c>
      <c r="M799">
        <v>368</v>
      </c>
      <c r="N799">
        <v>505</v>
      </c>
      <c r="O799">
        <v>137</v>
      </c>
      <c r="P799">
        <v>314</v>
      </c>
      <c r="Q799">
        <v>505</v>
      </c>
      <c r="R799">
        <v>191</v>
      </c>
      <c r="S799">
        <v>271.2</v>
      </c>
      <c r="T799">
        <v>404</v>
      </c>
      <c r="U799">
        <v>409</v>
      </c>
      <c r="V799">
        <v>500</v>
      </c>
      <c r="W799">
        <v>2.79</v>
      </c>
    </row>
    <row r="800" spans="1:23" x14ac:dyDescent="0.25">
      <c r="A800" t="s">
        <v>37</v>
      </c>
      <c r="B800">
        <v>3</v>
      </c>
      <c r="C800">
        <v>10</v>
      </c>
      <c r="D800">
        <v>1995</v>
      </c>
      <c r="E800">
        <v>130.80000000000001</v>
      </c>
      <c r="F800">
        <v>4.8</v>
      </c>
      <c r="G800">
        <v>4.2</v>
      </c>
      <c r="H800">
        <v>0.6</v>
      </c>
      <c r="I800">
        <v>12</v>
      </c>
      <c r="J800">
        <v>38.700000000000003</v>
      </c>
      <c r="K800">
        <v>537.5</v>
      </c>
      <c r="L800">
        <v>408</v>
      </c>
      <c r="M800">
        <v>392</v>
      </c>
      <c r="N800">
        <v>520</v>
      </c>
      <c r="O800">
        <v>128</v>
      </c>
      <c r="P800">
        <v>323</v>
      </c>
      <c r="Q800">
        <v>531</v>
      </c>
      <c r="R800">
        <v>208</v>
      </c>
      <c r="S800">
        <v>271.2</v>
      </c>
      <c r="T800">
        <v>404</v>
      </c>
      <c r="U800">
        <v>409</v>
      </c>
      <c r="V800">
        <v>500</v>
      </c>
      <c r="W800">
        <v>2.79</v>
      </c>
    </row>
    <row r="801" spans="1:23" x14ac:dyDescent="0.25">
      <c r="A801" t="s">
        <v>37</v>
      </c>
      <c r="B801">
        <v>3</v>
      </c>
      <c r="C801">
        <v>11</v>
      </c>
      <c r="D801">
        <v>1996</v>
      </c>
      <c r="E801">
        <v>137.4</v>
      </c>
      <c r="F801">
        <v>6.6</v>
      </c>
      <c r="G801">
        <v>5.0999999999999996</v>
      </c>
      <c r="H801">
        <v>1.5</v>
      </c>
      <c r="I801">
        <v>22</v>
      </c>
      <c r="J801">
        <v>55.6</v>
      </c>
      <c r="K801">
        <v>593.1</v>
      </c>
      <c r="L801">
        <v>416</v>
      </c>
      <c r="M801">
        <v>375</v>
      </c>
      <c r="N801">
        <v>554</v>
      </c>
      <c r="O801">
        <v>179</v>
      </c>
      <c r="P801">
        <v>340</v>
      </c>
      <c r="Q801">
        <v>587</v>
      </c>
      <c r="R801">
        <v>247</v>
      </c>
      <c r="S801">
        <v>271.2</v>
      </c>
      <c r="T801">
        <v>404</v>
      </c>
      <c r="U801">
        <v>409</v>
      </c>
      <c r="V801">
        <v>500</v>
      </c>
      <c r="W801">
        <v>2.79</v>
      </c>
    </row>
    <row r="802" spans="1:23" x14ac:dyDescent="0.25">
      <c r="A802" t="s">
        <v>37</v>
      </c>
      <c r="B802">
        <v>3</v>
      </c>
      <c r="C802">
        <v>12</v>
      </c>
      <c r="D802">
        <v>1997</v>
      </c>
      <c r="E802">
        <v>145.80000000000001</v>
      </c>
      <c r="F802">
        <v>8.4</v>
      </c>
      <c r="G802">
        <v>6.9</v>
      </c>
      <c r="H802">
        <v>1.5</v>
      </c>
      <c r="I802">
        <v>17</v>
      </c>
      <c r="J802">
        <v>74.7</v>
      </c>
      <c r="K802">
        <v>667.8</v>
      </c>
      <c r="L802">
        <v>449</v>
      </c>
      <c r="M802">
        <v>423</v>
      </c>
      <c r="N802">
        <v>571</v>
      </c>
      <c r="O802">
        <v>148</v>
      </c>
      <c r="P802">
        <v>359</v>
      </c>
      <c r="Q802">
        <v>595</v>
      </c>
      <c r="R802">
        <v>236</v>
      </c>
      <c r="S802">
        <v>271.2</v>
      </c>
      <c r="T802">
        <v>404</v>
      </c>
      <c r="U802">
        <v>409</v>
      </c>
      <c r="V802">
        <v>500</v>
      </c>
      <c r="W802">
        <v>2.79</v>
      </c>
    </row>
    <row r="803" spans="1:23" x14ac:dyDescent="0.25">
      <c r="A803" t="s">
        <v>37</v>
      </c>
      <c r="B803">
        <v>3</v>
      </c>
      <c r="C803">
        <v>13</v>
      </c>
      <c r="D803">
        <v>1998</v>
      </c>
      <c r="E803">
        <v>152.69999999999999</v>
      </c>
      <c r="F803">
        <v>6.9</v>
      </c>
      <c r="G803">
        <v>5.7</v>
      </c>
      <c r="H803">
        <v>1.2</v>
      </c>
      <c r="I803">
        <v>17</v>
      </c>
      <c r="J803">
        <v>64.7</v>
      </c>
      <c r="K803">
        <v>732.5</v>
      </c>
      <c r="L803">
        <v>432</v>
      </c>
      <c r="M803">
        <v>408</v>
      </c>
      <c r="N803">
        <v>544</v>
      </c>
      <c r="O803">
        <v>136</v>
      </c>
      <c r="P803">
        <v>333</v>
      </c>
      <c r="Q803">
        <v>569</v>
      </c>
      <c r="R803">
        <v>236</v>
      </c>
      <c r="S803">
        <v>271.2</v>
      </c>
      <c r="T803">
        <v>404</v>
      </c>
      <c r="U803">
        <v>409</v>
      </c>
      <c r="V803">
        <v>500</v>
      </c>
      <c r="W803">
        <v>2.79</v>
      </c>
    </row>
    <row r="804" spans="1:23" x14ac:dyDescent="0.25">
      <c r="A804" t="s">
        <v>37</v>
      </c>
      <c r="B804">
        <v>3</v>
      </c>
      <c r="C804">
        <v>14</v>
      </c>
      <c r="D804">
        <v>1999</v>
      </c>
      <c r="E804">
        <v>162</v>
      </c>
      <c r="F804">
        <v>9.3000000000000007</v>
      </c>
      <c r="G804">
        <v>9.3000000000000007</v>
      </c>
      <c r="H804">
        <v>0</v>
      </c>
      <c r="I804">
        <v>0</v>
      </c>
      <c r="J804">
        <v>91.9</v>
      </c>
      <c r="K804">
        <v>824.5</v>
      </c>
      <c r="L804">
        <v>388</v>
      </c>
      <c r="M804">
        <v>388</v>
      </c>
      <c r="P804">
        <v>344</v>
      </c>
      <c r="Q804">
        <v>493</v>
      </c>
      <c r="R804">
        <v>149</v>
      </c>
      <c r="S804">
        <v>271.2</v>
      </c>
      <c r="T804">
        <v>404</v>
      </c>
      <c r="U804">
        <v>409</v>
      </c>
      <c r="V804">
        <v>500</v>
      </c>
      <c r="W804">
        <v>2.79</v>
      </c>
    </row>
    <row r="805" spans="1:23" x14ac:dyDescent="0.25">
      <c r="A805" t="s">
        <v>37</v>
      </c>
      <c r="B805">
        <v>3</v>
      </c>
      <c r="C805">
        <v>15</v>
      </c>
      <c r="D805">
        <v>2000</v>
      </c>
      <c r="E805">
        <v>168</v>
      </c>
      <c r="F805">
        <v>6</v>
      </c>
      <c r="G805">
        <v>5.4</v>
      </c>
      <c r="H805">
        <v>0.6</v>
      </c>
      <c r="I805">
        <v>10</v>
      </c>
      <c r="J805">
        <v>62.2</v>
      </c>
      <c r="K805">
        <v>886.7</v>
      </c>
      <c r="L805">
        <v>386</v>
      </c>
      <c r="M805">
        <v>370</v>
      </c>
      <c r="N805">
        <v>529</v>
      </c>
      <c r="O805">
        <v>159</v>
      </c>
      <c r="P805">
        <v>305</v>
      </c>
      <c r="Q805">
        <v>534</v>
      </c>
      <c r="R805">
        <v>229</v>
      </c>
      <c r="S805">
        <v>271.2</v>
      </c>
      <c r="T805">
        <v>404</v>
      </c>
      <c r="U805">
        <v>409</v>
      </c>
      <c r="V805">
        <v>500</v>
      </c>
      <c r="W805">
        <v>2.79</v>
      </c>
    </row>
    <row r="806" spans="1:23" x14ac:dyDescent="0.25">
      <c r="A806" t="s">
        <v>37</v>
      </c>
      <c r="B806">
        <v>3</v>
      </c>
      <c r="C806">
        <v>16</v>
      </c>
      <c r="D806">
        <v>2001</v>
      </c>
      <c r="E806">
        <v>177.9</v>
      </c>
      <c r="F806">
        <v>9.9</v>
      </c>
      <c r="G806">
        <v>8.1</v>
      </c>
      <c r="H806">
        <v>1.8</v>
      </c>
      <c r="I806">
        <v>18</v>
      </c>
      <c r="J806">
        <v>107.6</v>
      </c>
      <c r="K806">
        <v>994.3</v>
      </c>
      <c r="L806">
        <v>438</v>
      </c>
      <c r="M806">
        <v>410</v>
      </c>
      <c r="N806">
        <v>561</v>
      </c>
      <c r="O806">
        <v>151</v>
      </c>
      <c r="P806">
        <v>354</v>
      </c>
      <c r="Q806">
        <v>614</v>
      </c>
      <c r="R806">
        <v>260</v>
      </c>
      <c r="S806">
        <v>271.2</v>
      </c>
      <c r="T806">
        <v>404</v>
      </c>
      <c r="U806">
        <v>409</v>
      </c>
      <c r="V806">
        <v>500</v>
      </c>
      <c r="W806">
        <v>2.79</v>
      </c>
    </row>
    <row r="807" spans="1:23" x14ac:dyDescent="0.25">
      <c r="A807" t="s">
        <v>37</v>
      </c>
      <c r="B807">
        <v>3</v>
      </c>
      <c r="C807">
        <v>17</v>
      </c>
      <c r="D807">
        <v>2002</v>
      </c>
      <c r="E807">
        <v>190.2</v>
      </c>
      <c r="F807">
        <v>12.3</v>
      </c>
      <c r="G807">
        <v>10.199999999999999</v>
      </c>
      <c r="H807">
        <v>2.1</v>
      </c>
      <c r="I807">
        <v>17</v>
      </c>
      <c r="J807">
        <v>142.19999999999999</v>
      </c>
      <c r="K807">
        <v>1136.5</v>
      </c>
      <c r="L807">
        <v>423</v>
      </c>
      <c r="M807">
        <v>397</v>
      </c>
      <c r="N807">
        <v>553</v>
      </c>
      <c r="O807">
        <v>156</v>
      </c>
      <c r="P807">
        <v>344</v>
      </c>
      <c r="Q807">
        <v>595</v>
      </c>
      <c r="R807">
        <v>251</v>
      </c>
      <c r="S807">
        <v>271.2</v>
      </c>
      <c r="T807">
        <v>404</v>
      </c>
      <c r="U807">
        <v>409</v>
      </c>
      <c r="V807">
        <v>500</v>
      </c>
      <c r="W807">
        <v>2.79</v>
      </c>
    </row>
    <row r="808" spans="1:23" x14ac:dyDescent="0.25">
      <c r="A808" t="s">
        <v>37</v>
      </c>
      <c r="B808">
        <v>3</v>
      </c>
      <c r="C808">
        <v>18</v>
      </c>
      <c r="D808">
        <v>2003</v>
      </c>
      <c r="E808">
        <v>200.4</v>
      </c>
      <c r="F808">
        <v>10.199999999999999</v>
      </c>
      <c r="G808">
        <v>9.3000000000000007</v>
      </c>
      <c r="H808">
        <v>0.9</v>
      </c>
      <c r="I808">
        <v>8</v>
      </c>
      <c r="J808">
        <v>125.2</v>
      </c>
      <c r="K808">
        <v>1261.7</v>
      </c>
      <c r="L808">
        <v>398</v>
      </c>
      <c r="M808">
        <v>388</v>
      </c>
      <c r="N808">
        <v>502</v>
      </c>
      <c r="O808">
        <v>114</v>
      </c>
      <c r="P808">
        <v>351</v>
      </c>
      <c r="Q808">
        <v>503</v>
      </c>
      <c r="R808">
        <v>152</v>
      </c>
      <c r="S808">
        <v>271.2</v>
      </c>
      <c r="T808">
        <v>404</v>
      </c>
      <c r="U808">
        <v>409</v>
      </c>
      <c r="V808">
        <v>500</v>
      </c>
      <c r="W808">
        <v>2.79</v>
      </c>
    </row>
    <row r="809" spans="1:23" x14ac:dyDescent="0.25">
      <c r="A809" t="s">
        <v>37</v>
      </c>
      <c r="B809">
        <v>3</v>
      </c>
      <c r="C809">
        <v>19</v>
      </c>
      <c r="D809">
        <v>2004</v>
      </c>
      <c r="E809">
        <v>208.2</v>
      </c>
      <c r="F809">
        <v>7.8</v>
      </c>
      <c r="G809">
        <v>6</v>
      </c>
      <c r="H809">
        <v>1.8</v>
      </c>
      <c r="I809">
        <v>23</v>
      </c>
      <c r="J809">
        <v>100.1</v>
      </c>
      <c r="K809">
        <v>1361.8</v>
      </c>
      <c r="L809">
        <v>407</v>
      </c>
      <c r="M809">
        <v>373</v>
      </c>
      <c r="N809">
        <v>523</v>
      </c>
      <c r="O809">
        <v>150</v>
      </c>
      <c r="P809">
        <v>320</v>
      </c>
      <c r="Q809">
        <v>541</v>
      </c>
      <c r="R809">
        <v>221</v>
      </c>
      <c r="S809">
        <v>271.2</v>
      </c>
      <c r="T809">
        <v>404</v>
      </c>
      <c r="U809">
        <v>409</v>
      </c>
      <c r="V809">
        <v>500</v>
      </c>
      <c r="W809">
        <v>2.79</v>
      </c>
    </row>
    <row r="810" spans="1:23" x14ac:dyDescent="0.25">
      <c r="A810" t="s">
        <v>37</v>
      </c>
      <c r="B810">
        <v>3</v>
      </c>
      <c r="C810">
        <v>20</v>
      </c>
      <c r="D810">
        <v>2005</v>
      </c>
      <c r="E810">
        <v>215.4</v>
      </c>
      <c r="F810">
        <v>7.2</v>
      </c>
      <c r="G810">
        <v>6.9</v>
      </c>
      <c r="H810">
        <v>0.3</v>
      </c>
      <c r="I810">
        <v>4</v>
      </c>
      <c r="J810">
        <v>95.8</v>
      </c>
      <c r="K810">
        <v>1457.6</v>
      </c>
      <c r="L810">
        <v>401</v>
      </c>
      <c r="M810">
        <v>396</v>
      </c>
      <c r="N810">
        <v>514</v>
      </c>
      <c r="O810">
        <v>118</v>
      </c>
      <c r="P810">
        <v>329</v>
      </c>
      <c r="Q810">
        <v>514</v>
      </c>
      <c r="R810">
        <v>185</v>
      </c>
      <c r="S810">
        <v>271.2</v>
      </c>
      <c r="T810">
        <v>404</v>
      </c>
      <c r="U810">
        <v>409</v>
      </c>
      <c r="V810">
        <v>500</v>
      </c>
      <c r="W810">
        <v>2.79</v>
      </c>
    </row>
    <row r="811" spans="1:23" x14ac:dyDescent="0.25">
      <c r="A811" t="s">
        <v>37</v>
      </c>
      <c r="B811">
        <v>3</v>
      </c>
      <c r="C811">
        <v>21</v>
      </c>
      <c r="D811">
        <v>2006</v>
      </c>
      <c r="E811">
        <v>222.9</v>
      </c>
      <c r="F811">
        <v>7.5</v>
      </c>
      <c r="G811">
        <v>6.9</v>
      </c>
      <c r="H811">
        <v>0.6</v>
      </c>
      <c r="I811">
        <v>8</v>
      </c>
      <c r="J811">
        <v>103.3</v>
      </c>
      <c r="K811">
        <v>1560.9</v>
      </c>
      <c r="L811">
        <v>399</v>
      </c>
      <c r="M811">
        <v>388</v>
      </c>
      <c r="N811">
        <v>521</v>
      </c>
      <c r="O811">
        <v>133</v>
      </c>
      <c r="P811">
        <v>315</v>
      </c>
      <c r="Q811">
        <v>527</v>
      </c>
      <c r="R811">
        <v>212</v>
      </c>
      <c r="S811">
        <v>271.2</v>
      </c>
      <c r="T811">
        <v>404</v>
      </c>
      <c r="U811">
        <v>409</v>
      </c>
      <c r="V811">
        <v>500</v>
      </c>
      <c r="W811">
        <v>2.79</v>
      </c>
    </row>
    <row r="812" spans="1:23" x14ac:dyDescent="0.25">
      <c r="A812" t="s">
        <v>37</v>
      </c>
      <c r="B812">
        <v>3</v>
      </c>
      <c r="C812">
        <v>22</v>
      </c>
      <c r="D812">
        <v>2007</v>
      </c>
      <c r="E812">
        <v>231</v>
      </c>
      <c r="F812">
        <v>8.1</v>
      </c>
      <c r="G812">
        <v>6</v>
      </c>
      <c r="H812">
        <v>2.1</v>
      </c>
      <c r="I812">
        <v>25</v>
      </c>
      <c r="J812">
        <v>115.5</v>
      </c>
      <c r="K812">
        <v>1676.4</v>
      </c>
      <c r="L812">
        <v>425</v>
      </c>
      <c r="M812">
        <v>382</v>
      </c>
      <c r="N812">
        <v>547</v>
      </c>
      <c r="O812">
        <v>165</v>
      </c>
      <c r="P812">
        <v>305</v>
      </c>
      <c r="Q812">
        <v>599</v>
      </c>
      <c r="R812">
        <v>294</v>
      </c>
      <c r="S812">
        <v>271.2</v>
      </c>
      <c r="T812">
        <v>404</v>
      </c>
      <c r="U812">
        <v>409</v>
      </c>
      <c r="V812">
        <v>500</v>
      </c>
      <c r="W812">
        <v>2.79</v>
      </c>
    </row>
    <row r="813" spans="1:23" x14ac:dyDescent="0.25">
      <c r="A813" t="s">
        <v>37</v>
      </c>
      <c r="B813">
        <v>3</v>
      </c>
      <c r="C813">
        <v>23</v>
      </c>
      <c r="D813">
        <v>2008</v>
      </c>
      <c r="E813">
        <v>240.6</v>
      </c>
      <c r="F813">
        <v>9.6</v>
      </c>
      <c r="G813">
        <v>8.4</v>
      </c>
      <c r="H813">
        <v>1.2</v>
      </c>
      <c r="I813">
        <v>12</v>
      </c>
      <c r="J813">
        <v>142.19999999999999</v>
      </c>
      <c r="K813">
        <v>1818.6</v>
      </c>
      <c r="L813">
        <v>417</v>
      </c>
      <c r="M813">
        <v>399</v>
      </c>
      <c r="N813">
        <v>547</v>
      </c>
      <c r="O813">
        <v>148</v>
      </c>
      <c r="P813">
        <v>330</v>
      </c>
      <c r="Q813">
        <v>580</v>
      </c>
      <c r="R813">
        <v>250</v>
      </c>
      <c r="S813">
        <v>271.2</v>
      </c>
      <c r="T813">
        <v>404</v>
      </c>
      <c r="U813">
        <v>409</v>
      </c>
      <c r="V813">
        <v>500</v>
      </c>
      <c r="W813">
        <v>2.79</v>
      </c>
    </row>
    <row r="814" spans="1:23" x14ac:dyDescent="0.25">
      <c r="A814" t="s">
        <v>37</v>
      </c>
      <c r="B814">
        <v>3</v>
      </c>
      <c r="C814">
        <v>24</v>
      </c>
      <c r="D814">
        <v>2009</v>
      </c>
      <c r="E814">
        <v>248.4</v>
      </c>
      <c r="F814">
        <v>7.8</v>
      </c>
      <c r="G814">
        <v>6.6</v>
      </c>
      <c r="H814">
        <v>1.2</v>
      </c>
      <c r="I814">
        <v>15</v>
      </c>
      <c r="J814">
        <v>119.8</v>
      </c>
      <c r="K814">
        <v>1938.4</v>
      </c>
      <c r="L814">
        <v>435</v>
      </c>
      <c r="M814">
        <v>410</v>
      </c>
      <c r="N814">
        <v>570</v>
      </c>
      <c r="O814">
        <v>160</v>
      </c>
      <c r="P814">
        <v>337</v>
      </c>
      <c r="Q814">
        <v>583</v>
      </c>
      <c r="R814">
        <v>246</v>
      </c>
      <c r="S814">
        <v>271.2</v>
      </c>
      <c r="T814">
        <v>404</v>
      </c>
      <c r="U814">
        <v>409</v>
      </c>
      <c r="V814">
        <v>500</v>
      </c>
      <c r="W814">
        <v>2.79</v>
      </c>
    </row>
    <row r="815" spans="1:23" x14ac:dyDescent="0.25">
      <c r="A815" t="s">
        <v>37</v>
      </c>
      <c r="B815">
        <v>3</v>
      </c>
      <c r="C815">
        <v>25</v>
      </c>
      <c r="D815">
        <v>2010</v>
      </c>
      <c r="E815">
        <v>256.5</v>
      </c>
      <c r="F815">
        <v>8.1</v>
      </c>
      <c r="G815">
        <v>6.3</v>
      </c>
      <c r="H815">
        <v>1.8</v>
      </c>
      <c r="I815">
        <v>22</v>
      </c>
      <c r="J815">
        <v>128.5</v>
      </c>
      <c r="K815">
        <v>2066.9</v>
      </c>
      <c r="L815">
        <v>421</v>
      </c>
      <c r="M815">
        <v>384</v>
      </c>
      <c r="N815">
        <v>553</v>
      </c>
      <c r="O815">
        <v>169</v>
      </c>
      <c r="P815">
        <v>322</v>
      </c>
      <c r="Q815">
        <v>583</v>
      </c>
      <c r="R815">
        <v>261</v>
      </c>
      <c r="S815">
        <v>271.2</v>
      </c>
      <c r="T815">
        <v>404</v>
      </c>
      <c r="U815">
        <v>409</v>
      </c>
      <c r="V815">
        <v>500</v>
      </c>
      <c r="W815">
        <v>2.79</v>
      </c>
    </row>
    <row r="816" spans="1:23" x14ac:dyDescent="0.25">
      <c r="A816" t="s">
        <v>37</v>
      </c>
      <c r="B816">
        <v>3</v>
      </c>
      <c r="C816">
        <v>26</v>
      </c>
      <c r="D816">
        <v>2011</v>
      </c>
      <c r="E816">
        <v>265.2</v>
      </c>
      <c r="F816">
        <v>8.6999999999999993</v>
      </c>
      <c r="G816">
        <v>7.5</v>
      </c>
      <c r="H816">
        <v>1.2</v>
      </c>
      <c r="I816">
        <v>13</v>
      </c>
      <c r="J816">
        <v>142.6</v>
      </c>
      <c r="K816">
        <v>2209.5</v>
      </c>
      <c r="L816">
        <v>405</v>
      </c>
      <c r="M816">
        <v>384</v>
      </c>
      <c r="N816">
        <v>537</v>
      </c>
      <c r="O816">
        <v>153</v>
      </c>
      <c r="P816">
        <v>320</v>
      </c>
      <c r="Q816">
        <v>552</v>
      </c>
      <c r="R816">
        <v>232</v>
      </c>
      <c r="S816">
        <v>271.2</v>
      </c>
      <c r="T816">
        <v>404</v>
      </c>
      <c r="U816">
        <v>409</v>
      </c>
      <c r="V816">
        <v>500</v>
      </c>
      <c r="W816">
        <v>2.79</v>
      </c>
    </row>
    <row r="817" spans="1:23" x14ac:dyDescent="0.25">
      <c r="A817" t="s">
        <v>37</v>
      </c>
      <c r="B817">
        <v>3</v>
      </c>
      <c r="C817">
        <v>27</v>
      </c>
      <c r="D817">
        <v>2012</v>
      </c>
      <c r="E817">
        <v>271.2</v>
      </c>
      <c r="F817">
        <v>6</v>
      </c>
      <c r="G817">
        <v>5.7</v>
      </c>
      <c r="H817">
        <v>0.3</v>
      </c>
      <c r="I817">
        <v>5</v>
      </c>
      <c r="J817">
        <v>101.1</v>
      </c>
      <c r="K817">
        <v>2310.6</v>
      </c>
      <c r="L817">
        <v>389</v>
      </c>
      <c r="M817">
        <v>382</v>
      </c>
      <c r="N817">
        <v>532</v>
      </c>
      <c r="O817">
        <v>150</v>
      </c>
      <c r="P817">
        <v>308</v>
      </c>
      <c r="Q817">
        <v>532</v>
      </c>
      <c r="R817">
        <v>224</v>
      </c>
      <c r="S817">
        <v>271.2</v>
      </c>
      <c r="T817">
        <v>404</v>
      </c>
      <c r="U817">
        <v>409</v>
      </c>
      <c r="V817">
        <v>500</v>
      </c>
      <c r="W817">
        <v>2.79</v>
      </c>
    </row>
    <row r="818" spans="1:23" x14ac:dyDescent="0.25">
      <c r="A818" t="s">
        <v>37</v>
      </c>
      <c r="B818">
        <v>4</v>
      </c>
      <c r="C818">
        <v>2</v>
      </c>
      <c r="D818">
        <v>1987</v>
      </c>
      <c r="E818">
        <v>26.3</v>
      </c>
      <c r="F818">
        <v>26.3</v>
      </c>
      <c r="G818">
        <v>18</v>
      </c>
      <c r="H818">
        <v>0.3</v>
      </c>
      <c r="I818">
        <v>1</v>
      </c>
      <c r="J818">
        <v>21.7</v>
      </c>
      <c r="K818">
        <v>21.7</v>
      </c>
      <c r="L818">
        <v>317</v>
      </c>
      <c r="M818">
        <v>314</v>
      </c>
      <c r="N818">
        <v>502</v>
      </c>
      <c r="O818">
        <v>188</v>
      </c>
      <c r="P818">
        <v>233</v>
      </c>
      <c r="Q818">
        <v>502</v>
      </c>
      <c r="R818">
        <v>269</v>
      </c>
      <c r="S818">
        <v>217.8</v>
      </c>
      <c r="T818">
        <v>383</v>
      </c>
      <c r="U818">
        <v>385</v>
      </c>
      <c r="V818">
        <v>500</v>
      </c>
      <c r="W818">
        <v>2.79</v>
      </c>
    </row>
    <row r="819" spans="1:23" x14ac:dyDescent="0.25">
      <c r="A819" t="s">
        <v>37</v>
      </c>
      <c r="B819">
        <v>4</v>
      </c>
      <c r="C819">
        <v>3</v>
      </c>
      <c r="D819">
        <v>1988</v>
      </c>
      <c r="E819">
        <v>42.2</v>
      </c>
      <c r="F819">
        <v>15.9</v>
      </c>
      <c r="G819">
        <v>15.3</v>
      </c>
      <c r="H819">
        <v>0.6</v>
      </c>
      <c r="I819">
        <v>3</v>
      </c>
      <c r="J819">
        <v>34.200000000000003</v>
      </c>
      <c r="K819">
        <v>55.9</v>
      </c>
      <c r="L819">
        <v>334</v>
      </c>
      <c r="M819">
        <v>327</v>
      </c>
      <c r="N819">
        <v>512</v>
      </c>
      <c r="O819">
        <v>185</v>
      </c>
      <c r="P819">
        <v>260</v>
      </c>
      <c r="Q819">
        <v>521</v>
      </c>
      <c r="R819">
        <v>261</v>
      </c>
      <c r="S819">
        <v>217.8</v>
      </c>
      <c r="T819">
        <v>383</v>
      </c>
      <c r="U819">
        <v>385</v>
      </c>
      <c r="V819">
        <v>500</v>
      </c>
      <c r="W819">
        <v>2.79</v>
      </c>
    </row>
    <row r="820" spans="1:23" x14ac:dyDescent="0.25">
      <c r="A820" t="s">
        <v>37</v>
      </c>
      <c r="B820">
        <v>4</v>
      </c>
      <c r="C820">
        <v>4</v>
      </c>
      <c r="D820">
        <v>1989</v>
      </c>
      <c r="E820">
        <v>57.5</v>
      </c>
      <c r="F820">
        <v>15.3</v>
      </c>
      <c r="G820">
        <v>14.7</v>
      </c>
      <c r="H820">
        <v>0.6</v>
      </c>
      <c r="I820">
        <v>3</v>
      </c>
      <c r="J820">
        <v>47.9</v>
      </c>
      <c r="K820">
        <v>103.9</v>
      </c>
      <c r="L820">
        <v>347</v>
      </c>
      <c r="M820">
        <v>340</v>
      </c>
      <c r="N820">
        <v>527</v>
      </c>
      <c r="O820">
        <v>187</v>
      </c>
      <c r="P820">
        <v>272</v>
      </c>
      <c r="Q820">
        <v>542</v>
      </c>
      <c r="R820">
        <v>270</v>
      </c>
      <c r="S820">
        <v>217.8</v>
      </c>
      <c r="T820">
        <v>383</v>
      </c>
      <c r="U820">
        <v>385</v>
      </c>
      <c r="V820">
        <v>500</v>
      </c>
      <c r="W820">
        <v>2.79</v>
      </c>
    </row>
    <row r="821" spans="1:23" x14ac:dyDescent="0.25">
      <c r="A821" t="s">
        <v>37</v>
      </c>
      <c r="B821">
        <v>4</v>
      </c>
      <c r="C821">
        <v>5</v>
      </c>
      <c r="D821">
        <v>1990</v>
      </c>
      <c r="E821">
        <v>68.599999999999994</v>
      </c>
      <c r="F821">
        <v>11.1</v>
      </c>
      <c r="G821">
        <v>10.8</v>
      </c>
      <c r="H821">
        <v>0.3</v>
      </c>
      <c r="I821">
        <v>2</v>
      </c>
      <c r="J821">
        <v>44</v>
      </c>
      <c r="K821">
        <v>147.80000000000001</v>
      </c>
      <c r="L821">
        <v>351</v>
      </c>
      <c r="M821">
        <v>347</v>
      </c>
      <c r="N821">
        <v>512</v>
      </c>
      <c r="O821">
        <v>165</v>
      </c>
      <c r="P821">
        <v>299</v>
      </c>
      <c r="Q821">
        <v>512</v>
      </c>
      <c r="R821">
        <v>213</v>
      </c>
      <c r="S821">
        <v>217.8</v>
      </c>
      <c r="T821">
        <v>383</v>
      </c>
      <c r="U821">
        <v>385</v>
      </c>
      <c r="V821">
        <v>500</v>
      </c>
      <c r="W821">
        <v>2.79</v>
      </c>
    </row>
    <row r="822" spans="1:23" x14ac:dyDescent="0.25">
      <c r="A822" t="s">
        <v>37</v>
      </c>
      <c r="B822">
        <v>4</v>
      </c>
      <c r="C822">
        <v>6</v>
      </c>
      <c r="D822">
        <v>1991</v>
      </c>
      <c r="E822">
        <v>76.099999999999994</v>
      </c>
      <c r="F822">
        <v>7.5</v>
      </c>
      <c r="G822">
        <v>6.6</v>
      </c>
      <c r="H822">
        <v>0.9</v>
      </c>
      <c r="I822">
        <v>12</v>
      </c>
      <c r="J822">
        <v>34.1</v>
      </c>
      <c r="K822">
        <v>181.9</v>
      </c>
      <c r="L822">
        <v>384</v>
      </c>
      <c r="M822">
        <v>360</v>
      </c>
      <c r="N822">
        <v>562</v>
      </c>
      <c r="O822">
        <v>202</v>
      </c>
      <c r="P822">
        <v>287</v>
      </c>
      <c r="Q822">
        <v>605</v>
      </c>
      <c r="R822">
        <v>318</v>
      </c>
      <c r="S822">
        <v>217.8</v>
      </c>
      <c r="T822">
        <v>383</v>
      </c>
      <c r="U822">
        <v>385</v>
      </c>
      <c r="V822">
        <v>500</v>
      </c>
      <c r="W822">
        <v>2.79</v>
      </c>
    </row>
    <row r="823" spans="1:23" x14ac:dyDescent="0.25">
      <c r="A823" t="s">
        <v>37</v>
      </c>
      <c r="B823">
        <v>4</v>
      </c>
      <c r="C823">
        <v>7</v>
      </c>
      <c r="D823">
        <v>1992</v>
      </c>
      <c r="E823">
        <v>84.8</v>
      </c>
      <c r="F823">
        <v>8.6999999999999993</v>
      </c>
      <c r="G823">
        <v>7.5</v>
      </c>
      <c r="H823">
        <v>1.2</v>
      </c>
      <c r="I823">
        <v>13</v>
      </c>
      <c r="J823">
        <v>44</v>
      </c>
      <c r="K823">
        <v>225.9</v>
      </c>
      <c r="L823">
        <v>399</v>
      </c>
      <c r="M823">
        <v>378</v>
      </c>
      <c r="N823">
        <v>531</v>
      </c>
      <c r="O823">
        <v>153</v>
      </c>
      <c r="P823">
        <v>332</v>
      </c>
      <c r="Q823">
        <v>554</v>
      </c>
      <c r="R823">
        <v>222</v>
      </c>
      <c r="S823">
        <v>217.8</v>
      </c>
      <c r="T823">
        <v>383</v>
      </c>
      <c r="U823">
        <v>385</v>
      </c>
      <c r="V823">
        <v>500</v>
      </c>
      <c r="W823">
        <v>2.79</v>
      </c>
    </row>
    <row r="824" spans="1:23" x14ac:dyDescent="0.25">
      <c r="A824" t="s">
        <v>37</v>
      </c>
      <c r="B824">
        <v>4</v>
      </c>
      <c r="C824">
        <v>8</v>
      </c>
      <c r="D824">
        <v>1993</v>
      </c>
      <c r="E824">
        <v>91.7</v>
      </c>
      <c r="F824">
        <v>6.9</v>
      </c>
      <c r="G824">
        <v>6.3</v>
      </c>
      <c r="H824">
        <v>0.6</v>
      </c>
      <c r="I824">
        <v>8</v>
      </c>
      <c r="J824">
        <v>38.299999999999997</v>
      </c>
      <c r="K824">
        <v>264.2</v>
      </c>
      <c r="L824">
        <v>395</v>
      </c>
      <c r="M824">
        <v>378</v>
      </c>
      <c r="N824">
        <v>575</v>
      </c>
      <c r="O824">
        <v>197</v>
      </c>
      <c r="P824">
        <v>330</v>
      </c>
      <c r="Q824">
        <v>594</v>
      </c>
      <c r="R824">
        <v>264</v>
      </c>
      <c r="S824">
        <v>217.8</v>
      </c>
      <c r="T824">
        <v>383</v>
      </c>
      <c r="U824">
        <v>385</v>
      </c>
      <c r="V824">
        <v>500</v>
      </c>
      <c r="W824">
        <v>2.79</v>
      </c>
    </row>
    <row r="825" spans="1:23" x14ac:dyDescent="0.25">
      <c r="A825" t="s">
        <v>37</v>
      </c>
      <c r="B825">
        <v>4</v>
      </c>
      <c r="C825">
        <v>9</v>
      </c>
      <c r="D825">
        <v>1994</v>
      </c>
      <c r="E825">
        <v>98</v>
      </c>
      <c r="F825">
        <v>6.3</v>
      </c>
      <c r="G825">
        <v>5.4</v>
      </c>
      <c r="H825">
        <v>0.9</v>
      </c>
      <c r="I825">
        <v>14</v>
      </c>
      <c r="J825">
        <v>37.5</v>
      </c>
      <c r="K825">
        <v>301.7</v>
      </c>
      <c r="L825">
        <v>415</v>
      </c>
      <c r="M825">
        <v>388</v>
      </c>
      <c r="N825">
        <v>576</v>
      </c>
      <c r="O825">
        <v>188</v>
      </c>
      <c r="P825">
        <v>295</v>
      </c>
      <c r="Q825">
        <v>592</v>
      </c>
      <c r="R825">
        <v>297</v>
      </c>
      <c r="S825">
        <v>217.8</v>
      </c>
      <c r="T825">
        <v>383</v>
      </c>
      <c r="U825">
        <v>385</v>
      </c>
      <c r="V825">
        <v>500</v>
      </c>
      <c r="W825">
        <v>2.79</v>
      </c>
    </row>
    <row r="826" spans="1:23" x14ac:dyDescent="0.25">
      <c r="A826" t="s">
        <v>37</v>
      </c>
      <c r="B826">
        <v>4</v>
      </c>
      <c r="C826">
        <v>10</v>
      </c>
      <c r="D826">
        <v>1995</v>
      </c>
      <c r="E826">
        <v>103.7</v>
      </c>
      <c r="F826">
        <v>5.7</v>
      </c>
      <c r="G826">
        <v>5.4</v>
      </c>
      <c r="H826">
        <v>0.3</v>
      </c>
      <c r="I826">
        <v>5</v>
      </c>
      <c r="J826">
        <v>36.1</v>
      </c>
      <c r="K826">
        <v>337.8</v>
      </c>
      <c r="L826">
        <v>399</v>
      </c>
      <c r="M826">
        <v>390</v>
      </c>
      <c r="N826">
        <v>561</v>
      </c>
      <c r="O826">
        <v>171</v>
      </c>
      <c r="P826">
        <v>342</v>
      </c>
      <c r="Q826">
        <v>561</v>
      </c>
      <c r="R826">
        <v>219</v>
      </c>
      <c r="S826">
        <v>217.8</v>
      </c>
      <c r="T826">
        <v>383</v>
      </c>
      <c r="U826">
        <v>385</v>
      </c>
      <c r="V826">
        <v>500</v>
      </c>
      <c r="W826">
        <v>2.79</v>
      </c>
    </row>
    <row r="827" spans="1:23" x14ac:dyDescent="0.25">
      <c r="A827" t="s">
        <v>37</v>
      </c>
      <c r="B827">
        <v>4</v>
      </c>
      <c r="C827">
        <v>11</v>
      </c>
      <c r="D827">
        <v>1996</v>
      </c>
      <c r="E827">
        <v>114.2</v>
      </c>
      <c r="F827">
        <v>10.5</v>
      </c>
      <c r="G827">
        <v>9</v>
      </c>
      <c r="H827">
        <v>1.5</v>
      </c>
      <c r="I827">
        <v>14</v>
      </c>
      <c r="J827">
        <v>71.900000000000006</v>
      </c>
      <c r="K827">
        <v>409.7</v>
      </c>
      <c r="L827">
        <v>385</v>
      </c>
      <c r="M827">
        <v>359</v>
      </c>
      <c r="N827">
        <v>540</v>
      </c>
      <c r="O827">
        <v>181</v>
      </c>
      <c r="P827">
        <v>302</v>
      </c>
      <c r="Q827">
        <v>552</v>
      </c>
      <c r="R827">
        <v>250</v>
      </c>
      <c r="S827">
        <v>217.8</v>
      </c>
      <c r="T827">
        <v>383</v>
      </c>
      <c r="U827">
        <v>385</v>
      </c>
      <c r="V827">
        <v>500</v>
      </c>
      <c r="W827">
        <v>2.79</v>
      </c>
    </row>
    <row r="828" spans="1:23" x14ac:dyDescent="0.25">
      <c r="A828" t="s">
        <v>37</v>
      </c>
      <c r="B828">
        <v>4</v>
      </c>
      <c r="C828">
        <v>12</v>
      </c>
      <c r="D828">
        <v>1997</v>
      </c>
      <c r="E828">
        <v>127.7</v>
      </c>
      <c r="F828">
        <v>13.5</v>
      </c>
      <c r="G828">
        <v>11.7</v>
      </c>
      <c r="H828">
        <v>1.8</v>
      </c>
      <c r="I828">
        <v>13</v>
      </c>
      <c r="J828">
        <v>102.6</v>
      </c>
      <c r="K828">
        <v>512.29999999999995</v>
      </c>
      <c r="L828">
        <v>379</v>
      </c>
      <c r="M828">
        <v>355</v>
      </c>
      <c r="N828">
        <v>539</v>
      </c>
      <c r="O828">
        <v>184</v>
      </c>
      <c r="P828">
        <v>320</v>
      </c>
      <c r="Q828">
        <v>558</v>
      </c>
      <c r="R828">
        <v>238</v>
      </c>
      <c r="S828">
        <v>217.8</v>
      </c>
      <c r="T828">
        <v>383</v>
      </c>
      <c r="U828">
        <v>385</v>
      </c>
      <c r="V828">
        <v>500</v>
      </c>
      <c r="W828">
        <v>2.79</v>
      </c>
    </row>
    <row r="829" spans="1:23" x14ac:dyDescent="0.25">
      <c r="A829" t="s">
        <v>37</v>
      </c>
      <c r="B829">
        <v>4</v>
      </c>
      <c r="C829">
        <v>13</v>
      </c>
      <c r="D829">
        <v>1998</v>
      </c>
      <c r="E829">
        <v>139.1</v>
      </c>
      <c r="F829">
        <v>11.4</v>
      </c>
      <c r="G829">
        <v>10.5</v>
      </c>
      <c r="H829">
        <v>0.9</v>
      </c>
      <c r="I829">
        <v>7</v>
      </c>
      <c r="J829">
        <v>95.6</v>
      </c>
      <c r="K829">
        <v>607.9</v>
      </c>
      <c r="L829">
        <v>372</v>
      </c>
      <c r="M829">
        <v>359</v>
      </c>
      <c r="N829">
        <v>531</v>
      </c>
      <c r="O829">
        <v>172</v>
      </c>
      <c r="P829">
        <v>284</v>
      </c>
      <c r="Q829">
        <v>549</v>
      </c>
      <c r="R829">
        <v>265</v>
      </c>
      <c r="S829">
        <v>217.8</v>
      </c>
      <c r="T829">
        <v>383</v>
      </c>
      <c r="U829">
        <v>385</v>
      </c>
      <c r="V829">
        <v>500</v>
      </c>
      <c r="W829">
        <v>2.79</v>
      </c>
    </row>
    <row r="830" spans="1:23" x14ac:dyDescent="0.25">
      <c r="A830" t="s">
        <v>37</v>
      </c>
      <c r="B830">
        <v>4</v>
      </c>
      <c r="C830">
        <v>14</v>
      </c>
      <c r="D830">
        <v>1999</v>
      </c>
      <c r="E830">
        <v>152.6</v>
      </c>
      <c r="F830">
        <v>13.5</v>
      </c>
      <c r="G830">
        <v>12.6</v>
      </c>
      <c r="H830">
        <v>0.9</v>
      </c>
      <c r="I830">
        <v>6</v>
      </c>
      <c r="J830">
        <v>123.7</v>
      </c>
      <c r="K830">
        <v>731.6</v>
      </c>
      <c r="L830">
        <v>370</v>
      </c>
      <c r="M830">
        <v>359</v>
      </c>
      <c r="N830">
        <v>520</v>
      </c>
      <c r="O830">
        <v>161</v>
      </c>
      <c r="P830">
        <v>326</v>
      </c>
      <c r="Q830">
        <v>551</v>
      </c>
      <c r="R830">
        <v>225</v>
      </c>
      <c r="S830">
        <v>217.8</v>
      </c>
      <c r="T830">
        <v>383</v>
      </c>
      <c r="U830">
        <v>385</v>
      </c>
      <c r="V830">
        <v>500</v>
      </c>
      <c r="W830">
        <v>2.79</v>
      </c>
    </row>
    <row r="831" spans="1:23" x14ac:dyDescent="0.25">
      <c r="A831" t="s">
        <v>37</v>
      </c>
      <c r="B831">
        <v>4</v>
      </c>
      <c r="C831">
        <v>15</v>
      </c>
      <c r="D831">
        <v>2000</v>
      </c>
      <c r="E831">
        <v>163.4</v>
      </c>
      <c r="F831">
        <v>10.8</v>
      </c>
      <c r="G831">
        <v>10.5</v>
      </c>
      <c r="H831">
        <v>0.3</v>
      </c>
      <c r="I831">
        <v>2</v>
      </c>
      <c r="J831">
        <v>107.2</v>
      </c>
      <c r="K831">
        <v>838.8</v>
      </c>
      <c r="L831">
        <v>352</v>
      </c>
      <c r="M831">
        <v>347</v>
      </c>
      <c r="N831">
        <v>550</v>
      </c>
      <c r="O831">
        <v>203</v>
      </c>
      <c r="P831">
        <v>288</v>
      </c>
      <c r="Q831">
        <v>550</v>
      </c>
      <c r="R831">
        <v>262</v>
      </c>
      <c r="S831">
        <v>217.8</v>
      </c>
      <c r="T831">
        <v>383</v>
      </c>
      <c r="U831">
        <v>385</v>
      </c>
      <c r="V831">
        <v>500</v>
      </c>
      <c r="W831">
        <v>2.79</v>
      </c>
    </row>
    <row r="832" spans="1:23" x14ac:dyDescent="0.25">
      <c r="A832" t="s">
        <v>37</v>
      </c>
      <c r="B832">
        <v>4</v>
      </c>
      <c r="C832">
        <v>16</v>
      </c>
      <c r="D832">
        <v>2001</v>
      </c>
      <c r="E832">
        <v>175.1</v>
      </c>
      <c r="F832">
        <v>11.7</v>
      </c>
      <c r="G832">
        <v>11.1</v>
      </c>
      <c r="H832">
        <v>0.6</v>
      </c>
      <c r="I832">
        <v>5</v>
      </c>
      <c r="J832">
        <v>124.4</v>
      </c>
      <c r="K832">
        <v>963.2</v>
      </c>
      <c r="L832">
        <v>370</v>
      </c>
      <c r="M832">
        <v>359</v>
      </c>
      <c r="N832">
        <v>568</v>
      </c>
      <c r="O832">
        <v>209</v>
      </c>
      <c r="P832">
        <v>287</v>
      </c>
      <c r="Q832">
        <v>589</v>
      </c>
      <c r="R832">
        <v>302</v>
      </c>
      <c r="S832">
        <v>217.8</v>
      </c>
      <c r="T832">
        <v>383</v>
      </c>
      <c r="U832">
        <v>385</v>
      </c>
      <c r="V832">
        <v>500</v>
      </c>
      <c r="W832">
        <v>2.79</v>
      </c>
    </row>
    <row r="833" spans="1:23" x14ac:dyDescent="0.25">
      <c r="A833" t="s">
        <v>37</v>
      </c>
      <c r="B833">
        <v>4</v>
      </c>
      <c r="C833">
        <v>17</v>
      </c>
      <c r="D833">
        <v>2002</v>
      </c>
      <c r="E833">
        <v>187.4</v>
      </c>
      <c r="F833">
        <v>12.3</v>
      </c>
      <c r="G833">
        <v>10.5</v>
      </c>
      <c r="H833">
        <v>1.8</v>
      </c>
      <c r="I833">
        <v>14</v>
      </c>
      <c r="J833">
        <v>140.1</v>
      </c>
      <c r="K833">
        <v>1103.3</v>
      </c>
      <c r="L833">
        <v>388</v>
      </c>
      <c r="M833">
        <v>362</v>
      </c>
      <c r="N833">
        <v>544</v>
      </c>
      <c r="O833">
        <v>182</v>
      </c>
      <c r="P833">
        <v>306</v>
      </c>
      <c r="Q833">
        <v>578</v>
      </c>
      <c r="R833">
        <v>272</v>
      </c>
      <c r="S833">
        <v>217.8</v>
      </c>
      <c r="T833">
        <v>383</v>
      </c>
      <c r="U833">
        <v>385</v>
      </c>
      <c r="V833">
        <v>500</v>
      </c>
      <c r="W833">
        <v>2.79</v>
      </c>
    </row>
    <row r="834" spans="1:23" x14ac:dyDescent="0.25">
      <c r="A834" t="s">
        <v>37</v>
      </c>
      <c r="B834">
        <v>4</v>
      </c>
      <c r="C834">
        <v>18</v>
      </c>
      <c r="D834">
        <v>2003</v>
      </c>
      <c r="E834">
        <v>197.3</v>
      </c>
      <c r="F834">
        <v>9.9</v>
      </c>
      <c r="G834">
        <v>9.3000000000000007</v>
      </c>
      <c r="H834">
        <v>0.6</v>
      </c>
      <c r="I834">
        <v>6</v>
      </c>
      <c r="J834">
        <v>119.6</v>
      </c>
      <c r="K834">
        <v>1222.9000000000001</v>
      </c>
      <c r="L834">
        <v>386</v>
      </c>
      <c r="M834">
        <v>376</v>
      </c>
      <c r="N834">
        <v>536</v>
      </c>
      <c r="O834">
        <v>160</v>
      </c>
      <c r="P834">
        <v>305</v>
      </c>
      <c r="Q834">
        <v>573</v>
      </c>
      <c r="R834">
        <v>268</v>
      </c>
      <c r="S834">
        <v>217.8</v>
      </c>
      <c r="T834">
        <v>383</v>
      </c>
      <c r="U834">
        <v>385</v>
      </c>
      <c r="V834">
        <v>500</v>
      </c>
      <c r="W834">
        <v>2.79</v>
      </c>
    </row>
    <row r="835" spans="1:23" x14ac:dyDescent="0.25">
      <c r="A835" t="s">
        <v>37</v>
      </c>
      <c r="B835">
        <v>4</v>
      </c>
      <c r="C835">
        <v>19</v>
      </c>
      <c r="D835">
        <v>2004</v>
      </c>
      <c r="E835">
        <v>205.1</v>
      </c>
      <c r="F835">
        <v>7.8</v>
      </c>
      <c r="G835">
        <v>6</v>
      </c>
      <c r="H835">
        <v>1.8</v>
      </c>
      <c r="I835">
        <v>23</v>
      </c>
      <c r="J835">
        <v>98.6</v>
      </c>
      <c r="K835">
        <v>1321.5</v>
      </c>
      <c r="L835">
        <v>419</v>
      </c>
      <c r="M835">
        <v>379</v>
      </c>
      <c r="N835">
        <v>553</v>
      </c>
      <c r="O835">
        <v>174</v>
      </c>
      <c r="P835">
        <v>334</v>
      </c>
      <c r="Q835">
        <v>582</v>
      </c>
      <c r="R835">
        <v>248</v>
      </c>
      <c r="S835">
        <v>217.8</v>
      </c>
      <c r="T835">
        <v>383</v>
      </c>
      <c r="U835">
        <v>385</v>
      </c>
      <c r="V835">
        <v>500</v>
      </c>
      <c r="W835">
        <v>2.79</v>
      </c>
    </row>
    <row r="836" spans="1:23" x14ac:dyDescent="0.25">
      <c r="A836" t="s">
        <v>37</v>
      </c>
      <c r="B836">
        <v>4</v>
      </c>
      <c r="C836">
        <v>20</v>
      </c>
      <c r="D836">
        <v>2005</v>
      </c>
      <c r="E836">
        <v>211.7</v>
      </c>
      <c r="F836">
        <v>6.6</v>
      </c>
      <c r="G836">
        <v>5.7</v>
      </c>
      <c r="H836">
        <v>0.9</v>
      </c>
      <c r="I836">
        <v>13</v>
      </c>
      <c r="J836">
        <v>86.4</v>
      </c>
      <c r="K836">
        <v>1408</v>
      </c>
      <c r="L836">
        <v>416</v>
      </c>
      <c r="M836">
        <v>394</v>
      </c>
      <c r="N836">
        <v>560</v>
      </c>
      <c r="O836">
        <v>166</v>
      </c>
      <c r="P836">
        <v>331</v>
      </c>
      <c r="Q836">
        <v>584</v>
      </c>
      <c r="R836">
        <v>253</v>
      </c>
      <c r="S836">
        <v>217.8</v>
      </c>
      <c r="T836">
        <v>383</v>
      </c>
      <c r="U836">
        <v>385</v>
      </c>
      <c r="V836">
        <v>500</v>
      </c>
      <c r="W836">
        <v>2.79</v>
      </c>
    </row>
    <row r="837" spans="1:23" x14ac:dyDescent="0.25">
      <c r="A837" t="s">
        <v>37</v>
      </c>
      <c r="B837">
        <v>4</v>
      </c>
      <c r="C837">
        <v>21</v>
      </c>
      <c r="D837">
        <v>2006</v>
      </c>
      <c r="E837">
        <v>217.4</v>
      </c>
      <c r="F837">
        <v>5.7</v>
      </c>
      <c r="G837">
        <v>4.5</v>
      </c>
      <c r="H837">
        <v>1.2</v>
      </c>
      <c r="I837">
        <v>21</v>
      </c>
      <c r="J837">
        <v>76.8</v>
      </c>
      <c r="K837">
        <v>1484.8</v>
      </c>
      <c r="L837">
        <v>438</v>
      </c>
      <c r="M837">
        <v>406</v>
      </c>
      <c r="N837">
        <v>559</v>
      </c>
      <c r="O837">
        <v>153</v>
      </c>
      <c r="P837">
        <v>355</v>
      </c>
      <c r="Q837">
        <v>598</v>
      </c>
      <c r="R837">
        <v>243</v>
      </c>
      <c r="S837">
        <v>217.8</v>
      </c>
      <c r="T837">
        <v>383</v>
      </c>
      <c r="U837">
        <v>385</v>
      </c>
      <c r="V837">
        <v>500</v>
      </c>
      <c r="W837">
        <v>2.79</v>
      </c>
    </row>
    <row r="838" spans="1:23" x14ac:dyDescent="0.25">
      <c r="A838" t="s">
        <v>37</v>
      </c>
      <c r="B838">
        <v>4</v>
      </c>
      <c r="C838">
        <v>22</v>
      </c>
      <c r="D838">
        <v>2007</v>
      </c>
      <c r="E838">
        <v>221.6</v>
      </c>
      <c r="F838">
        <v>4.2</v>
      </c>
      <c r="G838">
        <v>3.6</v>
      </c>
      <c r="H838">
        <v>0.6</v>
      </c>
      <c r="I838">
        <v>14</v>
      </c>
      <c r="J838">
        <v>57.9</v>
      </c>
      <c r="K838">
        <v>1542.7</v>
      </c>
      <c r="L838">
        <v>440</v>
      </c>
      <c r="M838">
        <v>416</v>
      </c>
      <c r="N838">
        <v>581</v>
      </c>
      <c r="O838">
        <v>165</v>
      </c>
      <c r="P838">
        <v>381</v>
      </c>
      <c r="Q838">
        <v>585</v>
      </c>
      <c r="R838">
        <v>204</v>
      </c>
      <c r="S838">
        <v>217.8</v>
      </c>
      <c r="T838">
        <v>383</v>
      </c>
      <c r="U838">
        <v>385</v>
      </c>
      <c r="V838">
        <v>500</v>
      </c>
      <c r="W838">
        <v>2.79</v>
      </c>
    </row>
    <row r="839" spans="1:23" x14ac:dyDescent="0.25">
      <c r="A839" t="s">
        <v>37</v>
      </c>
      <c r="B839">
        <v>5</v>
      </c>
      <c r="C839">
        <v>2</v>
      </c>
      <c r="D839">
        <v>1987</v>
      </c>
      <c r="E839">
        <v>20.3</v>
      </c>
      <c r="F839">
        <v>20.3</v>
      </c>
      <c r="G839">
        <v>17.100000000000001</v>
      </c>
      <c r="H839">
        <v>1.2</v>
      </c>
      <c r="I839">
        <v>5</v>
      </c>
      <c r="J839">
        <v>12.9</v>
      </c>
      <c r="K839">
        <v>12.9</v>
      </c>
      <c r="L839">
        <v>364</v>
      </c>
      <c r="M839">
        <v>354</v>
      </c>
      <c r="N839">
        <v>509</v>
      </c>
      <c r="O839">
        <v>155</v>
      </c>
      <c r="P839">
        <v>315</v>
      </c>
      <c r="Q839">
        <v>517</v>
      </c>
      <c r="R839">
        <v>202</v>
      </c>
      <c r="S839">
        <v>196.8</v>
      </c>
      <c r="T839">
        <v>444</v>
      </c>
      <c r="U839">
        <v>445</v>
      </c>
      <c r="V839">
        <v>500</v>
      </c>
      <c r="W839">
        <v>2.79</v>
      </c>
    </row>
    <row r="840" spans="1:23" x14ac:dyDescent="0.25">
      <c r="A840" t="s">
        <v>37</v>
      </c>
      <c r="B840">
        <v>5</v>
      </c>
      <c r="C840">
        <v>3</v>
      </c>
      <c r="D840">
        <v>1988</v>
      </c>
      <c r="E840">
        <v>38.9</v>
      </c>
      <c r="F840">
        <v>18.600000000000001</v>
      </c>
      <c r="G840">
        <v>17.100000000000001</v>
      </c>
      <c r="H840">
        <v>1.5</v>
      </c>
      <c r="I840">
        <v>8</v>
      </c>
      <c r="J840">
        <v>34.6</v>
      </c>
      <c r="K840">
        <v>47.5</v>
      </c>
      <c r="L840">
        <v>386</v>
      </c>
      <c r="M840">
        <v>374</v>
      </c>
      <c r="N840">
        <v>520</v>
      </c>
      <c r="O840">
        <v>146</v>
      </c>
      <c r="P840">
        <v>312</v>
      </c>
      <c r="Q840">
        <v>536</v>
      </c>
      <c r="R840">
        <v>224</v>
      </c>
      <c r="S840">
        <v>196.8</v>
      </c>
      <c r="T840">
        <v>444</v>
      </c>
      <c r="U840">
        <v>445</v>
      </c>
      <c r="V840">
        <v>500</v>
      </c>
      <c r="W840">
        <v>2.79</v>
      </c>
    </row>
    <row r="841" spans="1:23" x14ac:dyDescent="0.25">
      <c r="A841" t="s">
        <v>37</v>
      </c>
      <c r="B841">
        <v>5</v>
      </c>
      <c r="C841">
        <v>4</v>
      </c>
      <c r="D841">
        <v>1989</v>
      </c>
      <c r="E841">
        <v>53.3</v>
      </c>
      <c r="F841">
        <v>14.4</v>
      </c>
      <c r="G841">
        <v>12.9</v>
      </c>
      <c r="H841">
        <v>1.5</v>
      </c>
      <c r="I841">
        <v>10</v>
      </c>
      <c r="J841">
        <v>41.7</v>
      </c>
      <c r="K841">
        <v>89.2</v>
      </c>
      <c r="L841">
        <v>392</v>
      </c>
      <c r="M841">
        <v>375</v>
      </c>
      <c r="N841">
        <v>535</v>
      </c>
      <c r="O841">
        <v>160</v>
      </c>
      <c r="P841">
        <v>312</v>
      </c>
      <c r="Q841">
        <v>561</v>
      </c>
      <c r="R841">
        <v>249</v>
      </c>
      <c r="S841">
        <v>196.8</v>
      </c>
      <c r="T841">
        <v>444</v>
      </c>
      <c r="U841">
        <v>445</v>
      </c>
      <c r="V841">
        <v>500</v>
      </c>
      <c r="W841">
        <v>2.79</v>
      </c>
    </row>
    <row r="842" spans="1:23" x14ac:dyDescent="0.25">
      <c r="A842" t="s">
        <v>37</v>
      </c>
      <c r="B842">
        <v>5</v>
      </c>
      <c r="C842">
        <v>5</v>
      </c>
      <c r="D842">
        <v>1990</v>
      </c>
      <c r="E842">
        <v>65.3</v>
      </c>
      <c r="F842">
        <v>12</v>
      </c>
      <c r="G842">
        <v>11.1</v>
      </c>
      <c r="H842">
        <v>0.9</v>
      </c>
      <c r="I842">
        <v>7</v>
      </c>
      <c r="J842">
        <v>44.7</v>
      </c>
      <c r="K842">
        <v>134</v>
      </c>
      <c r="L842">
        <v>408</v>
      </c>
      <c r="M842">
        <v>396</v>
      </c>
      <c r="N842">
        <v>558</v>
      </c>
      <c r="O842">
        <v>162</v>
      </c>
      <c r="P842">
        <v>344</v>
      </c>
      <c r="Q842">
        <v>584</v>
      </c>
      <c r="R842">
        <v>240</v>
      </c>
      <c r="S842">
        <v>196.8</v>
      </c>
      <c r="T842">
        <v>444</v>
      </c>
      <c r="U842">
        <v>445</v>
      </c>
      <c r="V842">
        <v>500</v>
      </c>
      <c r="W842">
        <v>2.79</v>
      </c>
    </row>
    <row r="843" spans="1:23" x14ac:dyDescent="0.25">
      <c r="A843" t="s">
        <v>37</v>
      </c>
      <c r="B843">
        <v>5</v>
      </c>
      <c r="C843">
        <v>6</v>
      </c>
      <c r="D843">
        <v>1991</v>
      </c>
      <c r="E843">
        <v>76.7</v>
      </c>
      <c r="F843">
        <v>11.4</v>
      </c>
      <c r="G843">
        <v>9.6</v>
      </c>
      <c r="H843">
        <v>1.8</v>
      </c>
      <c r="I843">
        <v>15</v>
      </c>
      <c r="J843">
        <v>50.9</v>
      </c>
      <c r="K843">
        <v>184.8</v>
      </c>
      <c r="L843">
        <v>419</v>
      </c>
      <c r="M843">
        <v>392</v>
      </c>
      <c r="N843">
        <v>562</v>
      </c>
      <c r="O843">
        <v>170</v>
      </c>
      <c r="P843">
        <v>358</v>
      </c>
      <c r="Q843">
        <v>601</v>
      </c>
      <c r="R843">
        <v>243</v>
      </c>
      <c r="S843">
        <v>196.8</v>
      </c>
      <c r="T843">
        <v>444</v>
      </c>
      <c r="U843">
        <v>445</v>
      </c>
      <c r="V843">
        <v>500</v>
      </c>
      <c r="W843">
        <v>2.79</v>
      </c>
    </row>
    <row r="844" spans="1:23" x14ac:dyDescent="0.25">
      <c r="A844" t="s">
        <v>37</v>
      </c>
      <c r="B844">
        <v>5</v>
      </c>
      <c r="C844">
        <v>7</v>
      </c>
      <c r="D844">
        <v>1992</v>
      </c>
      <c r="E844">
        <v>86.3</v>
      </c>
      <c r="F844">
        <v>9.6</v>
      </c>
      <c r="G844">
        <v>8.4</v>
      </c>
      <c r="H844">
        <v>1.2</v>
      </c>
      <c r="I844">
        <v>12</v>
      </c>
      <c r="J844">
        <v>49.2</v>
      </c>
      <c r="K844">
        <v>234</v>
      </c>
      <c r="L844">
        <v>409</v>
      </c>
      <c r="M844">
        <v>393</v>
      </c>
      <c r="N844">
        <v>518</v>
      </c>
      <c r="O844">
        <v>125</v>
      </c>
      <c r="P844">
        <v>349</v>
      </c>
      <c r="Q844">
        <v>546</v>
      </c>
      <c r="R844">
        <v>197</v>
      </c>
      <c r="S844">
        <v>196.8</v>
      </c>
      <c r="T844">
        <v>444</v>
      </c>
      <c r="U844">
        <v>445</v>
      </c>
      <c r="V844">
        <v>500</v>
      </c>
      <c r="W844">
        <v>2.79</v>
      </c>
    </row>
    <row r="845" spans="1:23" x14ac:dyDescent="0.25">
      <c r="A845" t="s">
        <v>37</v>
      </c>
      <c r="B845">
        <v>5</v>
      </c>
      <c r="C845">
        <v>8</v>
      </c>
      <c r="D845">
        <v>1993</v>
      </c>
      <c r="E845">
        <v>91.4</v>
      </c>
      <c r="F845">
        <v>5.0999999999999996</v>
      </c>
      <c r="G845">
        <v>4.2</v>
      </c>
      <c r="H845">
        <v>0.9</v>
      </c>
      <c r="I845">
        <v>17</v>
      </c>
      <c r="J845">
        <v>28.5</v>
      </c>
      <c r="K845">
        <v>262.39999999999998</v>
      </c>
      <c r="L845">
        <v>440</v>
      </c>
      <c r="M845">
        <v>413</v>
      </c>
      <c r="N845">
        <v>570</v>
      </c>
      <c r="O845">
        <v>157</v>
      </c>
      <c r="P845">
        <v>362</v>
      </c>
      <c r="Q845">
        <v>611</v>
      </c>
      <c r="R845">
        <v>249</v>
      </c>
      <c r="S845">
        <v>196.8</v>
      </c>
      <c r="T845">
        <v>444</v>
      </c>
      <c r="U845">
        <v>445</v>
      </c>
      <c r="V845">
        <v>500</v>
      </c>
      <c r="W845">
        <v>2.79</v>
      </c>
    </row>
    <row r="846" spans="1:23" x14ac:dyDescent="0.25">
      <c r="A846" t="s">
        <v>37</v>
      </c>
      <c r="B846">
        <v>5</v>
      </c>
      <c r="C846">
        <v>9</v>
      </c>
      <c r="D846">
        <v>1994</v>
      </c>
      <c r="E846">
        <v>98.9</v>
      </c>
      <c r="F846">
        <v>7.5</v>
      </c>
      <c r="G846">
        <v>5.7</v>
      </c>
      <c r="H846">
        <v>1.8</v>
      </c>
      <c r="I846">
        <v>24</v>
      </c>
      <c r="J846">
        <v>44.8</v>
      </c>
      <c r="K846">
        <v>307.3</v>
      </c>
      <c r="L846">
        <v>436</v>
      </c>
      <c r="M846">
        <v>398</v>
      </c>
      <c r="N846">
        <v>558</v>
      </c>
      <c r="O846">
        <v>160</v>
      </c>
      <c r="P846">
        <v>355</v>
      </c>
      <c r="Q846">
        <v>596</v>
      </c>
      <c r="R846">
        <v>241</v>
      </c>
      <c r="S846">
        <v>196.8</v>
      </c>
      <c r="T846">
        <v>444</v>
      </c>
      <c r="U846">
        <v>445</v>
      </c>
      <c r="V846">
        <v>500</v>
      </c>
      <c r="W846">
        <v>2.79</v>
      </c>
    </row>
    <row r="847" spans="1:23" x14ac:dyDescent="0.25">
      <c r="A847" t="s">
        <v>37</v>
      </c>
      <c r="B847">
        <v>5</v>
      </c>
      <c r="C847">
        <v>10</v>
      </c>
      <c r="D847">
        <v>1995</v>
      </c>
      <c r="E847">
        <v>107.3</v>
      </c>
      <c r="F847">
        <v>8.4</v>
      </c>
      <c r="G847">
        <v>6.6</v>
      </c>
      <c r="H847">
        <v>1.8</v>
      </c>
      <c r="I847">
        <v>21</v>
      </c>
      <c r="J847">
        <v>54.4</v>
      </c>
      <c r="K847">
        <v>361.7</v>
      </c>
      <c r="L847">
        <v>428</v>
      </c>
      <c r="M847">
        <v>395</v>
      </c>
      <c r="N847">
        <v>551</v>
      </c>
      <c r="O847">
        <v>156</v>
      </c>
      <c r="P847">
        <v>350</v>
      </c>
      <c r="Q847">
        <v>614</v>
      </c>
      <c r="R847">
        <v>264</v>
      </c>
      <c r="S847">
        <v>196.8</v>
      </c>
      <c r="T847">
        <v>444</v>
      </c>
      <c r="U847">
        <v>445</v>
      </c>
      <c r="V847">
        <v>500</v>
      </c>
      <c r="W847">
        <v>2.79</v>
      </c>
    </row>
    <row r="848" spans="1:23" x14ac:dyDescent="0.25">
      <c r="A848" t="s">
        <v>37</v>
      </c>
      <c r="B848">
        <v>5</v>
      </c>
      <c r="C848">
        <v>11</v>
      </c>
      <c r="D848">
        <v>1996</v>
      </c>
      <c r="E848">
        <v>118.1</v>
      </c>
      <c r="F848">
        <v>10.8</v>
      </c>
      <c r="G848">
        <v>8.6999999999999993</v>
      </c>
      <c r="H848">
        <v>2.1</v>
      </c>
      <c r="I848">
        <v>19</v>
      </c>
      <c r="J848">
        <v>76.5</v>
      </c>
      <c r="K848">
        <v>438.2</v>
      </c>
      <c r="L848">
        <v>404</v>
      </c>
      <c r="M848">
        <v>365</v>
      </c>
      <c r="N848">
        <v>567</v>
      </c>
      <c r="O848">
        <v>202</v>
      </c>
      <c r="P848">
        <v>292</v>
      </c>
      <c r="Q848">
        <v>609</v>
      </c>
      <c r="R848">
        <v>317</v>
      </c>
      <c r="S848">
        <v>196.8</v>
      </c>
      <c r="T848">
        <v>444</v>
      </c>
      <c r="U848">
        <v>445</v>
      </c>
      <c r="V848">
        <v>500</v>
      </c>
      <c r="W848">
        <v>2.79</v>
      </c>
    </row>
    <row r="849" spans="1:23" x14ac:dyDescent="0.25">
      <c r="A849" t="s">
        <v>37</v>
      </c>
      <c r="B849">
        <v>5</v>
      </c>
      <c r="C849">
        <v>12</v>
      </c>
      <c r="D849">
        <v>1997</v>
      </c>
      <c r="E849">
        <v>129.19999999999999</v>
      </c>
      <c r="F849">
        <v>11.1</v>
      </c>
      <c r="G849">
        <v>9</v>
      </c>
      <c r="H849">
        <v>2.1</v>
      </c>
      <c r="I849">
        <v>18</v>
      </c>
      <c r="J849">
        <v>86.2</v>
      </c>
      <c r="K849">
        <v>524.4</v>
      </c>
      <c r="L849">
        <v>443</v>
      </c>
      <c r="M849">
        <v>411</v>
      </c>
      <c r="N849">
        <v>579</v>
      </c>
      <c r="O849">
        <v>168</v>
      </c>
      <c r="P849">
        <v>375</v>
      </c>
      <c r="Q849">
        <v>613</v>
      </c>
      <c r="R849">
        <v>238</v>
      </c>
      <c r="S849">
        <v>196.8</v>
      </c>
      <c r="T849">
        <v>444</v>
      </c>
      <c r="U849">
        <v>445</v>
      </c>
      <c r="V849">
        <v>500</v>
      </c>
      <c r="W849">
        <v>2.79</v>
      </c>
    </row>
    <row r="850" spans="1:23" x14ac:dyDescent="0.25">
      <c r="A850" t="s">
        <v>37</v>
      </c>
      <c r="B850">
        <v>5</v>
      </c>
      <c r="C850">
        <v>13</v>
      </c>
      <c r="D850">
        <v>1998</v>
      </c>
      <c r="E850">
        <v>135.80000000000001</v>
      </c>
      <c r="F850">
        <v>6.6</v>
      </c>
      <c r="G850">
        <v>5.7</v>
      </c>
      <c r="H850">
        <v>0.9</v>
      </c>
      <c r="I850">
        <v>13</v>
      </c>
      <c r="J850">
        <v>54.9</v>
      </c>
      <c r="K850">
        <v>579.4</v>
      </c>
      <c r="L850">
        <v>444</v>
      </c>
      <c r="M850">
        <v>427</v>
      </c>
      <c r="N850">
        <v>550</v>
      </c>
      <c r="O850">
        <v>123</v>
      </c>
      <c r="P850">
        <v>397</v>
      </c>
      <c r="Q850">
        <v>622</v>
      </c>
      <c r="R850">
        <v>225</v>
      </c>
      <c r="S850">
        <v>196.8</v>
      </c>
      <c r="T850">
        <v>444</v>
      </c>
      <c r="U850">
        <v>445</v>
      </c>
      <c r="V850">
        <v>500</v>
      </c>
      <c r="W850">
        <v>2.79</v>
      </c>
    </row>
    <row r="851" spans="1:23" x14ac:dyDescent="0.25">
      <c r="A851" t="s">
        <v>37</v>
      </c>
      <c r="B851">
        <v>5</v>
      </c>
      <c r="C851">
        <v>14</v>
      </c>
      <c r="D851">
        <v>1999</v>
      </c>
      <c r="E851">
        <v>143.30000000000001</v>
      </c>
      <c r="F851">
        <v>7.5</v>
      </c>
      <c r="G851">
        <v>6.9</v>
      </c>
      <c r="H851">
        <v>0.6</v>
      </c>
      <c r="I851">
        <v>8</v>
      </c>
      <c r="J851">
        <v>65.8</v>
      </c>
      <c r="K851">
        <v>645.1</v>
      </c>
      <c r="L851">
        <v>422</v>
      </c>
      <c r="M851">
        <v>411</v>
      </c>
      <c r="N851">
        <v>557</v>
      </c>
      <c r="O851">
        <v>146</v>
      </c>
      <c r="P851">
        <v>373</v>
      </c>
      <c r="Q851">
        <v>563</v>
      </c>
      <c r="R851">
        <v>190</v>
      </c>
      <c r="S851">
        <v>196.8</v>
      </c>
      <c r="T851">
        <v>444</v>
      </c>
      <c r="U851">
        <v>445</v>
      </c>
      <c r="V851">
        <v>500</v>
      </c>
      <c r="W851">
        <v>2.79</v>
      </c>
    </row>
    <row r="852" spans="1:23" x14ac:dyDescent="0.25">
      <c r="A852" t="s">
        <v>37</v>
      </c>
      <c r="B852">
        <v>5</v>
      </c>
      <c r="C852">
        <v>15</v>
      </c>
      <c r="D852">
        <v>2000</v>
      </c>
      <c r="E852">
        <v>150.80000000000001</v>
      </c>
      <c r="F852">
        <v>7.5</v>
      </c>
      <c r="G852">
        <v>5.7</v>
      </c>
      <c r="H852">
        <v>1.8</v>
      </c>
      <c r="I852">
        <v>24</v>
      </c>
      <c r="J852">
        <v>69.3</v>
      </c>
      <c r="K852">
        <v>714.4</v>
      </c>
      <c r="L852">
        <v>460</v>
      </c>
      <c r="M852">
        <v>421</v>
      </c>
      <c r="N852">
        <v>583</v>
      </c>
      <c r="O852">
        <v>162</v>
      </c>
      <c r="P852">
        <v>371</v>
      </c>
      <c r="Q852">
        <v>635</v>
      </c>
      <c r="R852">
        <v>264</v>
      </c>
      <c r="S852">
        <v>196.8</v>
      </c>
      <c r="T852">
        <v>444</v>
      </c>
      <c r="U852">
        <v>445</v>
      </c>
      <c r="V852">
        <v>500</v>
      </c>
      <c r="W852">
        <v>2.79</v>
      </c>
    </row>
    <row r="853" spans="1:23" x14ac:dyDescent="0.25">
      <c r="A853" t="s">
        <v>37</v>
      </c>
      <c r="B853">
        <v>5</v>
      </c>
      <c r="C853">
        <v>16</v>
      </c>
      <c r="D853">
        <v>2001</v>
      </c>
      <c r="E853">
        <v>156.80000000000001</v>
      </c>
      <c r="F853">
        <v>6</v>
      </c>
      <c r="G853">
        <v>4.8</v>
      </c>
      <c r="H853">
        <v>1.2</v>
      </c>
      <c r="I853">
        <v>20</v>
      </c>
      <c r="J853">
        <v>58</v>
      </c>
      <c r="K853">
        <v>772.4</v>
      </c>
      <c r="L853">
        <v>473</v>
      </c>
      <c r="M853">
        <v>447</v>
      </c>
      <c r="N853">
        <v>577</v>
      </c>
      <c r="O853">
        <v>130</v>
      </c>
      <c r="P853">
        <v>407</v>
      </c>
      <c r="Q853">
        <v>624</v>
      </c>
      <c r="R853">
        <v>217</v>
      </c>
      <c r="S853">
        <v>196.8</v>
      </c>
      <c r="T853">
        <v>444</v>
      </c>
      <c r="U853">
        <v>445</v>
      </c>
      <c r="V853">
        <v>500</v>
      </c>
      <c r="W853">
        <v>2.79</v>
      </c>
    </row>
    <row r="854" spans="1:23" x14ac:dyDescent="0.25">
      <c r="A854" t="s">
        <v>37</v>
      </c>
      <c r="B854">
        <v>5</v>
      </c>
      <c r="C854">
        <v>17</v>
      </c>
      <c r="D854">
        <v>2002</v>
      </c>
      <c r="E854">
        <v>162.19999999999999</v>
      </c>
      <c r="F854">
        <v>5.4</v>
      </c>
      <c r="G854">
        <v>3.9</v>
      </c>
      <c r="H854">
        <v>1.5</v>
      </c>
      <c r="I854">
        <v>27</v>
      </c>
      <c r="J854">
        <v>54.1</v>
      </c>
      <c r="K854">
        <v>826.5</v>
      </c>
      <c r="L854">
        <v>488</v>
      </c>
      <c r="M854">
        <v>455</v>
      </c>
      <c r="N854">
        <v>576</v>
      </c>
      <c r="O854">
        <v>121</v>
      </c>
      <c r="P854">
        <v>405</v>
      </c>
      <c r="Q854">
        <v>624</v>
      </c>
      <c r="R854">
        <v>219</v>
      </c>
      <c r="S854">
        <v>196.8</v>
      </c>
      <c r="T854">
        <v>444</v>
      </c>
      <c r="U854">
        <v>445</v>
      </c>
      <c r="V854">
        <v>500</v>
      </c>
      <c r="W854">
        <v>2.79</v>
      </c>
    </row>
    <row r="855" spans="1:23" x14ac:dyDescent="0.25">
      <c r="A855" t="s">
        <v>37</v>
      </c>
      <c r="B855">
        <v>5</v>
      </c>
      <c r="C855">
        <v>18</v>
      </c>
      <c r="D855">
        <v>2003</v>
      </c>
      <c r="E855">
        <v>168.8</v>
      </c>
      <c r="F855">
        <v>6.6</v>
      </c>
      <c r="G855">
        <v>5.7</v>
      </c>
      <c r="H855">
        <v>0.9</v>
      </c>
      <c r="I855">
        <v>13</v>
      </c>
      <c r="J855">
        <v>68.599999999999994</v>
      </c>
      <c r="K855">
        <v>895.1</v>
      </c>
      <c r="L855">
        <v>457</v>
      </c>
      <c r="M855">
        <v>438</v>
      </c>
      <c r="N855">
        <v>583</v>
      </c>
      <c r="O855">
        <v>145</v>
      </c>
      <c r="P855">
        <v>393</v>
      </c>
      <c r="Q855">
        <v>615</v>
      </c>
      <c r="R855">
        <v>222</v>
      </c>
      <c r="S855">
        <v>196.8</v>
      </c>
      <c r="T855">
        <v>444</v>
      </c>
      <c r="U855">
        <v>445</v>
      </c>
      <c r="V855">
        <v>500</v>
      </c>
      <c r="W855">
        <v>2.79</v>
      </c>
    </row>
    <row r="856" spans="1:23" x14ac:dyDescent="0.25">
      <c r="A856" t="s">
        <v>37</v>
      </c>
      <c r="B856">
        <v>5</v>
      </c>
      <c r="C856">
        <v>19</v>
      </c>
      <c r="D856">
        <v>2004</v>
      </c>
      <c r="E856">
        <v>175.1</v>
      </c>
      <c r="F856">
        <v>6.3</v>
      </c>
      <c r="G856">
        <v>5.0999999999999996</v>
      </c>
      <c r="H856">
        <v>1.2</v>
      </c>
      <c r="I856">
        <v>19</v>
      </c>
      <c r="J856">
        <v>68.099999999999994</v>
      </c>
      <c r="K856">
        <v>963.2</v>
      </c>
      <c r="L856">
        <v>459</v>
      </c>
      <c r="M856">
        <v>425</v>
      </c>
      <c r="N856">
        <v>605</v>
      </c>
      <c r="O856">
        <v>180</v>
      </c>
      <c r="P856">
        <v>393</v>
      </c>
      <c r="Q856">
        <v>619</v>
      </c>
      <c r="R856">
        <v>226</v>
      </c>
      <c r="S856">
        <v>196.8</v>
      </c>
      <c r="T856">
        <v>444</v>
      </c>
      <c r="U856">
        <v>445</v>
      </c>
      <c r="V856">
        <v>500</v>
      </c>
      <c r="W856">
        <v>2.79</v>
      </c>
    </row>
    <row r="857" spans="1:23" x14ac:dyDescent="0.25">
      <c r="A857" t="s">
        <v>37</v>
      </c>
      <c r="B857">
        <v>5</v>
      </c>
      <c r="C857">
        <v>20</v>
      </c>
      <c r="D857">
        <v>2005</v>
      </c>
      <c r="E857">
        <v>179</v>
      </c>
      <c r="F857">
        <v>3.9</v>
      </c>
      <c r="G857">
        <v>3.3</v>
      </c>
      <c r="H857">
        <v>0.6</v>
      </c>
      <c r="I857">
        <v>15</v>
      </c>
      <c r="J857">
        <v>43.4</v>
      </c>
      <c r="K857">
        <v>1006.6</v>
      </c>
      <c r="L857">
        <v>471</v>
      </c>
      <c r="M857">
        <v>452</v>
      </c>
      <c r="N857">
        <v>579</v>
      </c>
      <c r="O857">
        <v>127</v>
      </c>
      <c r="P857">
        <v>415</v>
      </c>
      <c r="Q857">
        <v>590</v>
      </c>
      <c r="R857">
        <v>175</v>
      </c>
      <c r="S857">
        <v>196.8</v>
      </c>
      <c r="T857">
        <v>444</v>
      </c>
      <c r="U857">
        <v>445</v>
      </c>
      <c r="V857">
        <v>500</v>
      </c>
      <c r="W857">
        <v>2.79</v>
      </c>
    </row>
    <row r="858" spans="1:23" x14ac:dyDescent="0.25">
      <c r="A858" t="s">
        <v>37</v>
      </c>
      <c r="B858">
        <v>5</v>
      </c>
      <c r="C858">
        <v>21</v>
      </c>
      <c r="D858">
        <v>2006</v>
      </c>
      <c r="E858">
        <v>181.7</v>
      </c>
      <c r="F858">
        <v>2.7</v>
      </c>
      <c r="G858">
        <v>2.1</v>
      </c>
      <c r="H858">
        <v>0.6</v>
      </c>
      <c r="I858">
        <v>22</v>
      </c>
      <c r="J858">
        <v>30.6</v>
      </c>
      <c r="K858">
        <v>1037.2</v>
      </c>
      <c r="L858">
        <v>471</v>
      </c>
      <c r="M858">
        <v>452</v>
      </c>
      <c r="N858">
        <v>538</v>
      </c>
      <c r="O858">
        <v>86</v>
      </c>
      <c r="P858">
        <v>414</v>
      </c>
      <c r="Q858">
        <v>574</v>
      </c>
      <c r="R858">
        <v>160</v>
      </c>
      <c r="S858">
        <v>196.8</v>
      </c>
      <c r="T858">
        <v>444</v>
      </c>
      <c r="U858">
        <v>445</v>
      </c>
      <c r="V858">
        <v>500</v>
      </c>
      <c r="W858">
        <v>2.79</v>
      </c>
    </row>
    <row r="859" spans="1:23" x14ac:dyDescent="0.25">
      <c r="A859" t="s">
        <v>37</v>
      </c>
      <c r="B859">
        <v>5</v>
      </c>
      <c r="C859">
        <v>22</v>
      </c>
      <c r="D859">
        <v>2007</v>
      </c>
      <c r="E859">
        <v>183.8</v>
      </c>
      <c r="F859">
        <v>2.1</v>
      </c>
      <c r="G859">
        <v>1.2</v>
      </c>
      <c r="H859">
        <v>0.9</v>
      </c>
      <c r="I859">
        <v>42</v>
      </c>
      <c r="J859">
        <v>24.1</v>
      </c>
      <c r="K859">
        <v>1061.3</v>
      </c>
      <c r="L859">
        <v>475</v>
      </c>
      <c r="M859">
        <v>422</v>
      </c>
      <c r="N859">
        <v>547</v>
      </c>
      <c r="O859">
        <v>125</v>
      </c>
      <c r="P859">
        <v>384</v>
      </c>
      <c r="Q859">
        <v>615</v>
      </c>
      <c r="R859">
        <v>231</v>
      </c>
      <c r="S859">
        <v>196.8</v>
      </c>
      <c r="T859">
        <v>444</v>
      </c>
      <c r="U859">
        <v>445</v>
      </c>
      <c r="V859">
        <v>500</v>
      </c>
      <c r="W859">
        <v>2.79</v>
      </c>
    </row>
    <row r="860" spans="1:23" x14ac:dyDescent="0.25">
      <c r="A860" t="s">
        <v>37</v>
      </c>
      <c r="B860">
        <v>5</v>
      </c>
      <c r="C860">
        <v>23</v>
      </c>
      <c r="D860">
        <v>2008</v>
      </c>
      <c r="E860">
        <v>187.7</v>
      </c>
      <c r="F860">
        <v>3.9</v>
      </c>
      <c r="G860">
        <v>2.4</v>
      </c>
      <c r="H860">
        <v>1.5</v>
      </c>
      <c r="I860">
        <v>38</v>
      </c>
      <c r="J860">
        <v>45.5</v>
      </c>
      <c r="K860">
        <v>1106.8</v>
      </c>
      <c r="L860">
        <v>491</v>
      </c>
      <c r="M860">
        <v>451</v>
      </c>
      <c r="N860">
        <v>554</v>
      </c>
      <c r="O860">
        <v>103</v>
      </c>
      <c r="P860">
        <v>412</v>
      </c>
      <c r="Q860">
        <v>626</v>
      </c>
      <c r="R860">
        <v>214</v>
      </c>
      <c r="S860">
        <v>196.8</v>
      </c>
      <c r="T860">
        <v>444</v>
      </c>
      <c r="U860">
        <v>445</v>
      </c>
      <c r="V860">
        <v>500</v>
      </c>
      <c r="W860">
        <v>2.79</v>
      </c>
    </row>
    <row r="861" spans="1:23" x14ac:dyDescent="0.25">
      <c r="A861" t="s">
        <v>37</v>
      </c>
      <c r="B861">
        <v>5</v>
      </c>
      <c r="C861">
        <v>24</v>
      </c>
      <c r="D861">
        <v>2009</v>
      </c>
      <c r="E861">
        <v>191.6</v>
      </c>
      <c r="F861">
        <v>3.9</v>
      </c>
      <c r="G861">
        <v>2.1</v>
      </c>
      <c r="H861">
        <v>1.8</v>
      </c>
      <c r="I861">
        <v>46</v>
      </c>
      <c r="J861">
        <v>46.5</v>
      </c>
      <c r="K861">
        <v>1153.3</v>
      </c>
      <c r="L861">
        <v>507</v>
      </c>
      <c r="M861">
        <v>461</v>
      </c>
      <c r="N861">
        <v>560</v>
      </c>
      <c r="O861">
        <v>99</v>
      </c>
      <c r="P861">
        <v>437</v>
      </c>
      <c r="Q861">
        <v>610</v>
      </c>
      <c r="R861">
        <v>173</v>
      </c>
      <c r="S861">
        <v>196.8</v>
      </c>
      <c r="T861">
        <v>444</v>
      </c>
      <c r="U861">
        <v>445</v>
      </c>
      <c r="V861">
        <v>500</v>
      </c>
      <c r="W861">
        <v>2.79</v>
      </c>
    </row>
    <row r="862" spans="1:23" x14ac:dyDescent="0.25">
      <c r="A862" t="s">
        <v>37</v>
      </c>
      <c r="B862">
        <v>5</v>
      </c>
      <c r="C862">
        <v>25</v>
      </c>
      <c r="D862">
        <v>2010</v>
      </c>
      <c r="E862">
        <v>194.6</v>
      </c>
      <c r="F862">
        <v>3</v>
      </c>
      <c r="G862">
        <v>2.4</v>
      </c>
      <c r="H862">
        <v>0.6</v>
      </c>
      <c r="I862">
        <v>20</v>
      </c>
      <c r="J862">
        <v>36.4</v>
      </c>
      <c r="K862">
        <v>1189.7</v>
      </c>
      <c r="L862">
        <v>460</v>
      </c>
      <c r="M862">
        <v>439</v>
      </c>
      <c r="N862">
        <v>542</v>
      </c>
      <c r="O862">
        <v>103</v>
      </c>
      <c r="P862">
        <v>399</v>
      </c>
      <c r="Q862">
        <v>583</v>
      </c>
      <c r="R862">
        <v>184</v>
      </c>
      <c r="S862">
        <v>196.8</v>
      </c>
      <c r="T862">
        <v>444</v>
      </c>
      <c r="U862">
        <v>445</v>
      </c>
      <c r="V862">
        <v>500</v>
      </c>
      <c r="W862">
        <v>2.79</v>
      </c>
    </row>
    <row r="863" spans="1:23" x14ac:dyDescent="0.25">
      <c r="A863" t="s">
        <v>37</v>
      </c>
      <c r="B863">
        <v>5</v>
      </c>
      <c r="C863">
        <v>26</v>
      </c>
      <c r="D863">
        <v>2011</v>
      </c>
      <c r="E863">
        <v>196.7</v>
      </c>
      <c r="F863">
        <v>2.1</v>
      </c>
      <c r="G863">
        <v>1.5</v>
      </c>
      <c r="H863">
        <v>0.6</v>
      </c>
      <c r="I863">
        <v>28</v>
      </c>
      <c r="J863">
        <v>25.8</v>
      </c>
      <c r="K863">
        <v>1215.5</v>
      </c>
      <c r="L863">
        <v>472</v>
      </c>
      <c r="M863">
        <v>442</v>
      </c>
      <c r="N863">
        <v>547</v>
      </c>
      <c r="O863">
        <v>105</v>
      </c>
      <c r="P863">
        <v>437</v>
      </c>
      <c r="Q863">
        <v>553</v>
      </c>
      <c r="R863">
        <v>116</v>
      </c>
      <c r="S863">
        <v>196.8</v>
      </c>
      <c r="T863">
        <v>444</v>
      </c>
      <c r="U863">
        <v>445</v>
      </c>
      <c r="V863">
        <v>500</v>
      </c>
      <c r="W863">
        <v>2.79</v>
      </c>
    </row>
    <row r="864" spans="1:23" x14ac:dyDescent="0.25">
      <c r="A864" t="s">
        <v>37</v>
      </c>
      <c r="B864">
        <v>5</v>
      </c>
      <c r="C864">
        <v>27</v>
      </c>
      <c r="D864">
        <v>2012</v>
      </c>
      <c r="E864">
        <v>198.8</v>
      </c>
      <c r="F864">
        <v>2.1</v>
      </c>
      <c r="G864">
        <v>1.2</v>
      </c>
      <c r="H864">
        <v>0.9</v>
      </c>
      <c r="I864">
        <v>42</v>
      </c>
      <c r="J864">
        <v>26.1</v>
      </c>
      <c r="K864">
        <v>1241.5999999999999</v>
      </c>
      <c r="L864">
        <v>475</v>
      </c>
      <c r="M864">
        <v>441</v>
      </c>
      <c r="N864">
        <v>521</v>
      </c>
      <c r="O864">
        <v>80</v>
      </c>
      <c r="P864">
        <v>418</v>
      </c>
      <c r="Q864">
        <v>531</v>
      </c>
      <c r="R864">
        <v>113</v>
      </c>
      <c r="S864">
        <v>196.8</v>
      </c>
      <c r="T864">
        <v>444</v>
      </c>
      <c r="U864">
        <v>445</v>
      </c>
      <c r="V864">
        <v>500</v>
      </c>
      <c r="W864">
        <v>2.79</v>
      </c>
    </row>
    <row r="865" spans="1:23" x14ac:dyDescent="0.25">
      <c r="A865" t="s">
        <v>37</v>
      </c>
      <c r="B865">
        <v>6</v>
      </c>
      <c r="C865">
        <v>2</v>
      </c>
      <c r="D865">
        <v>1987</v>
      </c>
      <c r="E865">
        <v>15.6</v>
      </c>
      <c r="F865">
        <v>15.6</v>
      </c>
      <c r="G865">
        <v>12.3</v>
      </c>
      <c r="H865">
        <v>0.3</v>
      </c>
      <c r="I865">
        <v>1</v>
      </c>
      <c r="J865">
        <v>7.6</v>
      </c>
      <c r="K865">
        <v>7.6</v>
      </c>
      <c r="L865">
        <v>368</v>
      </c>
      <c r="M865">
        <v>365</v>
      </c>
      <c r="N865">
        <v>500</v>
      </c>
      <c r="O865">
        <v>135</v>
      </c>
      <c r="P865">
        <v>277</v>
      </c>
      <c r="Q865">
        <v>500</v>
      </c>
      <c r="R865">
        <v>223</v>
      </c>
      <c r="S865">
        <v>280.2</v>
      </c>
      <c r="T865">
        <v>413</v>
      </c>
      <c r="U865">
        <v>417</v>
      </c>
      <c r="V865">
        <v>500</v>
      </c>
      <c r="W865">
        <v>2.79</v>
      </c>
    </row>
    <row r="866" spans="1:23" x14ac:dyDescent="0.25">
      <c r="A866" t="s">
        <v>37</v>
      </c>
      <c r="B866">
        <v>6</v>
      </c>
      <c r="C866">
        <v>3</v>
      </c>
      <c r="D866">
        <v>1988</v>
      </c>
      <c r="E866">
        <v>34.200000000000003</v>
      </c>
      <c r="F866">
        <v>18.600000000000001</v>
      </c>
      <c r="G866">
        <v>18.600000000000001</v>
      </c>
      <c r="H866">
        <v>0</v>
      </c>
      <c r="I866">
        <v>0</v>
      </c>
      <c r="J866">
        <v>29.1</v>
      </c>
      <c r="K866">
        <v>36.700000000000003</v>
      </c>
      <c r="L866">
        <v>362</v>
      </c>
      <c r="M866">
        <v>362</v>
      </c>
      <c r="N866">
        <v>0</v>
      </c>
      <c r="O866">
        <v>0</v>
      </c>
      <c r="P866">
        <v>273</v>
      </c>
      <c r="Q866">
        <v>497</v>
      </c>
      <c r="R866">
        <v>224</v>
      </c>
      <c r="S866">
        <v>280.2</v>
      </c>
      <c r="T866">
        <v>413</v>
      </c>
      <c r="U866">
        <v>417</v>
      </c>
      <c r="V866">
        <v>500</v>
      </c>
      <c r="W866">
        <v>2.79</v>
      </c>
    </row>
    <row r="867" spans="1:23" x14ac:dyDescent="0.25">
      <c r="A867" t="s">
        <v>37</v>
      </c>
      <c r="B867">
        <v>6</v>
      </c>
      <c r="C867">
        <v>4</v>
      </c>
      <c r="D867">
        <v>1989</v>
      </c>
      <c r="E867">
        <v>50.1</v>
      </c>
      <c r="F867">
        <v>15.9</v>
      </c>
      <c r="G867">
        <v>14.4</v>
      </c>
      <c r="H867">
        <v>1.5</v>
      </c>
      <c r="I867">
        <v>9</v>
      </c>
      <c r="J867">
        <v>42.1</v>
      </c>
      <c r="K867">
        <v>78.900000000000006</v>
      </c>
      <c r="L867">
        <v>384</v>
      </c>
      <c r="M867">
        <v>370</v>
      </c>
      <c r="N867">
        <v>526</v>
      </c>
      <c r="O867">
        <v>156</v>
      </c>
      <c r="P867">
        <v>288</v>
      </c>
      <c r="Q867">
        <v>550</v>
      </c>
      <c r="R867">
        <v>262</v>
      </c>
      <c r="S867">
        <v>280.2</v>
      </c>
      <c r="T867">
        <v>413</v>
      </c>
      <c r="U867">
        <v>417</v>
      </c>
      <c r="V867">
        <v>500</v>
      </c>
      <c r="W867">
        <v>2.79</v>
      </c>
    </row>
    <row r="868" spans="1:23" x14ac:dyDescent="0.25">
      <c r="A868" t="s">
        <v>37</v>
      </c>
      <c r="B868">
        <v>6</v>
      </c>
      <c r="C868">
        <v>5</v>
      </c>
      <c r="D868">
        <v>1990</v>
      </c>
      <c r="E868">
        <v>59.7</v>
      </c>
      <c r="F868">
        <v>9.6</v>
      </c>
      <c r="G868">
        <v>8.1</v>
      </c>
      <c r="H868">
        <v>1.5</v>
      </c>
      <c r="I868">
        <v>15</v>
      </c>
      <c r="J868">
        <v>33.1</v>
      </c>
      <c r="K868">
        <v>112</v>
      </c>
      <c r="L868">
        <v>410</v>
      </c>
      <c r="M868">
        <v>386</v>
      </c>
      <c r="N868">
        <v>543</v>
      </c>
      <c r="O868">
        <v>157</v>
      </c>
      <c r="P868">
        <v>335</v>
      </c>
      <c r="Q868">
        <v>588</v>
      </c>
      <c r="R868">
        <v>253</v>
      </c>
      <c r="S868">
        <v>280.2</v>
      </c>
      <c r="T868">
        <v>413</v>
      </c>
      <c r="U868">
        <v>417</v>
      </c>
      <c r="V868">
        <v>500</v>
      </c>
      <c r="W868">
        <v>2.79</v>
      </c>
    </row>
    <row r="869" spans="1:23" x14ac:dyDescent="0.25">
      <c r="A869" t="s">
        <v>37</v>
      </c>
      <c r="B869">
        <v>6</v>
      </c>
      <c r="C869">
        <v>6</v>
      </c>
      <c r="D869">
        <v>1991</v>
      </c>
      <c r="E869">
        <v>71.099999999999994</v>
      </c>
      <c r="F869">
        <v>11.4</v>
      </c>
      <c r="G869">
        <v>9</v>
      </c>
      <c r="H869">
        <v>2.4</v>
      </c>
      <c r="I869">
        <v>21</v>
      </c>
      <c r="J869">
        <v>46.8</v>
      </c>
      <c r="K869">
        <v>158.80000000000001</v>
      </c>
      <c r="L869">
        <v>410</v>
      </c>
      <c r="M869">
        <v>373</v>
      </c>
      <c r="N869">
        <v>547</v>
      </c>
      <c r="O869">
        <v>174</v>
      </c>
      <c r="P869">
        <v>320</v>
      </c>
      <c r="Q869">
        <v>596</v>
      </c>
      <c r="R869">
        <v>276</v>
      </c>
      <c r="S869">
        <v>280.2</v>
      </c>
      <c r="T869">
        <v>413</v>
      </c>
      <c r="U869">
        <v>417</v>
      </c>
      <c r="V869">
        <v>500</v>
      </c>
      <c r="W869">
        <v>2.79</v>
      </c>
    </row>
    <row r="870" spans="1:23" x14ac:dyDescent="0.25">
      <c r="A870" t="s">
        <v>37</v>
      </c>
      <c r="B870">
        <v>6</v>
      </c>
      <c r="C870">
        <v>7</v>
      </c>
      <c r="D870">
        <v>1992</v>
      </c>
      <c r="E870">
        <v>85.8</v>
      </c>
      <c r="F870">
        <v>14.7</v>
      </c>
      <c r="G870">
        <v>12</v>
      </c>
      <c r="H870">
        <v>2.7</v>
      </c>
      <c r="I870">
        <v>18</v>
      </c>
      <c r="J870">
        <v>72.5</v>
      </c>
      <c r="K870">
        <v>231.3</v>
      </c>
      <c r="L870">
        <v>420</v>
      </c>
      <c r="M870">
        <v>393</v>
      </c>
      <c r="N870">
        <v>538</v>
      </c>
      <c r="O870">
        <v>145</v>
      </c>
      <c r="P870">
        <v>339</v>
      </c>
      <c r="Q870">
        <v>562</v>
      </c>
      <c r="R870">
        <v>223</v>
      </c>
      <c r="S870">
        <v>280.2</v>
      </c>
      <c r="T870">
        <v>413</v>
      </c>
      <c r="U870">
        <v>417</v>
      </c>
      <c r="V870">
        <v>500</v>
      </c>
      <c r="W870">
        <v>2.79</v>
      </c>
    </row>
    <row r="871" spans="1:23" x14ac:dyDescent="0.25">
      <c r="A871" t="s">
        <v>37</v>
      </c>
      <c r="B871">
        <v>6</v>
      </c>
      <c r="C871">
        <v>8</v>
      </c>
      <c r="D871">
        <v>1993</v>
      </c>
      <c r="E871">
        <v>95.1</v>
      </c>
      <c r="F871">
        <v>9.3000000000000007</v>
      </c>
      <c r="G871">
        <v>7.8</v>
      </c>
      <c r="H871">
        <v>1.5</v>
      </c>
      <c r="I871">
        <v>16</v>
      </c>
      <c r="J871">
        <v>52.9</v>
      </c>
      <c r="K871">
        <v>284.10000000000002</v>
      </c>
      <c r="L871">
        <v>394</v>
      </c>
      <c r="M871">
        <v>365</v>
      </c>
      <c r="N871">
        <v>544</v>
      </c>
      <c r="O871">
        <v>179</v>
      </c>
      <c r="P871">
        <v>304</v>
      </c>
      <c r="Q871">
        <v>568</v>
      </c>
      <c r="R871">
        <v>264</v>
      </c>
      <c r="S871">
        <v>280.2</v>
      </c>
      <c r="T871">
        <v>413</v>
      </c>
      <c r="U871">
        <v>417</v>
      </c>
      <c r="V871">
        <v>500</v>
      </c>
      <c r="W871">
        <v>2.79</v>
      </c>
    </row>
    <row r="872" spans="1:23" x14ac:dyDescent="0.25">
      <c r="A872" t="s">
        <v>37</v>
      </c>
      <c r="B872">
        <v>6</v>
      </c>
      <c r="C872">
        <v>9</v>
      </c>
      <c r="D872">
        <v>1994</v>
      </c>
      <c r="E872">
        <v>103.8</v>
      </c>
      <c r="F872">
        <v>8.6999999999999993</v>
      </c>
      <c r="G872">
        <v>7.8</v>
      </c>
      <c r="H872">
        <v>0.9</v>
      </c>
      <c r="I872">
        <v>10</v>
      </c>
      <c r="J872">
        <v>54.4</v>
      </c>
      <c r="K872">
        <v>338.5</v>
      </c>
      <c r="L872">
        <v>393</v>
      </c>
      <c r="M872">
        <v>374</v>
      </c>
      <c r="N872">
        <v>556</v>
      </c>
      <c r="O872">
        <v>182</v>
      </c>
      <c r="P872">
        <v>301</v>
      </c>
      <c r="Q872">
        <v>579</v>
      </c>
      <c r="R872">
        <v>278</v>
      </c>
      <c r="S872">
        <v>280.2</v>
      </c>
      <c r="T872">
        <v>413</v>
      </c>
      <c r="U872">
        <v>417</v>
      </c>
      <c r="V872">
        <v>500</v>
      </c>
      <c r="W872">
        <v>2.79</v>
      </c>
    </row>
    <row r="873" spans="1:23" x14ac:dyDescent="0.25">
      <c r="A873" t="s">
        <v>37</v>
      </c>
      <c r="B873">
        <v>6</v>
      </c>
      <c r="C873">
        <v>10</v>
      </c>
      <c r="D873">
        <v>1995</v>
      </c>
      <c r="E873">
        <v>112.5</v>
      </c>
      <c r="F873">
        <v>8.6999999999999993</v>
      </c>
      <c r="G873">
        <v>7.8</v>
      </c>
      <c r="H873">
        <v>0.9</v>
      </c>
      <c r="I873">
        <v>10</v>
      </c>
      <c r="J873">
        <v>59.1</v>
      </c>
      <c r="K873">
        <v>397.6</v>
      </c>
      <c r="L873">
        <v>407</v>
      </c>
      <c r="M873">
        <v>394</v>
      </c>
      <c r="N873">
        <v>523</v>
      </c>
      <c r="O873">
        <v>129</v>
      </c>
      <c r="P873">
        <v>329</v>
      </c>
      <c r="Q873">
        <v>527</v>
      </c>
      <c r="R873">
        <v>198</v>
      </c>
      <c r="S873">
        <v>280.2</v>
      </c>
      <c r="T873">
        <v>413</v>
      </c>
      <c r="U873">
        <v>417</v>
      </c>
      <c r="V873">
        <v>500</v>
      </c>
      <c r="W873">
        <v>2.79</v>
      </c>
    </row>
    <row r="874" spans="1:23" x14ac:dyDescent="0.25">
      <c r="A874" t="s">
        <v>37</v>
      </c>
      <c r="B874">
        <v>6</v>
      </c>
      <c r="C874">
        <v>11</v>
      </c>
      <c r="D874">
        <v>1996</v>
      </c>
      <c r="E874">
        <v>126</v>
      </c>
      <c r="F874">
        <v>13.5</v>
      </c>
      <c r="G874">
        <v>11.1</v>
      </c>
      <c r="H874">
        <v>2.4</v>
      </c>
      <c r="I874">
        <v>17</v>
      </c>
      <c r="J874">
        <v>101.2</v>
      </c>
      <c r="K874">
        <v>498.8</v>
      </c>
      <c r="L874">
        <v>426</v>
      </c>
      <c r="M874">
        <v>399</v>
      </c>
      <c r="N874">
        <v>551</v>
      </c>
      <c r="O874">
        <v>152</v>
      </c>
      <c r="P874">
        <v>354</v>
      </c>
      <c r="Q874">
        <v>592</v>
      </c>
      <c r="R874">
        <v>238</v>
      </c>
      <c r="S874">
        <v>280.2</v>
      </c>
      <c r="T874">
        <v>413</v>
      </c>
      <c r="U874">
        <v>417</v>
      </c>
      <c r="V874">
        <v>500</v>
      </c>
      <c r="W874">
        <v>2.79</v>
      </c>
    </row>
    <row r="875" spans="1:23" x14ac:dyDescent="0.25">
      <c r="A875" t="s">
        <v>37</v>
      </c>
      <c r="B875">
        <v>6</v>
      </c>
      <c r="C875">
        <v>12</v>
      </c>
      <c r="D875">
        <v>1997</v>
      </c>
      <c r="E875">
        <v>141</v>
      </c>
      <c r="F875">
        <v>15</v>
      </c>
      <c r="G875">
        <v>12</v>
      </c>
      <c r="H875">
        <v>3</v>
      </c>
      <c r="I875">
        <v>20</v>
      </c>
      <c r="J875">
        <v>125.8</v>
      </c>
      <c r="K875">
        <v>624.6</v>
      </c>
      <c r="L875">
        <v>416</v>
      </c>
      <c r="M875">
        <v>385</v>
      </c>
      <c r="N875">
        <v>541</v>
      </c>
      <c r="O875">
        <v>156</v>
      </c>
      <c r="P875">
        <v>360</v>
      </c>
      <c r="Q875">
        <v>571</v>
      </c>
      <c r="R875">
        <v>211</v>
      </c>
      <c r="S875">
        <v>280.2</v>
      </c>
      <c r="T875">
        <v>413</v>
      </c>
      <c r="U875">
        <v>417</v>
      </c>
      <c r="V875">
        <v>500</v>
      </c>
      <c r="W875">
        <v>2.79</v>
      </c>
    </row>
    <row r="876" spans="1:23" x14ac:dyDescent="0.25">
      <c r="A876" t="s">
        <v>37</v>
      </c>
      <c r="B876">
        <v>6</v>
      </c>
      <c r="C876">
        <v>13</v>
      </c>
      <c r="D876">
        <v>1998</v>
      </c>
      <c r="E876">
        <v>151.80000000000001</v>
      </c>
      <c r="F876">
        <v>10.8</v>
      </c>
      <c r="G876">
        <v>9.3000000000000007</v>
      </c>
      <c r="H876">
        <v>1.5</v>
      </c>
      <c r="I876">
        <v>13</v>
      </c>
      <c r="J876">
        <v>99.3</v>
      </c>
      <c r="K876">
        <v>723.9</v>
      </c>
      <c r="L876">
        <v>417</v>
      </c>
      <c r="M876">
        <v>395</v>
      </c>
      <c r="N876">
        <v>557</v>
      </c>
      <c r="O876">
        <v>162</v>
      </c>
      <c r="P876">
        <v>323</v>
      </c>
      <c r="Q876">
        <v>577</v>
      </c>
      <c r="R876">
        <v>254</v>
      </c>
      <c r="S876">
        <v>280.2</v>
      </c>
      <c r="T876">
        <v>413</v>
      </c>
      <c r="U876">
        <v>417</v>
      </c>
      <c r="V876">
        <v>500</v>
      </c>
      <c r="W876">
        <v>2.79</v>
      </c>
    </row>
    <row r="877" spans="1:23" x14ac:dyDescent="0.25">
      <c r="A877" t="s">
        <v>37</v>
      </c>
      <c r="B877">
        <v>6</v>
      </c>
      <c r="C877">
        <v>14</v>
      </c>
      <c r="D877">
        <v>1999</v>
      </c>
      <c r="E877">
        <v>168</v>
      </c>
      <c r="F877">
        <v>16.2</v>
      </c>
      <c r="G877">
        <v>14.4</v>
      </c>
      <c r="H877">
        <v>1.8</v>
      </c>
      <c r="I877">
        <v>11</v>
      </c>
      <c r="J877">
        <v>162.80000000000001</v>
      </c>
      <c r="K877">
        <v>886.7</v>
      </c>
      <c r="L877">
        <v>398</v>
      </c>
      <c r="M877">
        <v>383</v>
      </c>
      <c r="N877">
        <v>518</v>
      </c>
      <c r="O877">
        <v>135</v>
      </c>
      <c r="P877">
        <v>333</v>
      </c>
      <c r="Q877">
        <v>541</v>
      </c>
      <c r="R877">
        <v>208</v>
      </c>
      <c r="S877">
        <v>280.2</v>
      </c>
      <c r="T877">
        <v>413</v>
      </c>
      <c r="U877">
        <v>417</v>
      </c>
      <c r="V877">
        <v>500</v>
      </c>
      <c r="W877">
        <v>2.79</v>
      </c>
    </row>
    <row r="878" spans="1:23" x14ac:dyDescent="0.25">
      <c r="A878" t="s">
        <v>37</v>
      </c>
      <c r="B878">
        <v>6</v>
      </c>
      <c r="C878">
        <v>15</v>
      </c>
      <c r="D878">
        <v>2000</v>
      </c>
      <c r="E878">
        <v>183.3</v>
      </c>
      <c r="F878">
        <v>15.3</v>
      </c>
      <c r="G878">
        <v>13.8</v>
      </c>
      <c r="H878">
        <v>1.5</v>
      </c>
      <c r="I878">
        <v>9</v>
      </c>
      <c r="J878">
        <v>168.9</v>
      </c>
      <c r="K878">
        <v>1055.5</v>
      </c>
      <c r="L878">
        <v>400</v>
      </c>
      <c r="M878">
        <v>386</v>
      </c>
      <c r="N878">
        <v>521</v>
      </c>
      <c r="O878">
        <v>135</v>
      </c>
      <c r="P878">
        <v>328</v>
      </c>
      <c r="Q878">
        <v>552</v>
      </c>
      <c r="R878">
        <v>224</v>
      </c>
      <c r="S878">
        <v>280.2</v>
      </c>
      <c r="T878">
        <v>413</v>
      </c>
      <c r="U878">
        <v>417</v>
      </c>
      <c r="V878">
        <v>500</v>
      </c>
      <c r="W878">
        <v>2.79</v>
      </c>
    </row>
    <row r="879" spans="1:23" x14ac:dyDescent="0.25">
      <c r="A879" t="s">
        <v>37</v>
      </c>
      <c r="B879">
        <v>6</v>
      </c>
      <c r="C879">
        <v>16</v>
      </c>
      <c r="D879">
        <v>2001</v>
      </c>
      <c r="E879">
        <v>195</v>
      </c>
      <c r="F879">
        <v>11.7</v>
      </c>
      <c r="G879">
        <v>9.6</v>
      </c>
      <c r="H879">
        <v>2.1</v>
      </c>
      <c r="I879">
        <v>17</v>
      </c>
      <c r="J879">
        <v>139.1</v>
      </c>
      <c r="K879">
        <v>1194.5999999999999</v>
      </c>
      <c r="L879">
        <v>412</v>
      </c>
      <c r="M879">
        <v>385</v>
      </c>
      <c r="N879">
        <v>536</v>
      </c>
      <c r="O879">
        <v>151</v>
      </c>
      <c r="P879">
        <v>337</v>
      </c>
      <c r="Q879">
        <v>569</v>
      </c>
      <c r="R879">
        <v>232</v>
      </c>
      <c r="S879">
        <v>280.2</v>
      </c>
      <c r="T879">
        <v>413</v>
      </c>
      <c r="U879">
        <v>417</v>
      </c>
      <c r="V879">
        <v>500</v>
      </c>
      <c r="W879">
        <v>2.79</v>
      </c>
    </row>
    <row r="880" spans="1:23" x14ac:dyDescent="0.25">
      <c r="A880" t="s">
        <v>37</v>
      </c>
      <c r="B880">
        <v>6</v>
      </c>
      <c r="C880">
        <v>17</v>
      </c>
      <c r="D880">
        <v>2002</v>
      </c>
      <c r="E880">
        <v>205.5</v>
      </c>
      <c r="F880">
        <v>10.5</v>
      </c>
      <c r="G880">
        <v>8.1</v>
      </c>
      <c r="H880">
        <v>2.4</v>
      </c>
      <c r="I880">
        <v>22</v>
      </c>
      <c r="J880">
        <v>132.1</v>
      </c>
      <c r="K880">
        <v>1326.7</v>
      </c>
      <c r="L880">
        <v>426</v>
      </c>
      <c r="M880">
        <v>391</v>
      </c>
      <c r="N880">
        <v>547</v>
      </c>
      <c r="O880">
        <v>156</v>
      </c>
      <c r="P880">
        <v>317</v>
      </c>
      <c r="Q880">
        <v>586</v>
      </c>
      <c r="R880">
        <v>269</v>
      </c>
      <c r="S880">
        <v>280.2</v>
      </c>
      <c r="T880">
        <v>413</v>
      </c>
      <c r="U880">
        <v>417</v>
      </c>
      <c r="V880">
        <v>500</v>
      </c>
      <c r="W880">
        <v>2.79</v>
      </c>
    </row>
    <row r="881" spans="1:23" x14ac:dyDescent="0.25">
      <c r="A881" t="s">
        <v>37</v>
      </c>
      <c r="B881">
        <v>6</v>
      </c>
      <c r="C881">
        <v>18</v>
      </c>
      <c r="D881">
        <v>2003</v>
      </c>
      <c r="E881">
        <v>218.7</v>
      </c>
      <c r="F881">
        <v>13.2</v>
      </c>
      <c r="G881">
        <v>12.3</v>
      </c>
      <c r="H881">
        <v>0.9</v>
      </c>
      <c r="I881">
        <v>6</v>
      </c>
      <c r="J881">
        <v>175.9</v>
      </c>
      <c r="K881">
        <v>1502.6</v>
      </c>
      <c r="L881">
        <v>400</v>
      </c>
      <c r="M881">
        <v>390</v>
      </c>
      <c r="N881">
        <v>539</v>
      </c>
      <c r="O881">
        <v>149</v>
      </c>
      <c r="P881">
        <v>327</v>
      </c>
      <c r="Q881">
        <v>562</v>
      </c>
      <c r="R881">
        <v>235</v>
      </c>
      <c r="S881">
        <v>280.2</v>
      </c>
      <c r="T881">
        <v>413</v>
      </c>
      <c r="U881">
        <v>417</v>
      </c>
      <c r="V881">
        <v>500</v>
      </c>
      <c r="W881">
        <v>2.79</v>
      </c>
    </row>
    <row r="882" spans="1:23" x14ac:dyDescent="0.25">
      <c r="A882" t="s">
        <v>37</v>
      </c>
      <c r="B882">
        <v>6</v>
      </c>
      <c r="C882">
        <v>19</v>
      </c>
      <c r="D882">
        <v>2004</v>
      </c>
      <c r="E882">
        <v>231.3</v>
      </c>
      <c r="F882">
        <v>12.6</v>
      </c>
      <c r="G882">
        <v>11.1</v>
      </c>
      <c r="H882">
        <v>1.5</v>
      </c>
      <c r="I882">
        <v>11</v>
      </c>
      <c r="J882">
        <v>178.1</v>
      </c>
      <c r="K882">
        <v>1680.7</v>
      </c>
      <c r="L882">
        <v>409</v>
      </c>
      <c r="M882">
        <v>391</v>
      </c>
      <c r="N882">
        <v>543</v>
      </c>
      <c r="O882">
        <v>152</v>
      </c>
      <c r="P882">
        <v>340</v>
      </c>
      <c r="Q882">
        <v>558</v>
      </c>
      <c r="R882">
        <v>218</v>
      </c>
      <c r="S882">
        <v>280.2</v>
      </c>
      <c r="T882">
        <v>413</v>
      </c>
      <c r="U882">
        <v>417</v>
      </c>
      <c r="V882">
        <v>500</v>
      </c>
      <c r="W882">
        <v>2.79</v>
      </c>
    </row>
    <row r="883" spans="1:23" x14ac:dyDescent="0.25">
      <c r="A883" t="s">
        <v>37</v>
      </c>
      <c r="B883">
        <v>6</v>
      </c>
      <c r="C883">
        <v>20</v>
      </c>
      <c r="D883">
        <v>2005</v>
      </c>
      <c r="E883">
        <v>241.5</v>
      </c>
      <c r="F883">
        <v>10.199999999999999</v>
      </c>
      <c r="G883">
        <v>9.3000000000000007</v>
      </c>
      <c r="H883">
        <v>0.9</v>
      </c>
      <c r="I883">
        <v>8</v>
      </c>
      <c r="J883">
        <v>151.5</v>
      </c>
      <c r="K883">
        <v>1832.2</v>
      </c>
      <c r="L883">
        <v>409</v>
      </c>
      <c r="M883">
        <v>396</v>
      </c>
      <c r="N883">
        <v>539</v>
      </c>
      <c r="O883">
        <v>143</v>
      </c>
      <c r="P883">
        <v>352</v>
      </c>
      <c r="Q883">
        <v>563</v>
      </c>
      <c r="R883">
        <v>211</v>
      </c>
      <c r="S883">
        <v>280.2</v>
      </c>
      <c r="T883">
        <v>413</v>
      </c>
      <c r="U883">
        <v>417</v>
      </c>
      <c r="V883">
        <v>500</v>
      </c>
      <c r="W883">
        <v>2.79</v>
      </c>
    </row>
    <row r="884" spans="1:23" x14ac:dyDescent="0.25">
      <c r="A884" t="s">
        <v>37</v>
      </c>
      <c r="B884">
        <v>6</v>
      </c>
      <c r="C884">
        <v>21</v>
      </c>
      <c r="D884">
        <v>2006</v>
      </c>
      <c r="E884">
        <v>248.1</v>
      </c>
      <c r="F884">
        <v>6.6</v>
      </c>
      <c r="G884">
        <v>5.0999999999999996</v>
      </c>
      <c r="H884">
        <v>1.5</v>
      </c>
      <c r="I884">
        <v>22</v>
      </c>
      <c r="J884">
        <v>101.5</v>
      </c>
      <c r="K884">
        <v>1933.8</v>
      </c>
      <c r="L884">
        <v>444</v>
      </c>
      <c r="M884">
        <v>418</v>
      </c>
      <c r="N884">
        <v>534</v>
      </c>
      <c r="O884">
        <v>116</v>
      </c>
      <c r="P884">
        <v>359</v>
      </c>
      <c r="Q884">
        <v>551</v>
      </c>
      <c r="R884">
        <v>192</v>
      </c>
      <c r="S884">
        <v>280.2</v>
      </c>
      <c r="T884">
        <v>413</v>
      </c>
      <c r="U884">
        <v>417</v>
      </c>
      <c r="V884">
        <v>500</v>
      </c>
      <c r="W884">
        <v>2.79</v>
      </c>
    </row>
    <row r="885" spans="1:23" x14ac:dyDescent="0.25">
      <c r="A885" t="s">
        <v>37</v>
      </c>
      <c r="B885">
        <v>6</v>
      </c>
      <c r="C885">
        <v>22</v>
      </c>
      <c r="D885">
        <v>2007</v>
      </c>
      <c r="E885">
        <v>255</v>
      </c>
      <c r="F885">
        <v>6.9</v>
      </c>
      <c r="G885">
        <v>5.4</v>
      </c>
      <c r="H885">
        <v>1.5</v>
      </c>
      <c r="I885">
        <v>21</v>
      </c>
      <c r="J885">
        <v>109.1</v>
      </c>
      <c r="K885">
        <v>2042.8</v>
      </c>
      <c r="L885">
        <v>451</v>
      </c>
      <c r="M885">
        <v>422</v>
      </c>
      <c r="N885">
        <v>555</v>
      </c>
      <c r="O885">
        <v>133</v>
      </c>
      <c r="P885">
        <v>375</v>
      </c>
      <c r="Q885">
        <v>616</v>
      </c>
      <c r="R885">
        <v>241</v>
      </c>
      <c r="S885">
        <v>280.2</v>
      </c>
      <c r="T885">
        <v>413</v>
      </c>
      <c r="U885">
        <v>417</v>
      </c>
      <c r="V885">
        <v>500</v>
      </c>
      <c r="W885">
        <v>2.79</v>
      </c>
    </row>
    <row r="886" spans="1:23" x14ac:dyDescent="0.25">
      <c r="A886" t="s">
        <v>37</v>
      </c>
      <c r="B886">
        <v>6</v>
      </c>
      <c r="C886">
        <v>23</v>
      </c>
      <c r="D886">
        <v>2008</v>
      </c>
      <c r="E886">
        <v>263.7</v>
      </c>
      <c r="F886">
        <v>8.6999999999999993</v>
      </c>
      <c r="G886">
        <v>7.5</v>
      </c>
      <c r="H886">
        <v>1.2</v>
      </c>
      <c r="I886">
        <v>13</v>
      </c>
      <c r="J886">
        <v>141.80000000000001</v>
      </c>
      <c r="K886">
        <v>2184.6</v>
      </c>
      <c r="L886">
        <v>444</v>
      </c>
      <c r="M886">
        <v>426</v>
      </c>
      <c r="N886">
        <v>557</v>
      </c>
      <c r="O886">
        <v>131</v>
      </c>
      <c r="P886">
        <v>386</v>
      </c>
      <c r="Q886">
        <v>575</v>
      </c>
      <c r="R886">
        <v>189</v>
      </c>
      <c r="S886">
        <v>280.2</v>
      </c>
      <c r="T886">
        <v>413</v>
      </c>
      <c r="U886">
        <v>417</v>
      </c>
      <c r="V886">
        <v>500</v>
      </c>
      <c r="W886">
        <v>2.79</v>
      </c>
    </row>
    <row r="887" spans="1:23" x14ac:dyDescent="0.25">
      <c r="A887" t="s">
        <v>37</v>
      </c>
      <c r="B887">
        <v>6</v>
      </c>
      <c r="C887">
        <v>24</v>
      </c>
      <c r="D887">
        <v>2009</v>
      </c>
      <c r="E887">
        <v>270</v>
      </c>
      <c r="F887">
        <v>6.3</v>
      </c>
      <c r="G887">
        <v>5.4</v>
      </c>
      <c r="H887">
        <v>0.9</v>
      </c>
      <c r="I887">
        <v>14</v>
      </c>
      <c r="J887">
        <v>105.6</v>
      </c>
      <c r="K887">
        <v>2290.1999999999998</v>
      </c>
      <c r="L887">
        <v>448</v>
      </c>
      <c r="M887">
        <v>429</v>
      </c>
      <c r="N887">
        <v>566</v>
      </c>
      <c r="O887">
        <v>137</v>
      </c>
      <c r="P887">
        <v>393</v>
      </c>
      <c r="Q887">
        <v>582</v>
      </c>
      <c r="R887">
        <v>189</v>
      </c>
      <c r="S887">
        <v>280.2</v>
      </c>
      <c r="T887">
        <v>413</v>
      </c>
      <c r="U887">
        <v>417</v>
      </c>
      <c r="V887">
        <v>500</v>
      </c>
      <c r="W887">
        <v>2.79</v>
      </c>
    </row>
    <row r="888" spans="1:23" x14ac:dyDescent="0.25">
      <c r="A888" t="s">
        <v>37</v>
      </c>
      <c r="B888">
        <v>6</v>
      </c>
      <c r="C888">
        <v>25</v>
      </c>
      <c r="D888">
        <v>2010</v>
      </c>
      <c r="E888">
        <v>275.10000000000002</v>
      </c>
      <c r="F888">
        <v>5.0999999999999996</v>
      </c>
      <c r="G888">
        <v>4.2</v>
      </c>
      <c r="H888">
        <v>0.9</v>
      </c>
      <c r="I888">
        <v>17</v>
      </c>
      <c r="J888">
        <v>87.3</v>
      </c>
      <c r="K888">
        <v>2377.6</v>
      </c>
      <c r="L888">
        <v>435</v>
      </c>
      <c r="M888">
        <v>410</v>
      </c>
      <c r="N888">
        <v>551</v>
      </c>
      <c r="O888">
        <v>141</v>
      </c>
      <c r="P888">
        <v>371</v>
      </c>
      <c r="Q888">
        <v>576</v>
      </c>
      <c r="R888">
        <v>205</v>
      </c>
      <c r="S888">
        <v>280.2</v>
      </c>
      <c r="T888">
        <v>413</v>
      </c>
      <c r="U888">
        <v>417</v>
      </c>
      <c r="V888">
        <v>500</v>
      </c>
      <c r="W888">
        <v>2.79</v>
      </c>
    </row>
    <row r="889" spans="1:23" x14ac:dyDescent="0.25">
      <c r="A889" t="s">
        <v>37</v>
      </c>
      <c r="B889">
        <v>6</v>
      </c>
      <c r="C889">
        <v>26</v>
      </c>
      <c r="D889">
        <v>2011</v>
      </c>
      <c r="E889">
        <v>278.7</v>
      </c>
      <c r="F889">
        <v>3.6</v>
      </c>
      <c r="G889">
        <v>3.3</v>
      </c>
      <c r="H889">
        <v>0.3</v>
      </c>
      <c r="I889">
        <v>8</v>
      </c>
      <c r="J889">
        <v>62.6</v>
      </c>
      <c r="K889">
        <v>2440.1999999999998</v>
      </c>
      <c r="L889">
        <v>436</v>
      </c>
      <c r="M889">
        <v>423</v>
      </c>
      <c r="N889">
        <v>583</v>
      </c>
      <c r="O889">
        <v>160</v>
      </c>
      <c r="P889">
        <v>382</v>
      </c>
      <c r="Q889">
        <v>583</v>
      </c>
      <c r="R889">
        <v>201</v>
      </c>
      <c r="S889">
        <v>280.2</v>
      </c>
      <c r="T889">
        <v>413</v>
      </c>
      <c r="U889">
        <v>417</v>
      </c>
      <c r="V889">
        <v>500</v>
      </c>
      <c r="W889">
        <v>2.79</v>
      </c>
    </row>
    <row r="890" spans="1:23" x14ac:dyDescent="0.25">
      <c r="A890" t="s">
        <v>37</v>
      </c>
      <c r="B890">
        <v>6</v>
      </c>
      <c r="C890">
        <v>27</v>
      </c>
      <c r="D890">
        <v>2012</v>
      </c>
      <c r="E890">
        <v>283.2</v>
      </c>
      <c r="F890">
        <v>4.5</v>
      </c>
      <c r="G890">
        <v>4.2</v>
      </c>
      <c r="H890">
        <v>0.3</v>
      </c>
      <c r="I890">
        <v>6</v>
      </c>
      <c r="J890">
        <v>79.400000000000006</v>
      </c>
      <c r="K890">
        <v>2519.6</v>
      </c>
      <c r="L890">
        <v>438</v>
      </c>
      <c r="M890">
        <v>433</v>
      </c>
      <c r="N890">
        <v>506</v>
      </c>
      <c r="O890">
        <v>73</v>
      </c>
      <c r="P890">
        <v>382</v>
      </c>
      <c r="Q890">
        <v>506</v>
      </c>
      <c r="R890">
        <v>124</v>
      </c>
      <c r="S890">
        <v>280.2</v>
      </c>
      <c r="T890">
        <v>413</v>
      </c>
      <c r="U890">
        <v>417</v>
      </c>
      <c r="V890">
        <v>500</v>
      </c>
      <c r="W890">
        <v>2.79</v>
      </c>
    </row>
    <row r="891" spans="1:23" x14ac:dyDescent="0.25">
      <c r="A891" t="s">
        <v>37</v>
      </c>
      <c r="B891">
        <v>7</v>
      </c>
      <c r="C891">
        <v>3</v>
      </c>
      <c r="D891">
        <v>1988</v>
      </c>
      <c r="E891">
        <v>16.3</v>
      </c>
      <c r="F891">
        <v>16.3</v>
      </c>
      <c r="G891">
        <v>6.3</v>
      </c>
      <c r="H891">
        <v>0</v>
      </c>
      <c r="I891">
        <v>0</v>
      </c>
      <c r="J891">
        <v>8.3000000000000007</v>
      </c>
      <c r="K891">
        <v>8.3000000000000007</v>
      </c>
      <c r="L891">
        <v>315</v>
      </c>
      <c r="M891">
        <v>315</v>
      </c>
      <c r="P891">
        <v>165</v>
      </c>
      <c r="Q891">
        <v>407</v>
      </c>
      <c r="R891">
        <v>242</v>
      </c>
      <c r="S891">
        <v>213.6</v>
      </c>
      <c r="T891">
        <v>413</v>
      </c>
      <c r="U891">
        <v>422</v>
      </c>
      <c r="V891">
        <v>500</v>
      </c>
      <c r="W891">
        <v>2.79</v>
      </c>
    </row>
    <row r="892" spans="1:23" x14ac:dyDescent="0.25">
      <c r="A892" t="s">
        <v>37</v>
      </c>
      <c r="B892">
        <v>7</v>
      </c>
      <c r="C892">
        <v>4</v>
      </c>
      <c r="D892">
        <v>1989</v>
      </c>
      <c r="E892">
        <v>23.8</v>
      </c>
      <c r="F892">
        <v>7.5</v>
      </c>
      <c r="G892">
        <v>6.9</v>
      </c>
      <c r="H892">
        <v>0.6</v>
      </c>
      <c r="I892">
        <v>8</v>
      </c>
      <c r="J892">
        <v>9.4</v>
      </c>
      <c r="K892">
        <v>17.8</v>
      </c>
      <c r="L892">
        <v>365</v>
      </c>
      <c r="M892">
        <v>352</v>
      </c>
      <c r="N892">
        <v>519</v>
      </c>
      <c r="O892">
        <v>167</v>
      </c>
      <c r="P892">
        <v>297</v>
      </c>
      <c r="Q892">
        <v>539</v>
      </c>
      <c r="R892">
        <v>242</v>
      </c>
      <c r="S892">
        <v>213.6</v>
      </c>
      <c r="T892">
        <v>413</v>
      </c>
      <c r="U892">
        <v>422</v>
      </c>
      <c r="V892">
        <v>500</v>
      </c>
      <c r="W892">
        <v>2.79</v>
      </c>
    </row>
    <row r="893" spans="1:23" x14ac:dyDescent="0.25">
      <c r="A893" t="s">
        <v>37</v>
      </c>
      <c r="B893">
        <v>7</v>
      </c>
      <c r="C893">
        <v>5</v>
      </c>
      <c r="D893">
        <v>1990</v>
      </c>
      <c r="E893">
        <v>31.9</v>
      </c>
      <c r="F893">
        <v>8.1</v>
      </c>
      <c r="G893">
        <v>6.9</v>
      </c>
      <c r="H893">
        <v>1.2</v>
      </c>
      <c r="I893">
        <v>14</v>
      </c>
      <c r="J893">
        <v>14.2</v>
      </c>
      <c r="K893">
        <v>32</v>
      </c>
      <c r="L893">
        <v>401</v>
      </c>
      <c r="M893">
        <v>379</v>
      </c>
      <c r="N893">
        <v>528</v>
      </c>
      <c r="O893">
        <v>149</v>
      </c>
      <c r="P893">
        <v>301</v>
      </c>
      <c r="Q893">
        <v>553</v>
      </c>
      <c r="R893">
        <v>252</v>
      </c>
      <c r="S893">
        <v>213.6</v>
      </c>
      <c r="T893">
        <v>413</v>
      </c>
      <c r="U893">
        <v>422</v>
      </c>
      <c r="V893">
        <v>500</v>
      </c>
      <c r="W893">
        <v>2.79</v>
      </c>
    </row>
    <row r="894" spans="1:23" x14ac:dyDescent="0.25">
      <c r="A894" t="s">
        <v>37</v>
      </c>
      <c r="B894">
        <v>7</v>
      </c>
      <c r="C894">
        <v>6</v>
      </c>
      <c r="D894">
        <v>1991</v>
      </c>
      <c r="E894">
        <v>41.2</v>
      </c>
      <c r="F894">
        <v>9.3000000000000007</v>
      </c>
      <c r="G894">
        <v>7.8</v>
      </c>
      <c r="H894">
        <v>1.5</v>
      </c>
      <c r="I894">
        <v>16</v>
      </c>
      <c r="J894">
        <v>21.4</v>
      </c>
      <c r="K894">
        <v>53.3</v>
      </c>
      <c r="L894">
        <v>418</v>
      </c>
      <c r="M894">
        <v>394</v>
      </c>
      <c r="N894">
        <v>547</v>
      </c>
      <c r="O894">
        <v>153</v>
      </c>
      <c r="P894">
        <v>360</v>
      </c>
      <c r="Q894">
        <v>571</v>
      </c>
      <c r="R894">
        <v>211</v>
      </c>
      <c r="S894">
        <v>213.6</v>
      </c>
      <c r="T894">
        <v>413</v>
      </c>
      <c r="U894">
        <v>422</v>
      </c>
      <c r="V894">
        <v>500</v>
      </c>
      <c r="W894">
        <v>2.79</v>
      </c>
    </row>
    <row r="895" spans="1:23" x14ac:dyDescent="0.25">
      <c r="A895" t="s">
        <v>37</v>
      </c>
      <c r="B895">
        <v>7</v>
      </c>
      <c r="C895">
        <v>7</v>
      </c>
      <c r="D895">
        <v>1992</v>
      </c>
      <c r="E895">
        <v>52.9</v>
      </c>
      <c r="F895">
        <v>11.7</v>
      </c>
      <c r="G895">
        <v>11.1</v>
      </c>
      <c r="H895">
        <v>0.6</v>
      </c>
      <c r="I895">
        <v>5</v>
      </c>
      <c r="J895">
        <v>34.6</v>
      </c>
      <c r="K895">
        <v>87.9</v>
      </c>
      <c r="L895">
        <v>380</v>
      </c>
      <c r="M895">
        <v>370</v>
      </c>
      <c r="N895">
        <v>548</v>
      </c>
      <c r="O895">
        <v>178</v>
      </c>
      <c r="P895">
        <v>314</v>
      </c>
      <c r="Q895">
        <v>576</v>
      </c>
      <c r="R895">
        <v>262</v>
      </c>
      <c r="S895">
        <v>213.6</v>
      </c>
      <c r="T895">
        <v>413</v>
      </c>
      <c r="U895">
        <v>422</v>
      </c>
      <c r="V895">
        <v>500</v>
      </c>
      <c r="W895">
        <v>2.79</v>
      </c>
    </row>
    <row r="896" spans="1:23" x14ac:dyDescent="0.25">
      <c r="A896" t="s">
        <v>37</v>
      </c>
      <c r="B896">
        <v>7</v>
      </c>
      <c r="C896">
        <v>8</v>
      </c>
      <c r="D896">
        <v>1993</v>
      </c>
      <c r="E896">
        <v>61.9</v>
      </c>
      <c r="F896">
        <v>9</v>
      </c>
      <c r="G896">
        <v>7.8</v>
      </c>
      <c r="H896">
        <v>1.2</v>
      </c>
      <c r="I896">
        <v>13</v>
      </c>
      <c r="J896">
        <v>32.5</v>
      </c>
      <c r="K896">
        <v>120.4</v>
      </c>
      <c r="L896">
        <v>394</v>
      </c>
      <c r="M896">
        <v>368</v>
      </c>
      <c r="N896">
        <v>565</v>
      </c>
      <c r="O896">
        <v>197</v>
      </c>
      <c r="P896">
        <v>313</v>
      </c>
      <c r="Q896">
        <v>579</v>
      </c>
      <c r="R896">
        <v>266</v>
      </c>
      <c r="S896">
        <v>213.6</v>
      </c>
      <c r="T896">
        <v>413</v>
      </c>
      <c r="U896">
        <v>422</v>
      </c>
      <c r="V896">
        <v>500</v>
      </c>
      <c r="W896">
        <v>2.79</v>
      </c>
    </row>
    <row r="897" spans="1:23" x14ac:dyDescent="0.25">
      <c r="A897" t="s">
        <v>37</v>
      </c>
      <c r="B897">
        <v>7</v>
      </c>
      <c r="C897">
        <v>9</v>
      </c>
      <c r="D897">
        <v>1994</v>
      </c>
      <c r="E897">
        <v>69.099999999999994</v>
      </c>
      <c r="F897">
        <v>7.2</v>
      </c>
      <c r="G897">
        <v>6.3</v>
      </c>
      <c r="H897">
        <v>0.9</v>
      </c>
      <c r="I897">
        <v>12</v>
      </c>
      <c r="J897">
        <v>29.6</v>
      </c>
      <c r="K897">
        <v>150</v>
      </c>
      <c r="L897">
        <v>413</v>
      </c>
      <c r="M897">
        <v>395</v>
      </c>
      <c r="N897">
        <v>535</v>
      </c>
      <c r="O897">
        <v>140</v>
      </c>
      <c r="P897">
        <v>326</v>
      </c>
      <c r="Q897">
        <v>537</v>
      </c>
      <c r="R897">
        <v>211</v>
      </c>
      <c r="S897">
        <v>213.6</v>
      </c>
      <c r="T897">
        <v>413</v>
      </c>
      <c r="U897">
        <v>422</v>
      </c>
      <c r="V897">
        <v>500</v>
      </c>
      <c r="W897">
        <v>2.79</v>
      </c>
    </row>
    <row r="898" spans="1:23" x14ac:dyDescent="0.25">
      <c r="A898" t="s">
        <v>37</v>
      </c>
      <c r="B898">
        <v>7</v>
      </c>
      <c r="C898">
        <v>10</v>
      </c>
      <c r="D898">
        <v>1995</v>
      </c>
      <c r="E898">
        <v>77.2</v>
      </c>
      <c r="F898">
        <v>8.1</v>
      </c>
      <c r="G898">
        <v>7.5</v>
      </c>
      <c r="H898">
        <v>0.6</v>
      </c>
      <c r="I898">
        <v>7</v>
      </c>
      <c r="J898">
        <v>37.200000000000003</v>
      </c>
      <c r="K898">
        <v>187.2</v>
      </c>
      <c r="L898">
        <v>422</v>
      </c>
      <c r="M898">
        <v>413</v>
      </c>
      <c r="N898">
        <v>534</v>
      </c>
      <c r="O898">
        <v>121</v>
      </c>
      <c r="P898">
        <v>320</v>
      </c>
      <c r="Q898">
        <v>562</v>
      </c>
      <c r="R898">
        <v>242</v>
      </c>
      <c r="S898">
        <v>213.6</v>
      </c>
      <c r="T898">
        <v>413</v>
      </c>
      <c r="U898">
        <v>422</v>
      </c>
      <c r="V898">
        <v>500</v>
      </c>
      <c r="W898">
        <v>2.79</v>
      </c>
    </row>
    <row r="899" spans="1:23" x14ac:dyDescent="0.25">
      <c r="A899" t="s">
        <v>37</v>
      </c>
      <c r="B899">
        <v>7</v>
      </c>
      <c r="C899">
        <v>11</v>
      </c>
      <c r="D899">
        <v>1996</v>
      </c>
      <c r="E899">
        <v>89.5</v>
      </c>
      <c r="F899">
        <v>12.3</v>
      </c>
      <c r="G899">
        <v>10.199999999999999</v>
      </c>
      <c r="H899">
        <v>2.1</v>
      </c>
      <c r="I899">
        <v>17</v>
      </c>
      <c r="J899">
        <v>64.400000000000006</v>
      </c>
      <c r="K899">
        <v>251.6</v>
      </c>
      <c r="L899">
        <v>413</v>
      </c>
      <c r="M899">
        <v>386</v>
      </c>
      <c r="N899">
        <v>545</v>
      </c>
      <c r="O899">
        <v>159</v>
      </c>
      <c r="P899">
        <v>335</v>
      </c>
      <c r="Q899">
        <v>573</v>
      </c>
      <c r="R899">
        <v>238</v>
      </c>
      <c r="S899">
        <v>213.6</v>
      </c>
      <c r="T899">
        <v>413</v>
      </c>
      <c r="U899">
        <v>422</v>
      </c>
      <c r="V899">
        <v>500</v>
      </c>
      <c r="W899">
        <v>2.79</v>
      </c>
    </row>
    <row r="900" spans="1:23" x14ac:dyDescent="0.25">
      <c r="A900" t="s">
        <v>37</v>
      </c>
      <c r="B900">
        <v>7</v>
      </c>
      <c r="C900">
        <v>12</v>
      </c>
      <c r="D900">
        <v>1997</v>
      </c>
      <c r="E900">
        <v>104.2</v>
      </c>
      <c r="F900">
        <v>14.7</v>
      </c>
      <c r="G900">
        <v>11.7</v>
      </c>
      <c r="H900">
        <v>3</v>
      </c>
      <c r="I900">
        <v>20</v>
      </c>
      <c r="J900">
        <v>89.5</v>
      </c>
      <c r="K900">
        <v>341.1</v>
      </c>
      <c r="L900">
        <v>428</v>
      </c>
      <c r="M900">
        <v>404</v>
      </c>
      <c r="N900">
        <v>521</v>
      </c>
      <c r="O900">
        <v>117</v>
      </c>
      <c r="P900">
        <v>334</v>
      </c>
      <c r="Q900">
        <v>548</v>
      </c>
      <c r="R900">
        <v>214</v>
      </c>
      <c r="S900">
        <v>213.6</v>
      </c>
      <c r="T900">
        <v>413</v>
      </c>
      <c r="U900">
        <v>422</v>
      </c>
      <c r="V900">
        <v>500</v>
      </c>
      <c r="W900">
        <v>2.79</v>
      </c>
    </row>
    <row r="901" spans="1:23" x14ac:dyDescent="0.25">
      <c r="A901" t="s">
        <v>37</v>
      </c>
      <c r="B901">
        <v>7</v>
      </c>
      <c r="C901">
        <v>13</v>
      </c>
      <c r="D901">
        <v>1998</v>
      </c>
      <c r="E901">
        <v>116.5</v>
      </c>
      <c r="F901">
        <v>12.3</v>
      </c>
      <c r="G901">
        <v>10.199999999999999</v>
      </c>
      <c r="H901">
        <v>2.1</v>
      </c>
      <c r="I901">
        <v>17</v>
      </c>
      <c r="J901">
        <v>85.3</v>
      </c>
      <c r="K901">
        <v>426.4</v>
      </c>
      <c r="L901">
        <v>409</v>
      </c>
      <c r="M901">
        <v>385</v>
      </c>
      <c r="N901">
        <v>528</v>
      </c>
      <c r="O901">
        <v>143</v>
      </c>
      <c r="P901">
        <v>301</v>
      </c>
      <c r="Q901">
        <v>552</v>
      </c>
      <c r="R901">
        <v>251</v>
      </c>
      <c r="S901">
        <v>213.6</v>
      </c>
      <c r="T901">
        <v>413</v>
      </c>
      <c r="U901">
        <v>422</v>
      </c>
      <c r="V901">
        <v>500</v>
      </c>
      <c r="W901">
        <v>2.79</v>
      </c>
    </row>
    <row r="902" spans="1:23" x14ac:dyDescent="0.25">
      <c r="A902" t="s">
        <v>37</v>
      </c>
      <c r="B902">
        <v>7</v>
      </c>
      <c r="C902">
        <v>14</v>
      </c>
      <c r="D902">
        <v>1999</v>
      </c>
      <c r="E902">
        <v>128.5</v>
      </c>
      <c r="F902">
        <v>12</v>
      </c>
      <c r="G902">
        <v>11.7</v>
      </c>
      <c r="H902">
        <v>0.3</v>
      </c>
      <c r="I902">
        <v>2</v>
      </c>
      <c r="J902">
        <v>92.4</v>
      </c>
      <c r="K902">
        <v>518.70000000000005</v>
      </c>
      <c r="L902">
        <v>384</v>
      </c>
      <c r="M902">
        <v>381</v>
      </c>
      <c r="N902">
        <v>505</v>
      </c>
      <c r="O902">
        <v>124</v>
      </c>
      <c r="P902">
        <v>335</v>
      </c>
      <c r="Q902">
        <v>505</v>
      </c>
      <c r="R902">
        <v>170</v>
      </c>
      <c r="S902">
        <v>213.6</v>
      </c>
      <c r="T902">
        <v>413</v>
      </c>
      <c r="U902">
        <v>422</v>
      </c>
      <c r="V902">
        <v>500</v>
      </c>
      <c r="W902">
        <v>2.79</v>
      </c>
    </row>
    <row r="903" spans="1:23" x14ac:dyDescent="0.25">
      <c r="A903" t="s">
        <v>37</v>
      </c>
      <c r="B903">
        <v>7</v>
      </c>
      <c r="C903">
        <v>15</v>
      </c>
      <c r="D903">
        <v>2000</v>
      </c>
      <c r="E903">
        <v>137.19999999999999</v>
      </c>
      <c r="F903">
        <v>8.6999999999999993</v>
      </c>
      <c r="G903">
        <v>7.5</v>
      </c>
      <c r="H903">
        <v>1.2</v>
      </c>
      <c r="I903">
        <v>13</v>
      </c>
      <c r="J903">
        <v>72.599999999999994</v>
      </c>
      <c r="K903">
        <v>591.4</v>
      </c>
      <c r="L903">
        <v>416</v>
      </c>
      <c r="M903">
        <v>394</v>
      </c>
      <c r="N903">
        <v>552</v>
      </c>
      <c r="O903">
        <v>158</v>
      </c>
      <c r="P903">
        <v>337</v>
      </c>
      <c r="Q903">
        <v>581</v>
      </c>
      <c r="R903">
        <v>244</v>
      </c>
      <c r="S903">
        <v>213.6</v>
      </c>
      <c r="T903">
        <v>413</v>
      </c>
      <c r="U903">
        <v>422</v>
      </c>
      <c r="V903">
        <v>500</v>
      </c>
      <c r="W903">
        <v>2.79</v>
      </c>
    </row>
    <row r="904" spans="1:23" x14ac:dyDescent="0.25">
      <c r="A904" t="s">
        <v>37</v>
      </c>
      <c r="B904">
        <v>7</v>
      </c>
      <c r="C904">
        <v>16</v>
      </c>
      <c r="D904">
        <v>2001</v>
      </c>
      <c r="E904">
        <v>145</v>
      </c>
      <c r="F904">
        <v>7.8</v>
      </c>
      <c r="G904">
        <v>6.3</v>
      </c>
      <c r="H904">
        <v>1.5</v>
      </c>
      <c r="I904">
        <v>19</v>
      </c>
      <c r="J904">
        <v>69.2</v>
      </c>
      <c r="K904">
        <v>660.5</v>
      </c>
      <c r="L904">
        <v>442</v>
      </c>
      <c r="M904">
        <v>414</v>
      </c>
      <c r="N904">
        <v>563</v>
      </c>
      <c r="O904">
        <v>149</v>
      </c>
      <c r="P904">
        <v>346</v>
      </c>
      <c r="Q904">
        <v>601</v>
      </c>
      <c r="R904">
        <v>255</v>
      </c>
      <c r="S904">
        <v>213.6</v>
      </c>
      <c r="T904">
        <v>413</v>
      </c>
      <c r="U904">
        <v>422</v>
      </c>
      <c r="V904">
        <v>500</v>
      </c>
      <c r="W904">
        <v>2.79</v>
      </c>
    </row>
    <row r="905" spans="1:23" x14ac:dyDescent="0.25">
      <c r="A905" t="s">
        <v>37</v>
      </c>
      <c r="B905">
        <v>7</v>
      </c>
      <c r="C905">
        <v>17</v>
      </c>
      <c r="D905">
        <v>2002</v>
      </c>
      <c r="E905">
        <v>153.69999999999999</v>
      </c>
      <c r="F905">
        <v>8.6999999999999993</v>
      </c>
      <c r="G905">
        <v>6</v>
      </c>
      <c r="H905">
        <v>2.7</v>
      </c>
      <c r="I905">
        <v>31</v>
      </c>
      <c r="J905">
        <v>81.599999999999994</v>
      </c>
      <c r="K905">
        <v>742.2</v>
      </c>
      <c r="L905">
        <v>476</v>
      </c>
      <c r="M905">
        <v>428</v>
      </c>
      <c r="N905">
        <v>582</v>
      </c>
      <c r="O905">
        <v>154</v>
      </c>
      <c r="P905">
        <v>373</v>
      </c>
      <c r="Q905">
        <v>609</v>
      </c>
      <c r="R905">
        <v>236</v>
      </c>
      <c r="S905">
        <v>213.6</v>
      </c>
      <c r="T905">
        <v>413</v>
      </c>
      <c r="U905">
        <v>422</v>
      </c>
      <c r="V905">
        <v>500</v>
      </c>
      <c r="W905">
        <v>2.79</v>
      </c>
    </row>
    <row r="906" spans="1:23" x14ac:dyDescent="0.25">
      <c r="A906" t="s">
        <v>37</v>
      </c>
      <c r="B906">
        <v>7</v>
      </c>
      <c r="C906">
        <v>18</v>
      </c>
      <c r="D906">
        <v>2003</v>
      </c>
      <c r="E906">
        <v>164.8</v>
      </c>
      <c r="F906">
        <v>11.1</v>
      </c>
      <c r="G906">
        <v>9.6</v>
      </c>
      <c r="H906">
        <v>1.5</v>
      </c>
      <c r="I906">
        <v>13</v>
      </c>
      <c r="J906">
        <v>111.1</v>
      </c>
      <c r="K906">
        <v>853.2</v>
      </c>
      <c r="L906">
        <v>440</v>
      </c>
      <c r="M906">
        <v>425</v>
      </c>
      <c r="N906">
        <v>535</v>
      </c>
      <c r="O906">
        <v>110</v>
      </c>
      <c r="P906">
        <v>363</v>
      </c>
      <c r="Q906">
        <v>553</v>
      </c>
      <c r="R906">
        <v>190</v>
      </c>
      <c r="S906">
        <v>213.6</v>
      </c>
      <c r="T906">
        <v>413</v>
      </c>
      <c r="U906">
        <v>422</v>
      </c>
      <c r="V906">
        <v>500</v>
      </c>
      <c r="W906">
        <v>2.79</v>
      </c>
    </row>
    <row r="907" spans="1:23" x14ac:dyDescent="0.25">
      <c r="A907" t="s">
        <v>37</v>
      </c>
      <c r="B907">
        <v>7</v>
      </c>
      <c r="C907">
        <v>19</v>
      </c>
      <c r="D907">
        <v>2004</v>
      </c>
      <c r="E907">
        <v>177.4</v>
      </c>
      <c r="F907">
        <v>12.6</v>
      </c>
      <c r="G907">
        <v>10.8</v>
      </c>
      <c r="H907">
        <v>1.8</v>
      </c>
      <c r="I907">
        <v>14</v>
      </c>
      <c r="J907">
        <v>135.5</v>
      </c>
      <c r="K907">
        <v>988.7</v>
      </c>
      <c r="L907">
        <v>420</v>
      </c>
      <c r="M907">
        <v>402</v>
      </c>
      <c r="N907">
        <v>529</v>
      </c>
      <c r="O907">
        <v>127</v>
      </c>
      <c r="P907">
        <v>334</v>
      </c>
      <c r="Q907">
        <v>548</v>
      </c>
      <c r="R907">
        <v>214</v>
      </c>
      <c r="S907">
        <v>213.6</v>
      </c>
      <c r="T907">
        <v>413</v>
      </c>
      <c r="U907">
        <v>422</v>
      </c>
      <c r="V907">
        <v>500</v>
      </c>
      <c r="W907">
        <v>2.79</v>
      </c>
    </row>
    <row r="908" spans="1:23" x14ac:dyDescent="0.25">
      <c r="A908" t="s">
        <v>37</v>
      </c>
      <c r="B908">
        <v>7</v>
      </c>
      <c r="C908">
        <v>20</v>
      </c>
      <c r="D908">
        <v>2005</v>
      </c>
      <c r="E908">
        <v>186.7</v>
      </c>
      <c r="F908">
        <v>9.3000000000000007</v>
      </c>
      <c r="G908">
        <v>8.4</v>
      </c>
      <c r="H908">
        <v>0.9</v>
      </c>
      <c r="I908">
        <v>9</v>
      </c>
      <c r="J908">
        <v>106.4</v>
      </c>
      <c r="K908">
        <v>1095.0999999999999</v>
      </c>
      <c r="L908">
        <v>433</v>
      </c>
      <c r="M908">
        <v>422</v>
      </c>
      <c r="N908">
        <v>531</v>
      </c>
      <c r="O908">
        <v>109</v>
      </c>
      <c r="P908">
        <v>369</v>
      </c>
      <c r="Q908">
        <v>561</v>
      </c>
      <c r="R908">
        <v>192</v>
      </c>
      <c r="S908">
        <v>213.6</v>
      </c>
      <c r="T908">
        <v>413</v>
      </c>
      <c r="U908">
        <v>422</v>
      </c>
      <c r="V908">
        <v>500</v>
      </c>
      <c r="W908">
        <v>2.79</v>
      </c>
    </row>
    <row r="909" spans="1:23" x14ac:dyDescent="0.25">
      <c r="A909" t="s">
        <v>37</v>
      </c>
      <c r="B909">
        <v>7</v>
      </c>
      <c r="C909">
        <v>21</v>
      </c>
      <c r="D909">
        <v>2006</v>
      </c>
      <c r="E909">
        <v>193</v>
      </c>
      <c r="F909">
        <v>6.3</v>
      </c>
      <c r="G909">
        <v>5.4</v>
      </c>
      <c r="H909">
        <v>0.9</v>
      </c>
      <c r="I909">
        <v>14</v>
      </c>
      <c r="J909">
        <v>75.2</v>
      </c>
      <c r="K909">
        <v>1170.2</v>
      </c>
      <c r="L909">
        <v>415</v>
      </c>
      <c r="M909">
        <v>395</v>
      </c>
      <c r="N909">
        <v>536</v>
      </c>
      <c r="O909">
        <v>141</v>
      </c>
      <c r="P909">
        <v>345</v>
      </c>
      <c r="Q909">
        <v>550</v>
      </c>
      <c r="R909">
        <v>205</v>
      </c>
      <c r="S909">
        <v>213.6</v>
      </c>
      <c r="T909">
        <v>413</v>
      </c>
      <c r="U909">
        <v>422</v>
      </c>
      <c r="V909">
        <v>500</v>
      </c>
      <c r="W909">
        <v>2.79</v>
      </c>
    </row>
    <row r="910" spans="1:23" x14ac:dyDescent="0.25">
      <c r="A910" t="s">
        <v>37</v>
      </c>
      <c r="B910">
        <v>7</v>
      </c>
      <c r="C910">
        <v>22</v>
      </c>
      <c r="D910">
        <v>2007</v>
      </c>
      <c r="E910">
        <v>198.4</v>
      </c>
      <c r="F910">
        <v>5.4</v>
      </c>
      <c r="G910">
        <v>4.2</v>
      </c>
      <c r="H910">
        <v>1.2</v>
      </c>
      <c r="I910">
        <v>22</v>
      </c>
      <c r="J910">
        <v>66.400000000000006</v>
      </c>
      <c r="K910">
        <v>1236.5999999999999</v>
      </c>
      <c r="L910">
        <v>437</v>
      </c>
      <c r="M910">
        <v>402</v>
      </c>
      <c r="N910">
        <v>561</v>
      </c>
      <c r="O910">
        <v>159</v>
      </c>
      <c r="P910">
        <v>333</v>
      </c>
      <c r="Q910">
        <v>588</v>
      </c>
      <c r="R910">
        <v>255</v>
      </c>
      <c r="S910">
        <v>213.6</v>
      </c>
      <c r="T910">
        <v>413</v>
      </c>
      <c r="U910">
        <v>422</v>
      </c>
      <c r="V910">
        <v>500</v>
      </c>
      <c r="W910">
        <v>2.79</v>
      </c>
    </row>
    <row r="911" spans="1:23" x14ac:dyDescent="0.25">
      <c r="A911" t="s">
        <v>37</v>
      </c>
      <c r="B911">
        <v>7</v>
      </c>
      <c r="C911">
        <v>23</v>
      </c>
      <c r="D911">
        <v>2008</v>
      </c>
      <c r="E911">
        <v>205.9</v>
      </c>
      <c r="F911">
        <v>7.5</v>
      </c>
      <c r="G911">
        <v>6</v>
      </c>
      <c r="H911">
        <v>1.5</v>
      </c>
      <c r="I911">
        <v>20</v>
      </c>
      <c r="J911">
        <v>95.3</v>
      </c>
      <c r="K911">
        <v>1331.9</v>
      </c>
      <c r="L911">
        <v>420</v>
      </c>
      <c r="M911">
        <v>395</v>
      </c>
      <c r="N911">
        <v>518</v>
      </c>
      <c r="O911">
        <v>123</v>
      </c>
      <c r="P911">
        <v>355</v>
      </c>
      <c r="Q911">
        <v>534</v>
      </c>
      <c r="R911">
        <v>179</v>
      </c>
      <c r="S911">
        <v>213.6</v>
      </c>
      <c r="T911">
        <v>413</v>
      </c>
      <c r="U911">
        <v>422</v>
      </c>
      <c r="V911">
        <v>500</v>
      </c>
      <c r="W911">
        <v>2.79</v>
      </c>
    </row>
    <row r="912" spans="1:23" x14ac:dyDescent="0.25">
      <c r="A912" t="s">
        <v>37</v>
      </c>
      <c r="B912">
        <v>7</v>
      </c>
      <c r="C912">
        <v>24</v>
      </c>
      <c r="D912">
        <v>2009</v>
      </c>
      <c r="E912">
        <v>211</v>
      </c>
      <c r="F912">
        <v>5.0999999999999996</v>
      </c>
      <c r="G912">
        <v>4.2</v>
      </c>
      <c r="H912">
        <v>0.9</v>
      </c>
      <c r="I912">
        <v>17</v>
      </c>
      <c r="J912">
        <v>66.8</v>
      </c>
      <c r="K912">
        <v>1398.7</v>
      </c>
      <c r="L912">
        <v>418</v>
      </c>
      <c r="M912">
        <v>392</v>
      </c>
      <c r="N912">
        <v>540</v>
      </c>
      <c r="O912">
        <v>148</v>
      </c>
      <c r="P912">
        <v>326</v>
      </c>
      <c r="Q912">
        <v>556</v>
      </c>
      <c r="R912">
        <v>230</v>
      </c>
      <c r="S912">
        <v>213.6</v>
      </c>
      <c r="T912">
        <v>413</v>
      </c>
      <c r="U912">
        <v>422</v>
      </c>
      <c r="V912">
        <v>500</v>
      </c>
      <c r="W912">
        <v>2.79</v>
      </c>
    </row>
    <row r="913" spans="1:23" x14ac:dyDescent="0.25">
      <c r="A913" t="s">
        <v>37</v>
      </c>
      <c r="B913">
        <v>7</v>
      </c>
      <c r="C913">
        <v>25</v>
      </c>
      <c r="D913">
        <v>2010</v>
      </c>
      <c r="E913">
        <v>216.1</v>
      </c>
      <c r="F913">
        <v>5.0999999999999996</v>
      </c>
      <c r="G913">
        <v>4.2</v>
      </c>
      <c r="H913">
        <v>0.9</v>
      </c>
      <c r="I913">
        <v>17</v>
      </c>
      <c r="J913">
        <v>68.400000000000006</v>
      </c>
      <c r="K913">
        <v>1467.1</v>
      </c>
      <c r="L913">
        <v>427</v>
      </c>
      <c r="M913">
        <v>396</v>
      </c>
      <c r="N913">
        <v>572</v>
      </c>
      <c r="O913">
        <v>176</v>
      </c>
      <c r="P913">
        <v>344</v>
      </c>
      <c r="Q913">
        <v>597</v>
      </c>
      <c r="R913">
        <v>253</v>
      </c>
      <c r="S913">
        <v>213.6</v>
      </c>
      <c r="T913">
        <v>413</v>
      </c>
      <c r="U913">
        <v>422</v>
      </c>
      <c r="V913">
        <v>500</v>
      </c>
      <c r="W913">
        <v>2.79</v>
      </c>
    </row>
    <row r="914" spans="1:23" x14ac:dyDescent="0.25">
      <c r="A914" t="s">
        <v>37</v>
      </c>
      <c r="B914">
        <v>7</v>
      </c>
      <c r="C914">
        <v>26</v>
      </c>
      <c r="D914">
        <v>2011</v>
      </c>
      <c r="E914">
        <v>220.3</v>
      </c>
      <c r="F914">
        <v>4.2</v>
      </c>
      <c r="G914">
        <v>3.3</v>
      </c>
      <c r="H914">
        <v>0.9</v>
      </c>
      <c r="I914">
        <v>21</v>
      </c>
      <c r="J914">
        <v>57.6</v>
      </c>
      <c r="K914">
        <v>1524.7</v>
      </c>
      <c r="L914">
        <v>426</v>
      </c>
      <c r="M914">
        <v>390</v>
      </c>
      <c r="N914">
        <v>560</v>
      </c>
      <c r="O914">
        <v>170</v>
      </c>
      <c r="P914">
        <v>355</v>
      </c>
      <c r="Q914">
        <v>605</v>
      </c>
      <c r="R914">
        <v>250</v>
      </c>
      <c r="S914">
        <v>213.6</v>
      </c>
      <c r="T914">
        <v>413</v>
      </c>
      <c r="U914">
        <v>422</v>
      </c>
      <c r="V914">
        <v>500</v>
      </c>
      <c r="W914">
        <v>2.79</v>
      </c>
    </row>
    <row r="915" spans="1:23" x14ac:dyDescent="0.25">
      <c r="A915" t="s">
        <v>37</v>
      </c>
      <c r="B915">
        <v>7</v>
      </c>
      <c r="C915">
        <v>27</v>
      </c>
      <c r="D915">
        <v>2012</v>
      </c>
      <c r="E915">
        <v>223.6</v>
      </c>
      <c r="F915">
        <v>3.3</v>
      </c>
      <c r="G915">
        <v>2.7</v>
      </c>
      <c r="H915">
        <v>0.6</v>
      </c>
      <c r="I915">
        <v>18</v>
      </c>
      <c r="J915">
        <v>46</v>
      </c>
      <c r="K915">
        <v>1570.7</v>
      </c>
      <c r="L915">
        <v>435</v>
      </c>
      <c r="M915">
        <v>416</v>
      </c>
      <c r="N915">
        <v>523</v>
      </c>
      <c r="O915">
        <v>107</v>
      </c>
      <c r="P915">
        <v>366</v>
      </c>
      <c r="Q915">
        <v>531</v>
      </c>
      <c r="R915">
        <v>165</v>
      </c>
      <c r="S915">
        <v>213.6</v>
      </c>
      <c r="T915">
        <v>413</v>
      </c>
      <c r="U915">
        <v>422</v>
      </c>
      <c r="V915">
        <v>500</v>
      </c>
      <c r="W915">
        <v>2.79</v>
      </c>
    </row>
    <row r="916" spans="1:23" x14ac:dyDescent="0.25">
      <c r="A916" t="s">
        <v>37</v>
      </c>
      <c r="B916">
        <v>8</v>
      </c>
      <c r="C916">
        <v>2</v>
      </c>
      <c r="D916">
        <v>1987</v>
      </c>
      <c r="E916">
        <v>37.200000000000003</v>
      </c>
      <c r="F916">
        <v>37.200000000000003</v>
      </c>
      <c r="G916">
        <v>22.2</v>
      </c>
      <c r="H916">
        <v>0</v>
      </c>
      <c r="I916">
        <v>0</v>
      </c>
      <c r="J916">
        <v>43.5</v>
      </c>
      <c r="K916">
        <v>43.5</v>
      </c>
      <c r="L916">
        <v>404</v>
      </c>
      <c r="M916">
        <v>404</v>
      </c>
      <c r="P916">
        <v>316</v>
      </c>
      <c r="Q916">
        <v>488</v>
      </c>
      <c r="R916">
        <v>172</v>
      </c>
      <c r="S916">
        <v>200.4</v>
      </c>
      <c r="T916">
        <v>427</v>
      </c>
      <c r="U916">
        <v>430</v>
      </c>
      <c r="V916">
        <v>500</v>
      </c>
      <c r="W916">
        <v>2.79</v>
      </c>
    </row>
    <row r="917" spans="1:23" x14ac:dyDescent="0.25">
      <c r="A917" t="s">
        <v>37</v>
      </c>
      <c r="B917">
        <v>8</v>
      </c>
      <c r="C917">
        <v>3</v>
      </c>
      <c r="D917">
        <v>1988</v>
      </c>
      <c r="E917">
        <v>49.8</v>
      </c>
      <c r="F917">
        <v>12.6</v>
      </c>
      <c r="G917">
        <v>12.6</v>
      </c>
      <c r="H917">
        <v>0</v>
      </c>
      <c r="I917">
        <v>0</v>
      </c>
      <c r="J917">
        <v>34.4</v>
      </c>
      <c r="K917">
        <v>77.900000000000006</v>
      </c>
      <c r="L917">
        <v>387</v>
      </c>
      <c r="M917">
        <v>387</v>
      </c>
      <c r="P917">
        <v>346</v>
      </c>
      <c r="Q917">
        <v>453</v>
      </c>
      <c r="R917">
        <v>107</v>
      </c>
      <c r="S917">
        <v>200.4</v>
      </c>
      <c r="T917">
        <v>427</v>
      </c>
      <c r="U917">
        <v>430</v>
      </c>
      <c r="V917">
        <v>500</v>
      </c>
      <c r="W917">
        <v>2.79</v>
      </c>
    </row>
    <row r="918" spans="1:23" x14ac:dyDescent="0.25">
      <c r="A918" t="s">
        <v>37</v>
      </c>
      <c r="B918">
        <v>8</v>
      </c>
      <c r="C918">
        <v>4</v>
      </c>
      <c r="D918">
        <v>1989</v>
      </c>
      <c r="E918">
        <v>61.5</v>
      </c>
      <c r="F918">
        <v>11.7</v>
      </c>
      <c r="G918">
        <v>11.4</v>
      </c>
      <c r="H918">
        <v>0.3</v>
      </c>
      <c r="I918">
        <v>2</v>
      </c>
      <c r="J918">
        <v>40.9</v>
      </c>
      <c r="K918">
        <v>118.8</v>
      </c>
      <c r="L918">
        <v>364</v>
      </c>
      <c r="M918">
        <v>359</v>
      </c>
      <c r="N918">
        <v>536</v>
      </c>
      <c r="O918">
        <v>177</v>
      </c>
      <c r="P918">
        <v>279</v>
      </c>
      <c r="Q918">
        <v>536</v>
      </c>
      <c r="R918">
        <v>257</v>
      </c>
      <c r="S918">
        <v>200.4</v>
      </c>
      <c r="T918">
        <v>427</v>
      </c>
      <c r="U918">
        <v>430</v>
      </c>
      <c r="V918">
        <v>500</v>
      </c>
      <c r="W918">
        <v>2.79</v>
      </c>
    </row>
    <row r="919" spans="1:23" x14ac:dyDescent="0.25">
      <c r="A919" t="s">
        <v>37</v>
      </c>
      <c r="B919">
        <v>8</v>
      </c>
      <c r="C919">
        <v>5</v>
      </c>
      <c r="D919">
        <v>1990</v>
      </c>
      <c r="E919">
        <v>72.900000000000006</v>
      </c>
      <c r="F919">
        <v>11.4</v>
      </c>
      <c r="G919">
        <v>9</v>
      </c>
      <c r="H919">
        <v>2.4</v>
      </c>
      <c r="I919">
        <v>21</v>
      </c>
      <c r="J919">
        <v>48.1</v>
      </c>
      <c r="K919">
        <v>167</v>
      </c>
      <c r="L919">
        <v>412</v>
      </c>
      <c r="M919">
        <v>376</v>
      </c>
      <c r="N919">
        <v>547</v>
      </c>
      <c r="O919">
        <v>171</v>
      </c>
      <c r="P919">
        <v>326</v>
      </c>
      <c r="Q919">
        <v>583</v>
      </c>
      <c r="R919">
        <v>257</v>
      </c>
      <c r="S919">
        <v>200.4</v>
      </c>
      <c r="T919">
        <v>427</v>
      </c>
      <c r="U919">
        <v>430</v>
      </c>
      <c r="V919">
        <v>500</v>
      </c>
      <c r="W919">
        <v>2.79</v>
      </c>
    </row>
    <row r="920" spans="1:23" x14ac:dyDescent="0.25">
      <c r="A920" t="s">
        <v>37</v>
      </c>
      <c r="B920">
        <v>8</v>
      </c>
      <c r="C920">
        <v>6</v>
      </c>
      <c r="D920">
        <v>1991</v>
      </c>
      <c r="E920">
        <v>85.8</v>
      </c>
      <c r="F920">
        <v>12.9</v>
      </c>
      <c r="G920">
        <v>11.4</v>
      </c>
      <c r="H920">
        <v>1.5</v>
      </c>
      <c r="I920">
        <v>11</v>
      </c>
      <c r="J920">
        <v>64.3</v>
      </c>
      <c r="K920">
        <v>231.3</v>
      </c>
      <c r="L920">
        <v>403</v>
      </c>
      <c r="M920">
        <v>384</v>
      </c>
      <c r="N920">
        <v>548</v>
      </c>
      <c r="O920">
        <v>164</v>
      </c>
      <c r="P920">
        <v>321</v>
      </c>
      <c r="Q920">
        <v>582</v>
      </c>
      <c r="R920">
        <v>261</v>
      </c>
      <c r="S920">
        <v>200.4</v>
      </c>
      <c r="T920">
        <v>427</v>
      </c>
      <c r="U920">
        <v>430</v>
      </c>
      <c r="V920">
        <v>500</v>
      </c>
      <c r="W920">
        <v>2.79</v>
      </c>
    </row>
    <row r="921" spans="1:23" x14ac:dyDescent="0.25">
      <c r="A921" t="s">
        <v>37</v>
      </c>
      <c r="B921">
        <v>8</v>
      </c>
      <c r="C921">
        <v>7</v>
      </c>
      <c r="D921">
        <v>1992</v>
      </c>
      <c r="E921">
        <v>99.6</v>
      </c>
      <c r="F921">
        <v>13.8</v>
      </c>
      <c r="G921">
        <v>11.4</v>
      </c>
      <c r="H921">
        <v>2.4</v>
      </c>
      <c r="I921">
        <v>17</v>
      </c>
      <c r="J921">
        <v>80.400000000000006</v>
      </c>
      <c r="K921">
        <v>311.7</v>
      </c>
      <c r="L921">
        <v>422</v>
      </c>
      <c r="M921">
        <v>397</v>
      </c>
      <c r="N921">
        <v>539</v>
      </c>
      <c r="O921">
        <v>142</v>
      </c>
      <c r="P921">
        <v>349</v>
      </c>
      <c r="Q921">
        <v>558</v>
      </c>
      <c r="R921">
        <v>209</v>
      </c>
      <c r="S921">
        <v>200.4</v>
      </c>
      <c r="T921">
        <v>427</v>
      </c>
      <c r="U921">
        <v>430</v>
      </c>
      <c r="V921">
        <v>500</v>
      </c>
      <c r="W921">
        <v>2.79</v>
      </c>
    </row>
    <row r="922" spans="1:23" x14ac:dyDescent="0.25">
      <c r="A922" t="s">
        <v>37</v>
      </c>
      <c r="B922">
        <v>8</v>
      </c>
      <c r="C922">
        <v>8</v>
      </c>
      <c r="D922">
        <v>1993</v>
      </c>
      <c r="E922">
        <v>114.6</v>
      </c>
      <c r="F922">
        <v>15</v>
      </c>
      <c r="G922">
        <v>11.4</v>
      </c>
      <c r="H922">
        <v>3.6</v>
      </c>
      <c r="I922">
        <v>24</v>
      </c>
      <c r="J922">
        <v>100.9</v>
      </c>
      <c r="K922">
        <v>412.6</v>
      </c>
      <c r="L922">
        <v>421</v>
      </c>
      <c r="M922">
        <v>385</v>
      </c>
      <c r="N922">
        <v>534</v>
      </c>
      <c r="O922">
        <v>149</v>
      </c>
      <c r="P922">
        <v>307</v>
      </c>
      <c r="Q922">
        <v>583</v>
      </c>
      <c r="R922">
        <v>276</v>
      </c>
      <c r="S922">
        <v>200.4</v>
      </c>
      <c r="T922">
        <v>427</v>
      </c>
      <c r="U922">
        <v>430</v>
      </c>
      <c r="V922">
        <v>500</v>
      </c>
      <c r="W922">
        <v>2.79</v>
      </c>
    </row>
    <row r="923" spans="1:23" x14ac:dyDescent="0.25">
      <c r="A923" t="s">
        <v>37</v>
      </c>
      <c r="B923">
        <v>8</v>
      </c>
      <c r="C923">
        <v>9</v>
      </c>
      <c r="D923">
        <v>1994</v>
      </c>
      <c r="E923">
        <v>127.2</v>
      </c>
      <c r="F923">
        <v>12.6</v>
      </c>
      <c r="G923">
        <v>9.9</v>
      </c>
      <c r="H923">
        <v>2.7</v>
      </c>
      <c r="I923">
        <v>21</v>
      </c>
      <c r="J923">
        <v>95.7</v>
      </c>
      <c r="K923">
        <v>508.3</v>
      </c>
      <c r="L923">
        <v>425</v>
      </c>
      <c r="M923">
        <v>396</v>
      </c>
      <c r="N923">
        <v>533</v>
      </c>
      <c r="O923">
        <v>137</v>
      </c>
      <c r="P923">
        <v>330</v>
      </c>
      <c r="Q923">
        <v>566</v>
      </c>
      <c r="R923">
        <v>236</v>
      </c>
      <c r="S923">
        <v>200.4</v>
      </c>
      <c r="T923">
        <v>427</v>
      </c>
      <c r="U923">
        <v>430</v>
      </c>
      <c r="V923">
        <v>500</v>
      </c>
      <c r="W923">
        <v>2.79</v>
      </c>
    </row>
    <row r="924" spans="1:23" x14ac:dyDescent="0.25">
      <c r="A924" t="s">
        <v>37</v>
      </c>
      <c r="B924">
        <v>8</v>
      </c>
      <c r="C924">
        <v>10</v>
      </c>
      <c r="D924">
        <v>1995</v>
      </c>
      <c r="E924">
        <v>135.6</v>
      </c>
      <c r="F924">
        <v>8.4</v>
      </c>
      <c r="G924">
        <v>8.1</v>
      </c>
      <c r="H924">
        <v>0.3</v>
      </c>
      <c r="I924">
        <v>3</v>
      </c>
      <c r="J924">
        <v>69.400000000000006</v>
      </c>
      <c r="K924">
        <v>577.70000000000005</v>
      </c>
      <c r="L924">
        <v>410</v>
      </c>
      <c r="M924">
        <v>405</v>
      </c>
      <c r="N924">
        <v>554</v>
      </c>
      <c r="O924">
        <v>149</v>
      </c>
      <c r="P924">
        <v>313</v>
      </c>
      <c r="Q924">
        <v>554</v>
      </c>
      <c r="R924">
        <v>241</v>
      </c>
      <c r="S924">
        <v>200.4</v>
      </c>
      <c r="T924">
        <v>427</v>
      </c>
      <c r="U924">
        <v>430</v>
      </c>
      <c r="V924">
        <v>500</v>
      </c>
      <c r="W924">
        <v>2.79</v>
      </c>
    </row>
    <row r="925" spans="1:23" x14ac:dyDescent="0.25">
      <c r="A925" t="s">
        <v>37</v>
      </c>
      <c r="B925">
        <v>8</v>
      </c>
      <c r="C925">
        <v>11</v>
      </c>
      <c r="D925">
        <v>1996</v>
      </c>
      <c r="E925">
        <v>143.4</v>
      </c>
      <c r="F925">
        <v>7.8</v>
      </c>
      <c r="G925">
        <v>6</v>
      </c>
      <c r="H925">
        <v>1.8</v>
      </c>
      <c r="I925">
        <v>23</v>
      </c>
      <c r="J925">
        <v>68.400000000000006</v>
      </c>
      <c r="K925">
        <v>646</v>
      </c>
      <c r="L925">
        <v>407</v>
      </c>
      <c r="M925">
        <v>368</v>
      </c>
      <c r="N925">
        <v>540</v>
      </c>
      <c r="O925">
        <v>172</v>
      </c>
      <c r="P925">
        <v>330</v>
      </c>
      <c r="Q925">
        <v>556</v>
      </c>
      <c r="R925">
        <v>226</v>
      </c>
      <c r="S925">
        <v>200.4</v>
      </c>
      <c r="T925">
        <v>427</v>
      </c>
      <c r="U925">
        <v>430</v>
      </c>
      <c r="V925">
        <v>500</v>
      </c>
      <c r="W925">
        <v>2.79</v>
      </c>
    </row>
    <row r="926" spans="1:23" x14ac:dyDescent="0.25">
      <c r="A926" t="s">
        <v>37</v>
      </c>
      <c r="B926">
        <v>8</v>
      </c>
      <c r="C926">
        <v>12</v>
      </c>
      <c r="D926">
        <v>1997</v>
      </c>
      <c r="E926">
        <v>154.19999999999999</v>
      </c>
      <c r="F926">
        <v>10.8</v>
      </c>
      <c r="G926">
        <v>9.3000000000000007</v>
      </c>
      <c r="H926">
        <v>1.5</v>
      </c>
      <c r="I926">
        <v>13</v>
      </c>
      <c r="J926">
        <v>101</v>
      </c>
      <c r="K926">
        <v>747</v>
      </c>
      <c r="L926">
        <v>441</v>
      </c>
      <c r="M926">
        <v>424</v>
      </c>
      <c r="N926">
        <v>544</v>
      </c>
      <c r="O926">
        <v>120</v>
      </c>
      <c r="P926">
        <v>383</v>
      </c>
      <c r="Q926">
        <v>582</v>
      </c>
      <c r="R926">
        <v>199</v>
      </c>
      <c r="S926">
        <v>200.4</v>
      </c>
      <c r="T926">
        <v>427</v>
      </c>
      <c r="U926">
        <v>430</v>
      </c>
      <c r="V926">
        <v>500</v>
      </c>
      <c r="W926">
        <v>2.79</v>
      </c>
    </row>
    <row r="927" spans="1:23" x14ac:dyDescent="0.25">
      <c r="A927" t="s">
        <v>37</v>
      </c>
      <c r="B927">
        <v>8</v>
      </c>
      <c r="C927">
        <v>13</v>
      </c>
      <c r="D927">
        <v>1998</v>
      </c>
      <c r="E927">
        <v>161.1</v>
      </c>
      <c r="F927">
        <v>6.9</v>
      </c>
      <c r="G927">
        <v>4.8</v>
      </c>
      <c r="H927">
        <v>2.1</v>
      </c>
      <c r="I927">
        <v>30</v>
      </c>
      <c r="J927">
        <v>68.3</v>
      </c>
      <c r="K927">
        <v>815.3</v>
      </c>
      <c r="L927">
        <v>464</v>
      </c>
      <c r="M927">
        <v>434</v>
      </c>
      <c r="N927">
        <v>534</v>
      </c>
      <c r="O927">
        <v>100</v>
      </c>
      <c r="P927">
        <v>382</v>
      </c>
      <c r="Q927">
        <v>560</v>
      </c>
      <c r="R927">
        <v>178</v>
      </c>
      <c r="S927">
        <v>200.4</v>
      </c>
      <c r="T927">
        <v>427</v>
      </c>
      <c r="U927">
        <v>430</v>
      </c>
      <c r="V927">
        <v>500</v>
      </c>
      <c r="W927">
        <v>2.79</v>
      </c>
    </row>
    <row r="928" spans="1:23" x14ac:dyDescent="0.25">
      <c r="A928" t="s">
        <v>37</v>
      </c>
      <c r="B928">
        <v>8</v>
      </c>
      <c r="C928">
        <v>14</v>
      </c>
      <c r="D928">
        <v>1999</v>
      </c>
      <c r="E928">
        <v>168.6</v>
      </c>
      <c r="F928">
        <v>7.5</v>
      </c>
      <c r="G928">
        <v>6.6</v>
      </c>
      <c r="H928">
        <v>0.9</v>
      </c>
      <c r="I928">
        <v>12</v>
      </c>
      <c r="J928">
        <v>77.7</v>
      </c>
      <c r="K928">
        <v>893</v>
      </c>
      <c r="L928">
        <v>440</v>
      </c>
      <c r="M928">
        <v>427</v>
      </c>
      <c r="N928">
        <v>537</v>
      </c>
      <c r="O928">
        <v>110</v>
      </c>
      <c r="P928">
        <v>378</v>
      </c>
      <c r="Q928">
        <v>550</v>
      </c>
      <c r="R928">
        <v>172</v>
      </c>
      <c r="S928">
        <v>200.4</v>
      </c>
      <c r="T928">
        <v>427</v>
      </c>
      <c r="U928">
        <v>430</v>
      </c>
      <c r="V928">
        <v>500</v>
      </c>
      <c r="W928">
        <v>2.79</v>
      </c>
    </row>
    <row r="929" spans="1:23" x14ac:dyDescent="0.25">
      <c r="A929" t="s">
        <v>37</v>
      </c>
      <c r="B929">
        <v>8</v>
      </c>
      <c r="C929">
        <v>15</v>
      </c>
      <c r="D929">
        <v>2000</v>
      </c>
      <c r="E929">
        <v>174.3</v>
      </c>
      <c r="F929">
        <v>5.7</v>
      </c>
      <c r="G929">
        <v>4.2</v>
      </c>
      <c r="H929">
        <v>1.5</v>
      </c>
      <c r="I929">
        <v>26</v>
      </c>
      <c r="J929">
        <v>61.4</v>
      </c>
      <c r="K929">
        <v>954.4</v>
      </c>
      <c r="L929">
        <v>455</v>
      </c>
      <c r="M929">
        <v>424</v>
      </c>
      <c r="N929">
        <v>543</v>
      </c>
      <c r="O929">
        <v>119</v>
      </c>
      <c r="P929">
        <v>389</v>
      </c>
      <c r="Q929">
        <v>566</v>
      </c>
      <c r="R929">
        <v>177</v>
      </c>
      <c r="S929">
        <v>200.4</v>
      </c>
      <c r="T929">
        <v>427</v>
      </c>
      <c r="U929">
        <v>430</v>
      </c>
      <c r="V929">
        <v>500</v>
      </c>
      <c r="W929">
        <v>2.79</v>
      </c>
    </row>
    <row r="930" spans="1:23" x14ac:dyDescent="0.25">
      <c r="A930" t="s">
        <v>37</v>
      </c>
      <c r="B930">
        <v>8</v>
      </c>
      <c r="C930">
        <v>16</v>
      </c>
      <c r="D930">
        <v>2001</v>
      </c>
      <c r="E930">
        <v>180.3</v>
      </c>
      <c r="F930">
        <v>6</v>
      </c>
      <c r="G930">
        <v>4.5</v>
      </c>
      <c r="H930">
        <v>1.5</v>
      </c>
      <c r="I930">
        <v>25</v>
      </c>
      <c r="J930">
        <v>66.8</v>
      </c>
      <c r="K930">
        <v>1021.3</v>
      </c>
      <c r="L930">
        <v>462</v>
      </c>
      <c r="M930">
        <v>432</v>
      </c>
      <c r="N930">
        <v>554</v>
      </c>
      <c r="O930">
        <v>122</v>
      </c>
      <c r="P930">
        <v>389</v>
      </c>
      <c r="Q930">
        <v>588</v>
      </c>
      <c r="R930">
        <v>199</v>
      </c>
      <c r="S930">
        <v>200.4</v>
      </c>
      <c r="T930">
        <v>427</v>
      </c>
      <c r="U930">
        <v>430</v>
      </c>
      <c r="V930">
        <v>500</v>
      </c>
      <c r="W930">
        <v>2.79</v>
      </c>
    </row>
    <row r="931" spans="1:23" x14ac:dyDescent="0.25">
      <c r="A931" t="s">
        <v>37</v>
      </c>
      <c r="B931">
        <v>8</v>
      </c>
      <c r="C931">
        <v>17</v>
      </c>
      <c r="D931">
        <v>2002</v>
      </c>
      <c r="E931">
        <v>186.3</v>
      </c>
      <c r="F931">
        <v>6</v>
      </c>
      <c r="G931">
        <v>3.9</v>
      </c>
      <c r="H931">
        <v>2.1</v>
      </c>
      <c r="I931">
        <v>35</v>
      </c>
      <c r="J931">
        <v>69.099999999999994</v>
      </c>
      <c r="K931">
        <v>1090.4000000000001</v>
      </c>
      <c r="L931">
        <v>483</v>
      </c>
      <c r="M931">
        <v>443</v>
      </c>
      <c r="N931">
        <v>556</v>
      </c>
      <c r="O931">
        <v>113</v>
      </c>
      <c r="P931">
        <v>399</v>
      </c>
      <c r="Q931">
        <v>605</v>
      </c>
      <c r="R931">
        <v>206</v>
      </c>
      <c r="S931">
        <v>200.4</v>
      </c>
      <c r="T931">
        <v>427</v>
      </c>
      <c r="U931">
        <v>430</v>
      </c>
      <c r="V931">
        <v>500</v>
      </c>
      <c r="W931">
        <v>2.79</v>
      </c>
    </row>
    <row r="932" spans="1:23" x14ac:dyDescent="0.25">
      <c r="A932" t="s">
        <v>37</v>
      </c>
      <c r="B932">
        <v>8</v>
      </c>
      <c r="C932">
        <v>18</v>
      </c>
      <c r="D932">
        <v>2003</v>
      </c>
      <c r="E932">
        <v>193.5</v>
      </c>
      <c r="F932">
        <v>7.2</v>
      </c>
      <c r="G932">
        <v>6</v>
      </c>
      <c r="H932">
        <v>1.2</v>
      </c>
      <c r="I932">
        <v>16</v>
      </c>
      <c r="J932">
        <v>85.9</v>
      </c>
      <c r="K932">
        <v>1176.3</v>
      </c>
      <c r="L932">
        <v>468</v>
      </c>
      <c r="M932">
        <v>451</v>
      </c>
      <c r="N932">
        <v>549</v>
      </c>
      <c r="O932">
        <v>98</v>
      </c>
      <c r="P932">
        <v>395</v>
      </c>
      <c r="Q932">
        <v>570</v>
      </c>
      <c r="R932">
        <v>175</v>
      </c>
      <c r="S932">
        <v>200.4</v>
      </c>
      <c r="T932">
        <v>427</v>
      </c>
      <c r="U932">
        <v>430</v>
      </c>
      <c r="V932">
        <v>500</v>
      </c>
      <c r="W932">
        <v>2.79</v>
      </c>
    </row>
    <row r="933" spans="1:23" x14ac:dyDescent="0.25">
      <c r="A933" t="s">
        <v>37</v>
      </c>
      <c r="B933">
        <v>8</v>
      </c>
      <c r="C933">
        <v>19</v>
      </c>
      <c r="D933">
        <v>2004</v>
      </c>
      <c r="E933">
        <v>196.5</v>
      </c>
      <c r="F933">
        <v>3</v>
      </c>
      <c r="G933">
        <v>2.4</v>
      </c>
      <c r="H933">
        <v>0.6</v>
      </c>
      <c r="I933">
        <v>20</v>
      </c>
      <c r="J933">
        <v>36.799999999999997</v>
      </c>
      <c r="K933">
        <v>1213</v>
      </c>
      <c r="L933">
        <v>435</v>
      </c>
      <c r="M933">
        <v>416</v>
      </c>
      <c r="N933">
        <v>513</v>
      </c>
      <c r="O933">
        <v>97</v>
      </c>
      <c r="P933">
        <v>376</v>
      </c>
      <c r="Q933">
        <v>526</v>
      </c>
      <c r="R933">
        <v>150</v>
      </c>
      <c r="S933">
        <v>200.4</v>
      </c>
      <c r="T933">
        <v>427</v>
      </c>
      <c r="U933">
        <v>430</v>
      </c>
      <c r="V933">
        <v>500</v>
      </c>
      <c r="W933">
        <v>2.79</v>
      </c>
    </row>
    <row r="934" spans="1:23" x14ac:dyDescent="0.25">
      <c r="A934" t="s">
        <v>37</v>
      </c>
      <c r="B934">
        <v>8</v>
      </c>
      <c r="C934">
        <v>20</v>
      </c>
      <c r="D934">
        <v>2005</v>
      </c>
      <c r="E934">
        <v>198.3</v>
      </c>
      <c r="F934">
        <v>1.8</v>
      </c>
      <c r="G934">
        <v>1.8</v>
      </c>
      <c r="H934">
        <v>0</v>
      </c>
      <c r="I934">
        <v>0</v>
      </c>
      <c r="J934">
        <v>22.3</v>
      </c>
      <c r="K934">
        <v>1235.4000000000001</v>
      </c>
      <c r="L934">
        <v>430</v>
      </c>
      <c r="M934">
        <v>430</v>
      </c>
      <c r="P934">
        <v>382</v>
      </c>
      <c r="Q934">
        <v>490</v>
      </c>
      <c r="R934">
        <v>108</v>
      </c>
      <c r="S934">
        <v>200.4</v>
      </c>
      <c r="T934">
        <v>427</v>
      </c>
      <c r="U934">
        <v>430</v>
      </c>
      <c r="V934">
        <v>500</v>
      </c>
      <c r="W934">
        <v>2.79</v>
      </c>
    </row>
    <row r="935" spans="1:23" x14ac:dyDescent="0.25">
      <c r="A935" t="s">
        <v>37</v>
      </c>
      <c r="B935">
        <v>8</v>
      </c>
      <c r="C935">
        <v>21</v>
      </c>
      <c r="D935">
        <v>2006</v>
      </c>
      <c r="E935">
        <v>200.4</v>
      </c>
      <c r="F935">
        <v>2.1</v>
      </c>
      <c r="G935">
        <v>1.8</v>
      </c>
      <c r="H935">
        <v>0.3</v>
      </c>
      <c r="I935">
        <v>14</v>
      </c>
      <c r="J935">
        <v>26.3</v>
      </c>
      <c r="K935">
        <v>1261.7</v>
      </c>
      <c r="L935">
        <v>426</v>
      </c>
      <c r="M935">
        <v>412</v>
      </c>
      <c r="N935">
        <v>506</v>
      </c>
      <c r="O935">
        <v>94</v>
      </c>
      <c r="P935">
        <v>358</v>
      </c>
      <c r="Q935">
        <v>506</v>
      </c>
      <c r="R935">
        <v>148</v>
      </c>
      <c r="S935">
        <v>200.4</v>
      </c>
      <c r="T935">
        <v>427</v>
      </c>
      <c r="U935">
        <v>430</v>
      </c>
      <c r="V935">
        <v>500</v>
      </c>
      <c r="W935">
        <v>2.79</v>
      </c>
    </row>
    <row r="936" spans="1:23" x14ac:dyDescent="0.25">
      <c r="A936" t="s">
        <v>37</v>
      </c>
      <c r="B936">
        <v>8</v>
      </c>
      <c r="C936">
        <v>22</v>
      </c>
      <c r="D936">
        <v>2007</v>
      </c>
      <c r="E936">
        <v>202.5</v>
      </c>
      <c r="F936">
        <v>2.1</v>
      </c>
      <c r="G936">
        <v>2.1</v>
      </c>
      <c r="H936">
        <v>0</v>
      </c>
      <c r="I936">
        <v>0</v>
      </c>
      <c r="J936">
        <v>26.6</v>
      </c>
      <c r="K936">
        <v>1288.2</v>
      </c>
      <c r="L936">
        <v>440</v>
      </c>
      <c r="M936">
        <v>440</v>
      </c>
      <c r="P936">
        <v>351</v>
      </c>
      <c r="Q936">
        <v>494</v>
      </c>
      <c r="R936">
        <v>143</v>
      </c>
      <c r="S936">
        <v>200.4</v>
      </c>
      <c r="T936">
        <v>427</v>
      </c>
      <c r="U936">
        <v>430</v>
      </c>
      <c r="V936">
        <v>500</v>
      </c>
      <c r="W936">
        <v>2.79</v>
      </c>
    </row>
    <row r="937" spans="1:23" x14ac:dyDescent="0.25">
      <c r="A937" t="s">
        <v>37</v>
      </c>
      <c r="B937">
        <v>8</v>
      </c>
      <c r="C937">
        <v>23</v>
      </c>
      <c r="D937">
        <v>2008</v>
      </c>
      <c r="E937">
        <v>204.9</v>
      </c>
      <c r="F937">
        <v>2.4</v>
      </c>
      <c r="G937">
        <v>2.4</v>
      </c>
      <c r="H937">
        <v>0</v>
      </c>
      <c r="I937">
        <v>0</v>
      </c>
      <c r="J937">
        <v>30.7</v>
      </c>
      <c r="K937">
        <v>1319</v>
      </c>
      <c r="L937">
        <v>416</v>
      </c>
      <c r="M937">
        <v>416</v>
      </c>
      <c r="P937">
        <v>361</v>
      </c>
      <c r="Q937">
        <v>483</v>
      </c>
      <c r="R937">
        <v>122</v>
      </c>
      <c r="S937">
        <v>200.4</v>
      </c>
      <c r="T937">
        <v>427</v>
      </c>
      <c r="U937">
        <v>430</v>
      </c>
      <c r="V937">
        <v>500</v>
      </c>
      <c r="W937">
        <v>2.79</v>
      </c>
    </row>
    <row r="938" spans="1:23" x14ac:dyDescent="0.25">
      <c r="A938" t="s">
        <v>37</v>
      </c>
      <c r="B938">
        <v>8</v>
      </c>
      <c r="C938">
        <v>24</v>
      </c>
      <c r="D938">
        <v>2009</v>
      </c>
      <c r="E938">
        <v>207.9</v>
      </c>
      <c r="F938">
        <v>3</v>
      </c>
      <c r="G938">
        <v>2.4</v>
      </c>
      <c r="H938">
        <v>0.6</v>
      </c>
      <c r="I938">
        <v>20</v>
      </c>
      <c r="J938">
        <v>38.9</v>
      </c>
      <c r="K938">
        <v>1357.9</v>
      </c>
      <c r="L938">
        <v>434</v>
      </c>
      <c r="M938">
        <v>412</v>
      </c>
      <c r="N938">
        <v>523</v>
      </c>
      <c r="O938">
        <v>111</v>
      </c>
      <c r="P938">
        <v>350</v>
      </c>
      <c r="Q938">
        <v>533</v>
      </c>
      <c r="R938">
        <v>183</v>
      </c>
      <c r="S938">
        <v>200.4</v>
      </c>
      <c r="T938">
        <v>427</v>
      </c>
      <c r="U938">
        <v>430</v>
      </c>
      <c r="V938">
        <v>500</v>
      </c>
      <c r="W938">
        <v>2.79</v>
      </c>
    </row>
    <row r="939" spans="1:23" x14ac:dyDescent="0.25">
      <c r="A939" t="s">
        <v>37</v>
      </c>
      <c r="B939">
        <v>8</v>
      </c>
      <c r="C939">
        <v>25</v>
      </c>
      <c r="D939">
        <v>2010</v>
      </c>
      <c r="E939">
        <v>211.2</v>
      </c>
      <c r="F939">
        <v>3.3</v>
      </c>
      <c r="G939">
        <v>2.7</v>
      </c>
      <c r="H939">
        <v>0.6</v>
      </c>
      <c r="I939">
        <v>18</v>
      </c>
      <c r="J939">
        <v>43.4</v>
      </c>
      <c r="K939">
        <v>1401.3</v>
      </c>
      <c r="L939">
        <v>418</v>
      </c>
      <c r="M939">
        <v>394</v>
      </c>
      <c r="N939">
        <v>526</v>
      </c>
      <c r="O939">
        <v>132</v>
      </c>
      <c r="P939">
        <v>331</v>
      </c>
      <c r="Q939">
        <v>532</v>
      </c>
      <c r="R939">
        <v>201</v>
      </c>
      <c r="S939">
        <v>200.4</v>
      </c>
      <c r="T939">
        <v>427</v>
      </c>
      <c r="U939">
        <v>430</v>
      </c>
      <c r="V939">
        <v>500</v>
      </c>
      <c r="W939">
        <v>2.79</v>
      </c>
    </row>
    <row r="940" spans="1:23" x14ac:dyDescent="0.25">
      <c r="A940" t="s">
        <v>37</v>
      </c>
      <c r="B940">
        <v>8</v>
      </c>
      <c r="C940">
        <v>26</v>
      </c>
      <c r="D940">
        <v>2011</v>
      </c>
      <c r="E940">
        <v>213.9</v>
      </c>
      <c r="F940">
        <v>2.7</v>
      </c>
      <c r="G940">
        <v>2.4</v>
      </c>
      <c r="H940">
        <v>0.3</v>
      </c>
      <c r="I940">
        <v>11</v>
      </c>
      <c r="J940">
        <v>36.1</v>
      </c>
      <c r="K940">
        <v>1437.4</v>
      </c>
      <c r="L940">
        <v>425</v>
      </c>
      <c r="M940">
        <v>412</v>
      </c>
      <c r="N940">
        <v>527</v>
      </c>
      <c r="O940">
        <v>115</v>
      </c>
      <c r="P940">
        <v>354</v>
      </c>
      <c r="Q940">
        <v>527</v>
      </c>
      <c r="R940">
        <v>173</v>
      </c>
      <c r="S940">
        <v>200.4</v>
      </c>
      <c r="T940">
        <v>427</v>
      </c>
      <c r="U940">
        <v>430</v>
      </c>
      <c r="V940">
        <v>500</v>
      </c>
      <c r="W940">
        <v>2.79</v>
      </c>
    </row>
    <row r="941" spans="1:23" x14ac:dyDescent="0.25">
      <c r="A941" t="s">
        <v>37</v>
      </c>
      <c r="B941">
        <v>8</v>
      </c>
      <c r="C941">
        <v>27</v>
      </c>
      <c r="D941">
        <v>2012</v>
      </c>
      <c r="E941">
        <v>215.4</v>
      </c>
      <c r="F941">
        <v>1.5</v>
      </c>
      <c r="G941">
        <v>1.5</v>
      </c>
      <c r="H941">
        <v>0</v>
      </c>
      <c r="I941">
        <v>0</v>
      </c>
      <c r="J941">
        <v>20.2</v>
      </c>
      <c r="K941">
        <v>1457.6</v>
      </c>
      <c r="L941">
        <v>422</v>
      </c>
      <c r="M941">
        <v>422</v>
      </c>
      <c r="P941">
        <v>390</v>
      </c>
      <c r="Q941">
        <v>446</v>
      </c>
      <c r="R941">
        <v>56</v>
      </c>
      <c r="S941">
        <v>200.4</v>
      </c>
      <c r="T941">
        <v>427</v>
      </c>
      <c r="U941">
        <v>430</v>
      </c>
      <c r="V941">
        <v>500</v>
      </c>
      <c r="W941">
        <v>2.79</v>
      </c>
    </row>
    <row r="942" spans="1:23" x14ac:dyDescent="0.25">
      <c r="A942" t="s">
        <v>37</v>
      </c>
      <c r="B942">
        <v>9</v>
      </c>
      <c r="C942">
        <v>1</v>
      </c>
      <c r="D942">
        <v>1987</v>
      </c>
      <c r="E942">
        <v>17.2</v>
      </c>
      <c r="F942">
        <v>17.2</v>
      </c>
      <c r="G942">
        <v>15.9</v>
      </c>
      <c r="H942">
        <v>0.3</v>
      </c>
      <c r="I942">
        <v>1</v>
      </c>
      <c r="J942">
        <v>9.3000000000000007</v>
      </c>
      <c r="K942">
        <v>9.3000000000000007</v>
      </c>
      <c r="L942">
        <v>344</v>
      </c>
      <c r="M942">
        <v>341</v>
      </c>
      <c r="N942">
        <v>504</v>
      </c>
      <c r="O942">
        <v>163</v>
      </c>
      <c r="P942">
        <v>268</v>
      </c>
      <c r="Q942">
        <v>504</v>
      </c>
      <c r="R942">
        <v>236</v>
      </c>
      <c r="S942">
        <v>261.60000000000002</v>
      </c>
      <c r="T942">
        <v>413</v>
      </c>
      <c r="U942">
        <v>408</v>
      </c>
      <c r="V942">
        <v>500</v>
      </c>
      <c r="W942">
        <v>2.79</v>
      </c>
    </row>
    <row r="943" spans="1:23" x14ac:dyDescent="0.25">
      <c r="A943" t="s">
        <v>37</v>
      </c>
      <c r="B943">
        <v>9</v>
      </c>
      <c r="C943">
        <v>2</v>
      </c>
      <c r="D943">
        <v>1988</v>
      </c>
      <c r="E943">
        <v>36.700000000000003</v>
      </c>
      <c r="F943">
        <v>19.5</v>
      </c>
      <c r="G943">
        <v>19.5</v>
      </c>
      <c r="H943">
        <v>0</v>
      </c>
      <c r="I943">
        <v>0</v>
      </c>
      <c r="J943">
        <v>33</v>
      </c>
      <c r="K943">
        <v>42.3</v>
      </c>
      <c r="L943">
        <v>328</v>
      </c>
      <c r="M943">
        <v>328</v>
      </c>
      <c r="P943">
        <v>249</v>
      </c>
      <c r="Q943">
        <v>499</v>
      </c>
      <c r="R943">
        <v>250</v>
      </c>
      <c r="S943">
        <v>261.60000000000002</v>
      </c>
      <c r="T943">
        <v>413</v>
      </c>
      <c r="U943">
        <v>408</v>
      </c>
      <c r="V943">
        <v>500</v>
      </c>
      <c r="W943">
        <v>2.79</v>
      </c>
    </row>
    <row r="944" spans="1:23" x14ac:dyDescent="0.25">
      <c r="A944" t="s">
        <v>37</v>
      </c>
      <c r="B944">
        <v>9</v>
      </c>
      <c r="C944">
        <v>3</v>
      </c>
      <c r="D944">
        <v>1989</v>
      </c>
      <c r="E944">
        <v>58.6</v>
      </c>
      <c r="F944">
        <v>21.9</v>
      </c>
      <c r="G944">
        <v>21.3</v>
      </c>
      <c r="H944">
        <v>0.6</v>
      </c>
      <c r="I944">
        <v>2</v>
      </c>
      <c r="J944">
        <v>65.599999999999994</v>
      </c>
      <c r="K944">
        <v>107.9</v>
      </c>
      <c r="L944">
        <v>332</v>
      </c>
      <c r="M944">
        <v>327</v>
      </c>
      <c r="N944">
        <v>518</v>
      </c>
      <c r="O944">
        <v>191</v>
      </c>
      <c r="P944">
        <v>255</v>
      </c>
      <c r="Q944">
        <v>537</v>
      </c>
      <c r="R944">
        <v>282</v>
      </c>
      <c r="S944">
        <v>261.60000000000002</v>
      </c>
      <c r="T944">
        <v>413</v>
      </c>
      <c r="U944">
        <v>408</v>
      </c>
      <c r="V944">
        <v>500</v>
      </c>
      <c r="W944">
        <v>2.79</v>
      </c>
    </row>
    <row r="945" spans="1:23" x14ac:dyDescent="0.25">
      <c r="A945" t="s">
        <v>37</v>
      </c>
      <c r="B945">
        <v>9</v>
      </c>
      <c r="C945">
        <v>4</v>
      </c>
      <c r="D945">
        <v>1990</v>
      </c>
      <c r="E945">
        <v>92.5</v>
      </c>
      <c r="F945">
        <v>33.9</v>
      </c>
      <c r="G945">
        <v>30.9</v>
      </c>
      <c r="H945">
        <v>3</v>
      </c>
      <c r="I945">
        <v>8</v>
      </c>
      <c r="J945">
        <v>160.9</v>
      </c>
      <c r="K945">
        <v>268.8</v>
      </c>
      <c r="L945">
        <v>375</v>
      </c>
      <c r="M945">
        <v>360</v>
      </c>
      <c r="N945">
        <v>536</v>
      </c>
      <c r="O945">
        <v>176</v>
      </c>
      <c r="P945">
        <v>274</v>
      </c>
      <c r="Q945">
        <v>569</v>
      </c>
      <c r="R945">
        <v>295</v>
      </c>
      <c r="S945">
        <v>261.60000000000002</v>
      </c>
      <c r="T945">
        <v>413</v>
      </c>
      <c r="U945">
        <v>408</v>
      </c>
      <c r="V945">
        <v>500</v>
      </c>
      <c r="W945">
        <v>2.79</v>
      </c>
    </row>
    <row r="946" spans="1:23" x14ac:dyDescent="0.25">
      <c r="A946" t="s">
        <v>37</v>
      </c>
      <c r="B946">
        <v>9</v>
      </c>
      <c r="C946">
        <v>5</v>
      </c>
      <c r="D946">
        <v>1991</v>
      </c>
      <c r="E946">
        <v>107.5</v>
      </c>
      <c r="F946">
        <v>15</v>
      </c>
      <c r="G946">
        <v>13.5</v>
      </c>
      <c r="H946">
        <v>1.5</v>
      </c>
      <c r="I946">
        <v>9</v>
      </c>
      <c r="J946">
        <v>94.2</v>
      </c>
      <c r="K946">
        <v>363.1</v>
      </c>
      <c r="L946">
        <v>395</v>
      </c>
      <c r="M946">
        <v>376</v>
      </c>
      <c r="N946">
        <v>567</v>
      </c>
      <c r="O946">
        <v>191</v>
      </c>
      <c r="P946">
        <v>321</v>
      </c>
      <c r="Q946">
        <v>584</v>
      </c>
      <c r="R946">
        <v>263</v>
      </c>
      <c r="S946">
        <v>261.60000000000002</v>
      </c>
      <c r="T946">
        <v>413</v>
      </c>
      <c r="U946">
        <v>408</v>
      </c>
      <c r="V946">
        <v>500</v>
      </c>
      <c r="W946">
        <v>2.79</v>
      </c>
    </row>
    <row r="947" spans="1:23" x14ac:dyDescent="0.25">
      <c r="A947" t="s">
        <v>37</v>
      </c>
      <c r="B947">
        <v>9</v>
      </c>
      <c r="C947">
        <v>6</v>
      </c>
      <c r="D947">
        <v>1992</v>
      </c>
      <c r="E947">
        <v>127.3</v>
      </c>
      <c r="F947">
        <v>19.8</v>
      </c>
      <c r="G947">
        <v>17.100000000000001</v>
      </c>
      <c r="H947">
        <v>2.7</v>
      </c>
      <c r="I947">
        <v>13</v>
      </c>
      <c r="J947">
        <v>146.1</v>
      </c>
      <c r="K947">
        <v>509.1</v>
      </c>
      <c r="L947">
        <v>400</v>
      </c>
      <c r="M947">
        <v>380</v>
      </c>
      <c r="N947">
        <v>526</v>
      </c>
      <c r="O947">
        <v>146</v>
      </c>
      <c r="P947">
        <v>333</v>
      </c>
      <c r="Q947">
        <v>558</v>
      </c>
      <c r="R947">
        <v>225</v>
      </c>
      <c r="S947">
        <v>261.60000000000002</v>
      </c>
      <c r="T947">
        <v>413</v>
      </c>
      <c r="U947">
        <v>408</v>
      </c>
      <c r="V947">
        <v>500</v>
      </c>
      <c r="W947">
        <v>2.79</v>
      </c>
    </row>
    <row r="948" spans="1:23" x14ac:dyDescent="0.25">
      <c r="A948" t="s">
        <v>37</v>
      </c>
      <c r="B948">
        <v>9</v>
      </c>
      <c r="C948">
        <v>7</v>
      </c>
      <c r="D948">
        <v>1993</v>
      </c>
      <c r="E948">
        <v>147.1</v>
      </c>
      <c r="F948">
        <v>19.8</v>
      </c>
      <c r="G948">
        <v>17.100000000000001</v>
      </c>
      <c r="H948">
        <v>2.7</v>
      </c>
      <c r="I948">
        <v>13</v>
      </c>
      <c r="J948">
        <v>170.7</v>
      </c>
      <c r="K948">
        <v>679.8</v>
      </c>
      <c r="L948">
        <v>382</v>
      </c>
      <c r="M948">
        <v>359</v>
      </c>
      <c r="N948">
        <v>525</v>
      </c>
      <c r="O948">
        <v>166</v>
      </c>
      <c r="P948">
        <v>293</v>
      </c>
      <c r="Q948">
        <v>548</v>
      </c>
      <c r="R948">
        <v>255</v>
      </c>
      <c r="S948">
        <v>261.60000000000002</v>
      </c>
      <c r="T948">
        <v>413</v>
      </c>
      <c r="U948">
        <v>408</v>
      </c>
      <c r="V948">
        <v>500</v>
      </c>
      <c r="W948">
        <v>2.79</v>
      </c>
    </row>
    <row r="949" spans="1:23" x14ac:dyDescent="0.25">
      <c r="A949" t="s">
        <v>37</v>
      </c>
      <c r="B949">
        <v>9</v>
      </c>
      <c r="C949">
        <v>8</v>
      </c>
      <c r="D949">
        <v>1994</v>
      </c>
      <c r="E949">
        <v>163.6</v>
      </c>
      <c r="F949">
        <v>16.5</v>
      </c>
      <c r="G949">
        <v>15.3</v>
      </c>
      <c r="H949">
        <v>1.2</v>
      </c>
      <c r="I949">
        <v>7</v>
      </c>
      <c r="J949">
        <v>161.1</v>
      </c>
      <c r="K949">
        <v>840.8</v>
      </c>
      <c r="L949">
        <v>401</v>
      </c>
      <c r="M949">
        <v>388</v>
      </c>
      <c r="N949">
        <v>558</v>
      </c>
      <c r="O949">
        <v>170</v>
      </c>
      <c r="P949">
        <v>307</v>
      </c>
      <c r="Q949">
        <v>590</v>
      </c>
      <c r="R949">
        <v>283</v>
      </c>
      <c r="S949">
        <v>261.60000000000002</v>
      </c>
      <c r="T949">
        <v>413</v>
      </c>
      <c r="U949">
        <v>408</v>
      </c>
      <c r="V949">
        <v>500</v>
      </c>
      <c r="W949">
        <v>2.79</v>
      </c>
    </row>
    <row r="950" spans="1:23" x14ac:dyDescent="0.25">
      <c r="A950" t="s">
        <v>37</v>
      </c>
      <c r="B950">
        <v>9</v>
      </c>
      <c r="C950">
        <v>9</v>
      </c>
      <c r="D950">
        <v>1995</v>
      </c>
      <c r="E950">
        <v>176.2</v>
      </c>
      <c r="F950">
        <v>12.6</v>
      </c>
      <c r="G950">
        <v>12.3</v>
      </c>
      <c r="H950">
        <v>0.3</v>
      </c>
      <c r="I950">
        <v>2</v>
      </c>
      <c r="J950">
        <v>134.5</v>
      </c>
      <c r="K950">
        <v>975.4</v>
      </c>
      <c r="L950">
        <v>390</v>
      </c>
      <c r="M950">
        <v>387</v>
      </c>
      <c r="N950">
        <v>528</v>
      </c>
      <c r="O950">
        <v>141</v>
      </c>
      <c r="P950">
        <v>314</v>
      </c>
      <c r="Q950">
        <v>528</v>
      </c>
      <c r="R950">
        <v>214</v>
      </c>
      <c r="S950">
        <v>261.60000000000002</v>
      </c>
      <c r="T950">
        <v>413</v>
      </c>
      <c r="U950">
        <v>408</v>
      </c>
      <c r="V950">
        <v>500</v>
      </c>
      <c r="W950">
        <v>2.79</v>
      </c>
    </row>
    <row r="951" spans="1:23" x14ac:dyDescent="0.25">
      <c r="A951" t="s">
        <v>37</v>
      </c>
      <c r="B951">
        <v>9</v>
      </c>
      <c r="C951">
        <v>10</v>
      </c>
      <c r="D951">
        <v>1996</v>
      </c>
      <c r="E951">
        <v>185.5</v>
      </c>
      <c r="F951">
        <v>9.3000000000000007</v>
      </c>
      <c r="G951">
        <v>8.4</v>
      </c>
      <c r="H951">
        <v>0.9</v>
      </c>
      <c r="I951">
        <v>9</v>
      </c>
      <c r="J951">
        <v>105.7</v>
      </c>
      <c r="K951">
        <v>1081</v>
      </c>
      <c r="L951">
        <v>375</v>
      </c>
      <c r="M951">
        <v>357</v>
      </c>
      <c r="N951">
        <v>539</v>
      </c>
      <c r="O951">
        <v>182</v>
      </c>
      <c r="P951">
        <v>292</v>
      </c>
      <c r="Q951">
        <v>564</v>
      </c>
      <c r="R951">
        <v>272</v>
      </c>
      <c r="S951">
        <v>261.60000000000002</v>
      </c>
      <c r="T951">
        <v>413</v>
      </c>
      <c r="U951">
        <v>408</v>
      </c>
      <c r="V951">
        <v>500</v>
      </c>
      <c r="W951">
        <v>2.79</v>
      </c>
    </row>
    <row r="952" spans="1:23" x14ac:dyDescent="0.25">
      <c r="A952" t="s">
        <v>37</v>
      </c>
      <c r="B952">
        <v>9</v>
      </c>
      <c r="C952">
        <v>11</v>
      </c>
      <c r="D952">
        <v>1997</v>
      </c>
      <c r="E952">
        <v>196.9</v>
      </c>
      <c r="F952">
        <v>11.4</v>
      </c>
      <c r="G952">
        <v>10.199999999999999</v>
      </c>
      <c r="H952">
        <v>1.2</v>
      </c>
      <c r="I952">
        <v>10</v>
      </c>
      <c r="J952">
        <v>137</v>
      </c>
      <c r="K952">
        <v>1218</v>
      </c>
      <c r="L952">
        <v>393</v>
      </c>
      <c r="M952">
        <v>375</v>
      </c>
      <c r="N952">
        <v>544</v>
      </c>
      <c r="O952">
        <v>169</v>
      </c>
      <c r="P952">
        <v>312</v>
      </c>
      <c r="Q952">
        <v>567</v>
      </c>
      <c r="R952">
        <v>255</v>
      </c>
      <c r="S952">
        <v>261.60000000000002</v>
      </c>
      <c r="T952">
        <v>413</v>
      </c>
      <c r="U952">
        <v>408</v>
      </c>
      <c r="V952">
        <v>500</v>
      </c>
      <c r="W952">
        <v>2.79</v>
      </c>
    </row>
    <row r="953" spans="1:23" x14ac:dyDescent="0.25">
      <c r="A953" t="s">
        <v>37</v>
      </c>
      <c r="B953">
        <v>9</v>
      </c>
      <c r="C953">
        <v>12</v>
      </c>
      <c r="D953">
        <v>1998</v>
      </c>
      <c r="E953">
        <v>203.5</v>
      </c>
      <c r="F953">
        <v>6.6</v>
      </c>
      <c r="G953">
        <v>5.0999999999999996</v>
      </c>
      <c r="H953">
        <v>1.5</v>
      </c>
      <c r="I953">
        <v>22</v>
      </c>
      <c r="J953">
        <v>83</v>
      </c>
      <c r="K953">
        <v>1301</v>
      </c>
      <c r="L953">
        <v>405</v>
      </c>
      <c r="M953">
        <v>366</v>
      </c>
      <c r="N953">
        <v>538</v>
      </c>
      <c r="O953">
        <v>172</v>
      </c>
      <c r="P953">
        <v>306</v>
      </c>
      <c r="Q953">
        <v>580</v>
      </c>
      <c r="R953">
        <v>274</v>
      </c>
      <c r="S953">
        <v>261.60000000000002</v>
      </c>
      <c r="T953">
        <v>413</v>
      </c>
      <c r="U953">
        <v>408</v>
      </c>
      <c r="V953">
        <v>500</v>
      </c>
      <c r="W953">
        <v>2.79</v>
      </c>
    </row>
    <row r="954" spans="1:23" x14ac:dyDescent="0.25">
      <c r="A954" t="s">
        <v>37</v>
      </c>
      <c r="B954">
        <v>9</v>
      </c>
      <c r="C954">
        <v>13</v>
      </c>
      <c r="D954">
        <v>1999</v>
      </c>
      <c r="E954">
        <v>210.1</v>
      </c>
      <c r="F954">
        <v>6.6</v>
      </c>
      <c r="G954">
        <v>6.6</v>
      </c>
      <c r="H954">
        <v>0</v>
      </c>
      <c r="I954">
        <v>0</v>
      </c>
      <c r="J954">
        <v>85.8</v>
      </c>
      <c r="K954">
        <v>1386.8</v>
      </c>
      <c r="L954">
        <v>407</v>
      </c>
      <c r="M954">
        <v>407</v>
      </c>
      <c r="P954">
        <v>344</v>
      </c>
      <c r="Q954">
        <v>490</v>
      </c>
      <c r="R954">
        <v>146</v>
      </c>
      <c r="S954">
        <v>261.60000000000002</v>
      </c>
      <c r="T954">
        <v>413</v>
      </c>
      <c r="U954">
        <v>408</v>
      </c>
      <c r="V954">
        <v>500</v>
      </c>
      <c r="W954">
        <v>2.79</v>
      </c>
    </row>
    <row r="955" spans="1:23" x14ac:dyDescent="0.25">
      <c r="A955" t="s">
        <v>37</v>
      </c>
      <c r="B955">
        <v>9</v>
      </c>
      <c r="C955">
        <v>14</v>
      </c>
      <c r="D955">
        <v>2000</v>
      </c>
      <c r="E955">
        <v>214.6</v>
      </c>
      <c r="F955">
        <v>4.5</v>
      </c>
      <c r="G955">
        <v>3.9</v>
      </c>
      <c r="H955">
        <v>0.6</v>
      </c>
      <c r="I955">
        <v>13</v>
      </c>
      <c r="J955">
        <v>60</v>
      </c>
      <c r="K955">
        <v>1446.8</v>
      </c>
      <c r="L955">
        <v>423</v>
      </c>
      <c r="M955">
        <v>409</v>
      </c>
      <c r="N955">
        <v>519</v>
      </c>
      <c r="O955">
        <v>110</v>
      </c>
      <c r="P955">
        <v>336</v>
      </c>
      <c r="Q955">
        <v>530</v>
      </c>
      <c r="R955">
        <v>194</v>
      </c>
      <c r="S955">
        <v>261.60000000000002</v>
      </c>
      <c r="T955">
        <v>413</v>
      </c>
      <c r="U955">
        <v>408</v>
      </c>
      <c r="V955">
        <v>500</v>
      </c>
      <c r="W955">
        <v>2.79</v>
      </c>
    </row>
    <row r="956" spans="1:23" x14ac:dyDescent="0.25">
      <c r="A956" t="s">
        <v>37</v>
      </c>
      <c r="B956">
        <v>9</v>
      </c>
      <c r="C956">
        <v>15</v>
      </c>
      <c r="D956">
        <v>2001</v>
      </c>
      <c r="E956">
        <v>218.2</v>
      </c>
      <c r="F956">
        <v>3.6</v>
      </c>
      <c r="G956">
        <v>3</v>
      </c>
      <c r="H956">
        <v>0.6</v>
      </c>
      <c r="I956">
        <v>16</v>
      </c>
      <c r="J956">
        <v>48.9</v>
      </c>
      <c r="K956">
        <v>1495.8</v>
      </c>
      <c r="L956">
        <v>424</v>
      </c>
      <c r="M956">
        <v>401</v>
      </c>
      <c r="N956">
        <v>538</v>
      </c>
      <c r="O956">
        <v>137</v>
      </c>
      <c r="P956">
        <v>353</v>
      </c>
      <c r="Q956">
        <v>559</v>
      </c>
      <c r="R956">
        <v>206</v>
      </c>
      <c r="S956">
        <v>261.60000000000002</v>
      </c>
      <c r="T956">
        <v>413</v>
      </c>
      <c r="U956">
        <v>408</v>
      </c>
      <c r="V956">
        <v>500</v>
      </c>
      <c r="W956">
        <v>2.79</v>
      </c>
    </row>
    <row r="957" spans="1:23" x14ac:dyDescent="0.25">
      <c r="A957" t="s">
        <v>37</v>
      </c>
      <c r="B957">
        <v>9</v>
      </c>
      <c r="C957">
        <v>16</v>
      </c>
      <c r="D957">
        <v>2002</v>
      </c>
      <c r="E957">
        <v>221.8</v>
      </c>
      <c r="F957">
        <v>3.6</v>
      </c>
      <c r="G957">
        <v>2.4</v>
      </c>
      <c r="H957">
        <v>1.2</v>
      </c>
      <c r="I957">
        <v>33</v>
      </c>
      <c r="J957">
        <v>49.8</v>
      </c>
      <c r="K957">
        <v>1545.5</v>
      </c>
      <c r="L957">
        <v>435</v>
      </c>
      <c r="M957">
        <v>379</v>
      </c>
      <c r="N957">
        <v>549</v>
      </c>
      <c r="O957">
        <v>170</v>
      </c>
      <c r="P957">
        <v>334</v>
      </c>
      <c r="Q957">
        <v>581</v>
      </c>
      <c r="R957">
        <v>247</v>
      </c>
      <c r="S957">
        <v>261.60000000000002</v>
      </c>
      <c r="T957">
        <v>413</v>
      </c>
      <c r="U957">
        <v>408</v>
      </c>
      <c r="V957">
        <v>500</v>
      </c>
      <c r="W957">
        <v>2.79</v>
      </c>
    </row>
    <row r="958" spans="1:23" x14ac:dyDescent="0.25">
      <c r="A958" t="s">
        <v>37</v>
      </c>
      <c r="B958">
        <v>9</v>
      </c>
      <c r="C958">
        <v>17</v>
      </c>
      <c r="D958">
        <v>2003</v>
      </c>
      <c r="E958">
        <v>227.5</v>
      </c>
      <c r="F958">
        <v>5.7</v>
      </c>
      <c r="G958">
        <v>3.9</v>
      </c>
      <c r="H958">
        <v>1.8</v>
      </c>
      <c r="I958">
        <v>31</v>
      </c>
      <c r="J958">
        <v>80.5</v>
      </c>
      <c r="K958">
        <v>1626</v>
      </c>
      <c r="L958">
        <v>450</v>
      </c>
      <c r="M958">
        <v>407</v>
      </c>
      <c r="N958">
        <v>545</v>
      </c>
      <c r="O958">
        <v>138</v>
      </c>
      <c r="P958">
        <v>347</v>
      </c>
      <c r="Q958">
        <v>588</v>
      </c>
      <c r="R958">
        <v>241</v>
      </c>
      <c r="S958">
        <v>261.60000000000002</v>
      </c>
      <c r="T958">
        <v>413</v>
      </c>
      <c r="U958">
        <v>408</v>
      </c>
      <c r="V958">
        <v>500</v>
      </c>
      <c r="W958">
        <v>2.79</v>
      </c>
    </row>
    <row r="959" spans="1:23" x14ac:dyDescent="0.25">
      <c r="A959" t="s">
        <v>37</v>
      </c>
      <c r="B959">
        <v>9</v>
      </c>
      <c r="C959">
        <v>18</v>
      </c>
      <c r="D959">
        <v>2004</v>
      </c>
      <c r="E959">
        <v>234.4</v>
      </c>
      <c r="F959">
        <v>6.9</v>
      </c>
      <c r="G959">
        <v>4.8</v>
      </c>
      <c r="H959">
        <v>2.1</v>
      </c>
      <c r="I959">
        <v>30</v>
      </c>
      <c r="J959">
        <v>100.1</v>
      </c>
      <c r="K959">
        <v>1726.1</v>
      </c>
      <c r="L959">
        <v>441</v>
      </c>
      <c r="M959">
        <v>392</v>
      </c>
      <c r="N959">
        <v>554</v>
      </c>
      <c r="O959">
        <v>162</v>
      </c>
      <c r="P959">
        <v>345</v>
      </c>
      <c r="Q959">
        <v>574</v>
      </c>
      <c r="R959">
        <v>229</v>
      </c>
      <c r="S959">
        <v>261.60000000000002</v>
      </c>
      <c r="T959">
        <v>413</v>
      </c>
      <c r="U959">
        <v>408</v>
      </c>
      <c r="V959">
        <v>500</v>
      </c>
      <c r="W959">
        <v>2.79</v>
      </c>
    </row>
    <row r="960" spans="1:23" x14ac:dyDescent="0.25">
      <c r="A960" t="s">
        <v>37</v>
      </c>
      <c r="B960">
        <v>9</v>
      </c>
      <c r="C960">
        <v>19</v>
      </c>
      <c r="D960">
        <v>2005</v>
      </c>
      <c r="E960">
        <v>239.5</v>
      </c>
      <c r="F960">
        <v>5.0999999999999996</v>
      </c>
      <c r="G960">
        <v>4.2</v>
      </c>
      <c r="H960">
        <v>0.9</v>
      </c>
      <c r="I960">
        <v>17</v>
      </c>
      <c r="J960">
        <v>75.900000000000006</v>
      </c>
      <c r="K960">
        <v>1802</v>
      </c>
      <c r="L960">
        <v>417</v>
      </c>
      <c r="M960">
        <v>390</v>
      </c>
      <c r="N960">
        <v>539</v>
      </c>
      <c r="O960">
        <v>149</v>
      </c>
      <c r="P960">
        <v>343</v>
      </c>
      <c r="Q960">
        <v>555</v>
      </c>
      <c r="R960">
        <v>212</v>
      </c>
      <c r="S960">
        <v>261.60000000000002</v>
      </c>
      <c r="T960">
        <v>413</v>
      </c>
      <c r="U960">
        <v>408</v>
      </c>
      <c r="V960">
        <v>500</v>
      </c>
      <c r="W960">
        <v>2.79</v>
      </c>
    </row>
    <row r="961" spans="1:23" x14ac:dyDescent="0.25">
      <c r="A961" t="s">
        <v>37</v>
      </c>
      <c r="B961">
        <v>9</v>
      </c>
      <c r="C961">
        <v>20</v>
      </c>
      <c r="D961">
        <v>2006</v>
      </c>
      <c r="E961">
        <v>241.9</v>
      </c>
      <c r="F961">
        <v>2.4</v>
      </c>
      <c r="G961">
        <v>1.5</v>
      </c>
      <c r="H961">
        <v>0.9</v>
      </c>
      <c r="I961">
        <v>37</v>
      </c>
      <c r="J961">
        <v>36.299999999999997</v>
      </c>
      <c r="K961">
        <v>1838.3</v>
      </c>
      <c r="L961">
        <v>467</v>
      </c>
      <c r="M961">
        <v>412</v>
      </c>
      <c r="N961">
        <v>559</v>
      </c>
      <c r="O961">
        <v>147</v>
      </c>
      <c r="P961">
        <v>369</v>
      </c>
      <c r="Q961">
        <v>575</v>
      </c>
      <c r="R961">
        <v>206</v>
      </c>
      <c r="S961">
        <v>261.60000000000002</v>
      </c>
      <c r="T961">
        <v>413</v>
      </c>
      <c r="U961">
        <v>408</v>
      </c>
      <c r="V961">
        <v>500</v>
      </c>
      <c r="W961">
        <v>2.79</v>
      </c>
    </row>
    <row r="962" spans="1:23" x14ac:dyDescent="0.25">
      <c r="A962" t="s">
        <v>37</v>
      </c>
      <c r="B962">
        <v>9</v>
      </c>
      <c r="C962">
        <v>21</v>
      </c>
      <c r="D962">
        <v>2007</v>
      </c>
      <c r="E962">
        <v>244</v>
      </c>
      <c r="F962">
        <v>2.1</v>
      </c>
      <c r="G962">
        <v>1.2</v>
      </c>
      <c r="H962">
        <v>0.9</v>
      </c>
      <c r="I962">
        <v>42</v>
      </c>
      <c r="J962">
        <v>32.1</v>
      </c>
      <c r="K962">
        <v>1870.4</v>
      </c>
      <c r="L962">
        <v>477</v>
      </c>
      <c r="M962">
        <v>416</v>
      </c>
      <c r="N962">
        <v>559</v>
      </c>
      <c r="O962">
        <v>143</v>
      </c>
      <c r="P962">
        <v>373</v>
      </c>
      <c r="Q962">
        <v>577</v>
      </c>
      <c r="R962">
        <v>204</v>
      </c>
      <c r="S962">
        <v>261.60000000000002</v>
      </c>
      <c r="T962">
        <v>413</v>
      </c>
      <c r="U962">
        <v>408</v>
      </c>
      <c r="V962">
        <v>500</v>
      </c>
      <c r="W962">
        <v>2.79</v>
      </c>
    </row>
    <row r="963" spans="1:23" x14ac:dyDescent="0.25">
      <c r="A963" t="s">
        <v>37</v>
      </c>
      <c r="B963">
        <v>9</v>
      </c>
      <c r="C963">
        <v>22</v>
      </c>
      <c r="D963">
        <v>2008</v>
      </c>
      <c r="E963">
        <v>247.3</v>
      </c>
      <c r="F963">
        <v>3.3</v>
      </c>
      <c r="G963">
        <v>2.7</v>
      </c>
      <c r="H963">
        <v>0.6</v>
      </c>
      <c r="I963">
        <v>18</v>
      </c>
      <c r="J963">
        <v>50.9</v>
      </c>
      <c r="K963">
        <v>1921.3</v>
      </c>
      <c r="L963">
        <v>442</v>
      </c>
      <c r="M963">
        <v>421</v>
      </c>
      <c r="N963">
        <v>537</v>
      </c>
      <c r="O963">
        <v>116</v>
      </c>
      <c r="P963">
        <v>371</v>
      </c>
      <c r="Q963">
        <v>564</v>
      </c>
      <c r="R963">
        <v>193</v>
      </c>
      <c r="S963">
        <v>261.60000000000002</v>
      </c>
      <c r="T963">
        <v>413</v>
      </c>
      <c r="U963">
        <v>408</v>
      </c>
      <c r="V963">
        <v>500</v>
      </c>
      <c r="W963">
        <v>2.79</v>
      </c>
    </row>
    <row r="964" spans="1:23" x14ac:dyDescent="0.25">
      <c r="A964" t="s">
        <v>37</v>
      </c>
      <c r="B964">
        <v>9</v>
      </c>
      <c r="C964">
        <v>23</v>
      </c>
      <c r="D964">
        <v>2009</v>
      </c>
      <c r="E964">
        <v>250.9</v>
      </c>
      <c r="F964">
        <v>3.6</v>
      </c>
      <c r="G964">
        <v>2.7</v>
      </c>
      <c r="H964">
        <v>0.9</v>
      </c>
      <c r="I964">
        <v>24</v>
      </c>
      <c r="J964">
        <v>56.3</v>
      </c>
      <c r="K964">
        <v>1977.7</v>
      </c>
      <c r="L964">
        <v>447</v>
      </c>
      <c r="M964">
        <v>412</v>
      </c>
      <c r="N964">
        <v>552</v>
      </c>
      <c r="O964">
        <v>140</v>
      </c>
      <c r="P964">
        <v>370</v>
      </c>
      <c r="Q964">
        <v>575</v>
      </c>
      <c r="R964">
        <v>205</v>
      </c>
      <c r="S964">
        <v>261.60000000000002</v>
      </c>
      <c r="T964">
        <v>413</v>
      </c>
      <c r="U964">
        <v>408</v>
      </c>
      <c r="V964">
        <v>500</v>
      </c>
      <c r="W964">
        <v>2.79</v>
      </c>
    </row>
    <row r="965" spans="1:23" x14ac:dyDescent="0.25">
      <c r="A965" t="s">
        <v>37</v>
      </c>
      <c r="B965">
        <v>9</v>
      </c>
      <c r="C965">
        <v>24</v>
      </c>
      <c r="D965">
        <v>2010</v>
      </c>
      <c r="E965">
        <v>256</v>
      </c>
      <c r="F965">
        <v>5.0999999999999996</v>
      </c>
      <c r="G965">
        <v>3.3</v>
      </c>
      <c r="H965">
        <v>1.8</v>
      </c>
      <c r="I965">
        <v>35</v>
      </c>
      <c r="J965">
        <v>81.2</v>
      </c>
      <c r="K965">
        <v>2058.9</v>
      </c>
      <c r="L965">
        <v>474</v>
      </c>
      <c r="M965">
        <v>427</v>
      </c>
      <c r="N965">
        <v>558</v>
      </c>
      <c r="O965">
        <v>131</v>
      </c>
      <c r="P965">
        <v>379</v>
      </c>
      <c r="Q965">
        <v>616</v>
      </c>
      <c r="R965">
        <v>237</v>
      </c>
      <c r="S965">
        <v>261.60000000000002</v>
      </c>
      <c r="T965">
        <v>413</v>
      </c>
      <c r="U965">
        <v>408</v>
      </c>
      <c r="V965">
        <v>500</v>
      </c>
      <c r="W965">
        <v>2.79</v>
      </c>
    </row>
    <row r="966" spans="1:23" x14ac:dyDescent="0.25">
      <c r="A966" t="s">
        <v>37</v>
      </c>
      <c r="B966">
        <v>9</v>
      </c>
      <c r="C966">
        <v>25</v>
      </c>
      <c r="D966">
        <v>2011</v>
      </c>
      <c r="E966">
        <v>259.89999999999998</v>
      </c>
      <c r="F966">
        <v>3.9</v>
      </c>
      <c r="G966">
        <v>3</v>
      </c>
      <c r="H966">
        <v>0.9</v>
      </c>
      <c r="I966">
        <v>23</v>
      </c>
      <c r="J966">
        <v>63.2</v>
      </c>
      <c r="K966">
        <v>2122.1</v>
      </c>
      <c r="L966">
        <v>470</v>
      </c>
      <c r="M966">
        <v>432</v>
      </c>
      <c r="N966">
        <v>596</v>
      </c>
      <c r="O966">
        <v>164</v>
      </c>
      <c r="P966">
        <v>396</v>
      </c>
      <c r="Q966">
        <v>624</v>
      </c>
      <c r="R966">
        <v>228</v>
      </c>
      <c r="S966">
        <v>261.60000000000002</v>
      </c>
      <c r="T966">
        <v>413</v>
      </c>
      <c r="U966">
        <v>408</v>
      </c>
      <c r="V966">
        <v>500</v>
      </c>
      <c r="W966">
        <v>2.79</v>
      </c>
    </row>
    <row r="967" spans="1:23" x14ac:dyDescent="0.25">
      <c r="A967" t="s">
        <v>37</v>
      </c>
      <c r="B967">
        <v>9</v>
      </c>
      <c r="C967">
        <v>26</v>
      </c>
      <c r="D967">
        <v>2012</v>
      </c>
      <c r="E967">
        <v>262.60000000000002</v>
      </c>
      <c r="F967">
        <v>2.7</v>
      </c>
      <c r="G967">
        <v>1.8</v>
      </c>
      <c r="H967">
        <v>0.9</v>
      </c>
      <c r="I967">
        <v>33</v>
      </c>
      <c r="J967">
        <v>44.3</v>
      </c>
      <c r="K967">
        <v>2166.4</v>
      </c>
      <c r="L967">
        <v>459</v>
      </c>
      <c r="M967">
        <v>416</v>
      </c>
      <c r="N967">
        <v>546</v>
      </c>
      <c r="O967">
        <v>130</v>
      </c>
      <c r="P967">
        <v>377</v>
      </c>
      <c r="Q967">
        <v>588</v>
      </c>
      <c r="R967">
        <v>211</v>
      </c>
      <c r="S967">
        <v>261.60000000000002</v>
      </c>
      <c r="T967">
        <v>413</v>
      </c>
      <c r="U967">
        <v>408</v>
      </c>
      <c r="V967">
        <v>500</v>
      </c>
      <c r="W967">
        <v>2.79</v>
      </c>
    </row>
    <row r="968" spans="1:23" x14ac:dyDescent="0.25">
      <c r="A968" t="s">
        <v>37</v>
      </c>
      <c r="B968">
        <v>10</v>
      </c>
      <c r="C968">
        <v>2</v>
      </c>
      <c r="D968">
        <v>1987</v>
      </c>
      <c r="E968">
        <v>52.1</v>
      </c>
      <c r="F968">
        <v>52.1</v>
      </c>
      <c r="G968">
        <v>30.3</v>
      </c>
      <c r="H968">
        <v>1.8</v>
      </c>
      <c r="I968">
        <v>3</v>
      </c>
      <c r="J968">
        <v>85.3</v>
      </c>
      <c r="K968">
        <v>85.3</v>
      </c>
      <c r="L968">
        <v>349</v>
      </c>
      <c r="M968">
        <v>338</v>
      </c>
      <c r="N968">
        <v>518</v>
      </c>
      <c r="O968">
        <v>180</v>
      </c>
      <c r="P968">
        <v>290</v>
      </c>
      <c r="Q968">
        <v>537</v>
      </c>
      <c r="R968">
        <v>247</v>
      </c>
      <c r="S968">
        <v>237.9</v>
      </c>
      <c r="T968">
        <v>419</v>
      </c>
      <c r="U968">
        <v>416</v>
      </c>
      <c r="V968">
        <v>500</v>
      </c>
      <c r="W968">
        <v>2.79</v>
      </c>
    </row>
    <row r="969" spans="1:23" x14ac:dyDescent="0.25">
      <c r="A969" t="s">
        <v>37</v>
      </c>
      <c r="B969">
        <v>10</v>
      </c>
      <c r="C969">
        <v>3</v>
      </c>
      <c r="D969">
        <v>1988</v>
      </c>
      <c r="E969">
        <v>71.3</v>
      </c>
      <c r="F969">
        <v>19.2</v>
      </c>
      <c r="G969">
        <v>18</v>
      </c>
      <c r="H969">
        <v>1.2</v>
      </c>
      <c r="I969">
        <v>6</v>
      </c>
      <c r="J969">
        <v>74.400000000000006</v>
      </c>
      <c r="K969">
        <v>159.69999999999999</v>
      </c>
      <c r="L969">
        <v>380</v>
      </c>
      <c r="M969">
        <v>371</v>
      </c>
      <c r="N969">
        <v>514</v>
      </c>
      <c r="O969">
        <v>143</v>
      </c>
      <c r="P969">
        <v>294</v>
      </c>
      <c r="Q969">
        <v>527</v>
      </c>
      <c r="R969">
        <v>233</v>
      </c>
      <c r="S969">
        <v>237.9</v>
      </c>
      <c r="T969">
        <v>419</v>
      </c>
      <c r="U969">
        <v>416</v>
      </c>
      <c r="V969">
        <v>500</v>
      </c>
      <c r="W969">
        <v>2.79</v>
      </c>
    </row>
    <row r="970" spans="1:23" x14ac:dyDescent="0.25">
      <c r="A970" t="s">
        <v>37</v>
      </c>
      <c r="B970">
        <v>10</v>
      </c>
      <c r="C970">
        <v>4</v>
      </c>
      <c r="D970">
        <v>1989</v>
      </c>
      <c r="E970">
        <v>89.3</v>
      </c>
      <c r="F970">
        <v>18</v>
      </c>
      <c r="G970">
        <v>17.399999999999999</v>
      </c>
      <c r="H970">
        <v>0.6</v>
      </c>
      <c r="I970">
        <v>3</v>
      </c>
      <c r="J970">
        <v>90.8</v>
      </c>
      <c r="K970">
        <v>250.5</v>
      </c>
      <c r="L970">
        <v>404</v>
      </c>
      <c r="M970">
        <v>399</v>
      </c>
      <c r="N970">
        <v>539</v>
      </c>
      <c r="O970">
        <v>140</v>
      </c>
      <c r="P970">
        <v>327</v>
      </c>
      <c r="Q970">
        <v>550</v>
      </c>
      <c r="R970">
        <v>223</v>
      </c>
      <c r="S970">
        <v>237.9</v>
      </c>
      <c r="T970">
        <v>419</v>
      </c>
      <c r="U970">
        <v>416</v>
      </c>
      <c r="V970">
        <v>500</v>
      </c>
      <c r="W970">
        <v>2.79</v>
      </c>
    </row>
    <row r="971" spans="1:23" x14ac:dyDescent="0.25">
      <c r="A971" t="s">
        <v>37</v>
      </c>
      <c r="B971">
        <v>10</v>
      </c>
      <c r="C971">
        <v>5</v>
      </c>
      <c r="D971">
        <v>1990</v>
      </c>
      <c r="E971">
        <v>101.3</v>
      </c>
      <c r="F971">
        <v>12</v>
      </c>
      <c r="G971">
        <v>9.9</v>
      </c>
      <c r="H971">
        <v>2.1</v>
      </c>
      <c r="I971">
        <v>17</v>
      </c>
      <c r="J971">
        <v>71.900000000000006</v>
      </c>
      <c r="K971">
        <v>322.39999999999998</v>
      </c>
      <c r="L971">
        <v>412</v>
      </c>
      <c r="M971">
        <v>387</v>
      </c>
      <c r="N971">
        <v>530</v>
      </c>
      <c r="O971">
        <v>143</v>
      </c>
      <c r="P971">
        <v>318</v>
      </c>
      <c r="Q971">
        <v>564</v>
      </c>
      <c r="R971">
        <v>246</v>
      </c>
      <c r="S971">
        <v>237.9</v>
      </c>
      <c r="T971">
        <v>419</v>
      </c>
      <c r="U971">
        <v>416</v>
      </c>
      <c r="V971">
        <v>500</v>
      </c>
      <c r="W971">
        <v>2.79</v>
      </c>
    </row>
    <row r="972" spans="1:23" x14ac:dyDescent="0.25">
      <c r="A972" t="s">
        <v>37</v>
      </c>
      <c r="B972">
        <v>10</v>
      </c>
      <c r="C972">
        <v>6</v>
      </c>
      <c r="D972">
        <v>1991</v>
      </c>
      <c r="E972">
        <v>115.1</v>
      </c>
      <c r="F972">
        <v>13.8</v>
      </c>
      <c r="G972">
        <v>12.9</v>
      </c>
      <c r="H972">
        <v>0.9</v>
      </c>
      <c r="I972">
        <v>6</v>
      </c>
      <c r="J972">
        <v>93.8</v>
      </c>
      <c r="K972">
        <v>416.2</v>
      </c>
      <c r="L972">
        <v>407</v>
      </c>
      <c r="M972">
        <v>398</v>
      </c>
      <c r="N972">
        <v>531</v>
      </c>
      <c r="O972">
        <v>133</v>
      </c>
      <c r="P972">
        <v>339</v>
      </c>
      <c r="Q972">
        <v>541</v>
      </c>
      <c r="R972">
        <v>202</v>
      </c>
      <c r="S972">
        <v>237.9</v>
      </c>
      <c r="T972">
        <v>419</v>
      </c>
      <c r="U972">
        <v>416</v>
      </c>
      <c r="V972">
        <v>500</v>
      </c>
      <c r="W972">
        <v>2.79</v>
      </c>
    </row>
    <row r="973" spans="1:23" x14ac:dyDescent="0.25">
      <c r="A973" t="s">
        <v>37</v>
      </c>
      <c r="B973">
        <v>10</v>
      </c>
      <c r="C973">
        <v>7</v>
      </c>
      <c r="D973">
        <v>1992</v>
      </c>
      <c r="E973">
        <v>129.19999999999999</v>
      </c>
      <c r="F973">
        <v>14.1</v>
      </c>
      <c r="G973">
        <v>12</v>
      </c>
      <c r="H973">
        <v>2.1</v>
      </c>
      <c r="I973">
        <v>14</v>
      </c>
      <c r="J973">
        <v>108.2</v>
      </c>
      <c r="K973">
        <v>524.4</v>
      </c>
      <c r="L973">
        <v>401</v>
      </c>
      <c r="M973">
        <v>379</v>
      </c>
      <c r="N973">
        <v>526</v>
      </c>
      <c r="O973">
        <v>147</v>
      </c>
      <c r="P973">
        <v>332</v>
      </c>
      <c r="Q973">
        <v>552</v>
      </c>
      <c r="R973">
        <v>220</v>
      </c>
      <c r="S973">
        <v>237.9</v>
      </c>
      <c r="T973">
        <v>419</v>
      </c>
      <c r="U973">
        <v>416</v>
      </c>
      <c r="V973">
        <v>500</v>
      </c>
      <c r="W973">
        <v>2.79</v>
      </c>
    </row>
    <row r="974" spans="1:23" x14ac:dyDescent="0.25">
      <c r="A974" t="s">
        <v>37</v>
      </c>
      <c r="B974">
        <v>10</v>
      </c>
      <c r="C974">
        <v>8</v>
      </c>
      <c r="D974">
        <v>1993</v>
      </c>
      <c r="E974">
        <v>137.9</v>
      </c>
      <c r="F974">
        <v>8.6999999999999993</v>
      </c>
      <c r="G974">
        <v>7.8</v>
      </c>
      <c r="H974">
        <v>0.9</v>
      </c>
      <c r="I974">
        <v>10</v>
      </c>
      <c r="J974">
        <v>73</v>
      </c>
      <c r="K974">
        <v>597.4</v>
      </c>
      <c r="L974">
        <v>401</v>
      </c>
      <c r="M974">
        <v>385</v>
      </c>
      <c r="N974">
        <v>536</v>
      </c>
      <c r="O974">
        <v>151</v>
      </c>
      <c r="P974">
        <v>333</v>
      </c>
      <c r="Q974">
        <v>553</v>
      </c>
      <c r="R974">
        <v>220</v>
      </c>
      <c r="S974">
        <v>237.9</v>
      </c>
      <c r="T974">
        <v>419</v>
      </c>
      <c r="U974">
        <v>416</v>
      </c>
      <c r="V974">
        <v>500</v>
      </c>
      <c r="W974">
        <v>2.79</v>
      </c>
    </row>
    <row r="975" spans="1:23" x14ac:dyDescent="0.25">
      <c r="A975" t="s">
        <v>37</v>
      </c>
      <c r="B975">
        <v>10</v>
      </c>
      <c r="C975">
        <v>9</v>
      </c>
      <c r="D975">
        <v>1994</v>
      </c>
      <c r="E975">
        <v>146.30000000000001</v>
      </c>
      <c r="F975">
        <v>8.4</v>
      </c>
      <c r="G975">
        <v>7.2</v>
      </c>
      <c r="H975">
        <v>1.2</v>
      </c>
      <c r="I975">
        <v>14</v>
      </c>
      <c r="J975">
        <v>75</v>
      </c>
      <c r="K975">
        <v>672.4</v>
      </c>
      <c r="L975">
        <v>410</v>
      </c>
      <c r="M975">
        <v>391</v>
      </c>
      <c r="N975">
        <v>521</v>
      </c>
      <c r="O975">
        <v>130</v>
      </c>
      <c r="P975">
        <v>361</v>
      </c>
      <c r="Q975">
        <v>534</v>
      </c>
      <c r="R975">
        <v>173</v>
      </c>
      <c r="S975">
        <v>237.9</v>
      </c>
      <c r="T975">
        <v>419</v>
      </c>
      <c r="U975">
        <v>416</v>
      </c>
      <c r="V975">
        <v>500</v>
      </c>
      <c r="W975">
        <v>2.79</v>
      </c>
    </row>
    <row r="976" spans="1:23" x14ac:dyDescent="0.25">
      <c r="A976" t="s">
        <v>37</v>
      </c>
      <c r="B976">
        <v>10</v>
      </c>
      <c r="C976">
        <v>10</v>
      </c>
      <c r="D976">
        <v>1995</v>
      </c>
      <c r="E976">
        <v>152.9</v>
      </c>
      <c r="F976">
        <v>6.6</v>
      </c>
      <c r="G976">
        <v>6.3</v>
      </c>
      <c r="H976">
        <v>0.3</v>
      </c>
      <c r="I976">
        <v>4</v>
      </c>
      <c r="J976">
        <v>62</v>
      </c>
      <c r="K976">
        <v>734.5</v>
      </c>
      <c r="L976">
        <v>428</v>
      </c>
      <c r="M976">
        <v>424</v>
      </c>
      <c r="N976">
        <v>509</v>
      </c>
      <c r="O976">
        <v>85</v>
      </c>
      <c r="P976">
        <v>327</v>
      </c>
      <c r="Q976">
        <v>509</v>
      </c>
      <c r="R976">
        <v>182</v>
      </c>
      <c r="S976">
        <v>237.9</v>
      </c>
      <c r="T976">
        <v>419</v>
      </c>
      <c r="U976">
        <v>416</v>
      </c>
      <c r="V976">
        <v>500</v>
      </c>
      <c r="W976">
        <v>2.79</v>
      </c>
    </row>
    <row r="977" spans="1:23" x14ac:dyDescent="0.25">
      <c r="A977" t="s">
        <v>37</v>
      </c>
      <c r="B977">
        <v>10</v>
      </c>
      <c r="C977">
        <v>11</v>
      </c>
      <c r="D977">
        <v>1996</v>
      </c>
      <c r="E977">
        <v>162.5</v>
      </c>
      <c r="F977">
        <v>9.6</v>
      </c>
      <c r="G977">
        <v>8.6999999999999993</v>
      </c>
      <c r="H977">
        <v>0.9</v>
      </c>
      <c r="I977">
        <v>9</v>
      </c>
      <c r="J977">
        <v>95.1</v>
      </c>
      <c r="K977">
        <v>829.6</v>
      </c>
      <c r="L977">
        <v>409</v>
      </c>
      <c r="M977">
        <v>396</v>
      </c>
      <c r="N977">
        <v>529</v>
      </c>
      <c r="O977">
        <v>133</v>
      </c>
      <c r="P977">
        <v>332</v>
      </c>
      <c r="Q977">
        <v>537</v>
      </c>
      <c r="R977">
        <v>205</v>
      </c>
      <c r="S977">
        <v>237.9</v>
      </c>
      <c r="T977">
        <v>419</v>
      </c>
      <c r="U977">
        <v>416</v>
      </c>
      <c r="V977">
        <v>500</v>
      </c>
      <c r="W977">
        <v>2.79</v>
      </c>
    </row>
    <row r="978" spans="1:23" x14ac:dyDescent="0.25">
      <c r="A978" t="s">
        <v>37</v>
      </c>
      <c r="B978">
        <v>10</v>
      </c>
      <c r="C978">
        <v>12</v>
      </c>
      <c r="D978">
        <v>1997</v>
      </c>
      <c r="E978">
        <v>173.9</v>
      </c>
      <c r="F978">
        <v>11.4</v>
      </c>
      <c r="G978">
        <v>10.5</v>
      </c>
      <c r="H978">
        <v>0.9</v>
      </c>
      <c r="I978">
        <v>7</v>
      </c>
      <c r="J978">
        <v>120.5</v>
      </c>
      <c r="K978">
        <v>950.1</v>
      </c>
      <c r="L978">
        <v>411</v>
      </c>
      <c r="M978">
        <v>401</v>
      </c>
      <c r="N978">
        <v>519</v>
      </c>
      <c r="O978">
        <v>118</v>
      </c>
      <c r="P978">
        <v>340</v>
      </c>
      <c r="Q978">
        <v>531</v>
      </c>
      <c r="R978">
        <v>191</v>
      </c>
      <c r="S978">
        <v>237.9</v>
      </c>
      <c r="T978">
        <v>419</v>
      </c>
      <c r="U978">
        <v>416</v>
      </c>
      <c r="V978">
        <v>500</v>
      </c>
      <c r="W978">
        <v>2.79</v>
      </c>
    </row>
    <row r="979" spans="1:23" x14ac:dyDescent="0.25">
      <c r="A979" t="s">
        <v>37</v>
      </c>
      <c r="B979">
        <v>10</v>
      </c>
      <c r="C979">
        <v>13</v>
      </c>
      <c r="D979">
        <v>1998</v>
      </c>
      <c r="E979">
        <v>180.8</v>
      </c>
      <c r="F979">
        <v>6.9</v>
      </c>
      <c r="G979">
        <v>6.9</v>
      </c>
      <c r="H979">
        <v>0</v>
      </c>
      <c r="I979">
        <v>0</v>
      </c>
      <c r="J979">
        <v>76.900000000000006</v>
      </c>
      <c r="K979">
        <v>1026.9000000000001</v>
      </c>
      <c r="L979">
        <v>412</v>
      </c>
      <c r="M979">
        <v>412</v>
      </c>
      <c r="P979">
        <v>333</v>
      </c>
      <c r="Q979">
        <v>497</v>
      </c>
      <c r="R979">
        <v>164</v>
      </c>
      <c r="S979">
        <v>237.9</v>
      </c>
      <c r="T979">
        <v>419</v>
      </c>
      <c r="U979">
        <v>416</v>
      </c>
      <c r="V979">
        <v>500</v>
      </c>
      <c r="W979">
        <v>2.79</v>
      </c>
    </row>
    <row r="980" spans="1:23" x14ac:dyDescent="0.25">
      <c r="A980" t="s">
        <v>37</v>
      </c>
      <c r="B980">
        <v>10</v>
      </c>
      <c r="C980">
        <v>14</v>
      </c>
      <c r="D980">
        <v>1999</v>
      </c>
      <c r="E980">
        <v>188.3</v>
      </c>
      <c r="F980">
        <v>7.5</v>
      </c>
      <c r="G980">
        <v>7.5</v>
      </c>
      <c r="H980">
        <v>0</v>
      </c>
      <c r="I980">
        <v>0</v>
      </c>
      <c r="J980">
        <v>87</v>
      </c>
      <c r="K980">
        <v>1113.9000000000001</v>
      </c>
      <c r="L980">
        <v>409</v>
      </c>
      <c r="M980">
        <v>409</v>
      </c>
      <c r="P980">
        <v>361</v>
      </c>
      <c r="Q980">
        <v>481</v>
      </c>
      <c r="R980">
        <v>120</v>
      </c>
      <c r="S980">
        <v>237.9</v>
      </c>
      <c r="T980">
        <v>419</v>
      </c>
      <c r="U980">
        <v>416</v>
      </c>
      <c r="V980">
        <v>500</v>
      </c>
      <c r="W980">
        <v>2.79</v>
      </c>
    </row>
    <row r="981" spans="1:23" x14ac:dyDescent="0.25">
      <c r="A981" t="s">
        <v>37</v>
      </c>
      <c r="B981">
        <v>10</v>
      </c>
      <c r="C981">
        <v>15</v>
      </c>
      <c r="D981">
        <v>2000</v>
      </c>
      <c r="E981">
        <v>196.4</v>
      </c>
      <c r="F981">
        <v>8.1</v>
      </c>
      <c r="G981">
        <v>8.1</v>
      </c>
      <c r="H981">
        <v>0</v>
      </c>
      <c r="I981">
        <v>0</v>
      </c>
      <c r="J981">
        <v>97.9</v>
      </c>
      <c r="K981">
        <v>1211.8</v>
      </c>
      <c r="L981">
        <v>374</v>
      </c>
      <c r="M981">
        <v>374</v>
      </c>
      <c r="P981">
        <v>300</v>
      </c>
      <c r="Q981">
        <v>493</v>
      </c>
      <c r="R981">
        <v>193</v>
      </c>
      <c r="S981">
        <v>237.9</v>
      </c>
      <c r="T981">
        <v>419</v>
      </c>
      <c r="U981">
        <v>416</v>
      </c>
      <c r="V981">
        <v>500</v>
      </c>
      <c r="W981">
        <v>2.79</v>
      </c>
    </row>
    <row r="982" spans="1:23" x14ac:dyDescent="0.25">
      <c r="A982" t="s">
        <v>37</v>
      </c>
      <c r="B982">
        <v>10</v>
      </c>
      <c r="C982">
        <v>16</v>
      </c>
      <c r="D982">
        <v>2001</v>
      </c>
      <c r="E982">
        <v>205.4</v>
      </c>
      <c r="F982">
        <v>9</v>
      </c>
      <c r="G982">
        <v>8.6999999999999993</v>
      </c>
      <c r="H982">
        <v>0.3</v>
      </c>
      <c r="I982">
        <v>3</v>
      </c>
      <c r="J982">
        <v>113.6</v>
      </c>
      <c r="K982">
        <v>1325.4</v>
      </c>
      <c r="L982">
        <v>415</v>
      </c>
      <c r="M982">
        <v>412</v>
      </c>
      <c r="N982">
        <v>502</v>
      </c>
      <c r="O982">
        <v>90</v>
      </c>
      <c r="P982">
        <v>345</v>
      </c>
      <c r="Q982">
        <v>502</v>
      </c>
      <c r="R982">
        <v>157</v>
      </c>
      <c r="S982">
        <v>237.9</v>
      </c>
      <c r="T982">
        <v>419</v>
      </c>
      <c r="U982">
        <v>416</v>
      </c>
      <c r="V982">
        <v>500</v>
      </c>
      <c r="W982">
        <v>2.79</v>
      </c>
    </row>
    <row r="983" spans="1:23" x14ac:dyDescent="0.25">
      <c r="A983" t="s">
        <v>37</v>
      </c>
      <c r="B983">
        <v>10</v>
      </c>
      <c r="C983">
        <v>17</v>
      </c>
      <c r="D983">
        <v>2002</v>
      </c>
      <c r="E983">
        <v>212</v>
      </c>
      <c r="F983">
        <v>6.6</v>
      </c>
      <c r="G983">
        <v>5.7</v>
      </c>
      <c r="H983">
        <v>0.9</v>
      </c>
      <c r="I983">
        <v>13</v>
      </c>
      <c r="J983">
        <v>86.5</v>
      </c>
      <c r="K983">
        <v>1412</v>
      </c>
      <c r="L983">
        <v>417</v>
      </c>
      <c r="M983">
        <v>398</v>
      </c>
      <c r="N983">
        <v>536</v>
      </c>
      <c r="O983">
        <v>138</v>
      </c>
      <c r="P983">
        <v>319</v>
      </c>
      <c r="Q983">
        <v>547</v>
      </c>
      <c r="R983">
        <v>228</v>
      </c>
      <c r="S983">
        <v>237.9</v>
      </c>
      <c r="T983">
        <v>419</v>
      </c>
      <c r="U983">
        <v>416</v>
      </c>
      <c r="V983">
        <v>500</v>
      </c>
      <c r="W983">
        <v>2.79</v>
      </c>
    </row>
    <row r="984" spans="1:23" x14ac:dyDescent="0.25">
      <c r="A984" t="s">
        <v>37</v>
      </c>
      <c r="B984">
        <v>10</v>
      </c>
      <c r="C984">
        <v>18</v>
      </c>
      <c r="D984">
        <v>2003</v>
      </c>
      <c r="E984">
        <v>218.9</v>
      </c>
      <c r="F984">
        <v>6.9</v>
      </c>
      <c r="G984">
        <v>6.3</v>
      </c>
      <c r="H984">
        <v>0.6</v>
      </c>
      <c r="I984">
        <v>8</v>
      </c>
      <c r="J984">
        <v>93.4</v>
      </c>
      <c r="K984">
        <v>1505.4</v>
      </c>
      <c r="L984">
        <v>427</v>
      </c>
      <c r="M984">
        <v>418</v>
      </c>
      <c r="N984">
        <v>513</v>
      </c>
      <c r="O984">
        <v>95</v>
      </c>
      <c r="P984">
        <v>382</v>
      </c>
      <c r="Q984">
        <v>521</v>
      </c>
      <c r="R984">
        <v>139</v>
      </c>
      <c r="S984">
        <v>237.9</v>
      </c>
      <c r="T984">
        <v>419</v>
      </c>
      <c r="U984">
        <v>416</v>
      </c>
      <c r="V984">
        <v>500</v>
      </c>
      <c r="W984">
        <v>2.79</v>
      </c>
    </row>
    <row r="985" spans="1:23" x14ac:dyDescent="0.25">
      <c r="A985" t="s">
        <v>37</v>
      </c>
      <c r="B985">
        <v>10</v>
      </c>
      <c r="C985">
        <v>19</v>
      </c>
      <c r="D985">
        <v>2004</v>
      </c>
      <c r="E985">
        <v>226.1</v>
      </c>
      <c r="F985">
        <v>7.2</v>
      </c>
      <c r="G985">
        <v>5.7</v>
      </c>
      <c r="H985">
        <v>1.5</v>
      </c>
      <c r="I985">
        <v>20</v>
      </c>
      <c r="J985">
        <v>100.7</v>
      </c>
      <c r="K985">
        <v>1606</v>
      </c>
      <c r="L985">
        <v>444</v>
      </c>
      <c r="M985">
        <v>425</v>
      </c>
      <c r="N985">
        <v>517</v>
      </c>
      <c r="O985">
        <v>92</v>
      </c>
      <c r="P985">
        <v>370</v>
      </c>
      <c r="Q985">
        <v>544</v>
      </c>
      <c r="R985">
        <v>174</v>
      </c>
      <c r="S985">
        <v>237.9</v>
      </c>
      <c r="T985">
        <v>419</v>
      </c>
      <c r="U985">
        <v>416</v>
      </c>
      <c r="V985">
        <v>500</v>
      </c>
      <c r="W985">
        <v>2.79</v>
      </c>
    </row>
    <row r="986" spans="1:23" x14ac:dyDescent="0.25">
      <c r="A986" t="s">
        <v>37</v>
      </c>
      <c r="B986">
        <v>10</v>
      </c>
      <c r="C986">
        <v>20</v>
      </c>
      <c r="D986">
        <v>2005</v>
      </c>
      <c r="E986">
        <v>232.7</v>
      </c>
      <c r="F986">
        <v>6.6</v>
      </c>
      <c r="G986">
        <v>6</v>
      </c>
      <c r="H986">
        <v>0.6</v>
      </c>
      <c r="I986">
        <v>9</v>
      </c>
      <c r="J986">
        <v>95.1</v>
      </c>
      <c r="K986">
        <v>1701.2</v>
      </c>
      <c r="L986">
        <v>446</v>
      </c>
      <c r="M986">
        <v>437</v>
      </c>
      <c r="N986">
        <v>532</v>
      </c>
      <c r="O986">
        <v>95</v>
      </c>
      <c r="P986">
        <v>394</v>
      </c>
      <c r="Q986">
        <v>546</v>
      </c>
      <c r="R986">
        <v>152</v>
      </c>
      <c r="S986">
        <v>237.9</v>
      </c>
      <c r="T986">
        <v>419</v>
      </c>
      <c r="U986">
        <v>416</v>
      </c>
      <c r="V986">
        <v>500</v>
      </c>
      <c r="W986">
        <v>2.79</v>
      </c>
    </row>
    <row r="987" spans="1:23" x14ac:dyDescent="0.25">
      <c r="A987" t="s">
        <v>37</v>
      </c>
      <c r="B987">
        <v>10</v>
      </c>
      <c r="C987">
        <v>21</v>
      </c>
      <c r="D987">
        <v>2006</v>
      </c>
      <c r="E987">
        <v>237.2</v>
      </c>
      <c r="F987">
        <v>4.5</v>
      </c>
      <c r="G987">
        <v>3.6</v>
      </c>
      <c r="H987">
        <v>0.9</v>
      </c>
      <c r="I987">
        <v>20</v>
      </c>
      <c r="J987">
        <v>66.400000000000006</v>
      </c>
      <c r="K987">
        <v>1767.6</v>
      </c>
      <c r="L987">
        <v>451</v>
      </c>
      <c r="M987">
        <v>435</v>
      </c>
      <c r="N987">
        <v>517</v>
      </c>
      <c r="O987">
        <v>82</v>
      </c>
      <c r="P987">
        <v>366</v>
      </c>
      <c r="Q987">
        <v>530</v>
      </c>
      <c r="R987">
        <v>164</v>
      </c>
      <c r="S987">
        <v>237.9</v>
      </c>
      <c r="T987">
        <v>419</v>
      </c>
      <c r="U987">
        <v>416</v>
      </c>
      <c r="V987">
        <v>500</v>
      </c>
      <c r="W987">
        <v>2.79</v>
      </c>
    </row>
    <row r="988" spans="1:23" x14ac:dyDescent="0.25">
      <c r="A988" t="s">
        <v>37</v>
      </c>
      <c r="B988">
        <v>10</v>
      </c>
      <c r="C988">
        <v>22</v>
      </c>
      <c r="D988">
        <v>2007</v>
      </c>
      <c r="E988">
        <v>241.1</v>
      </c>
      <c r="F988">
        <v>3.9</v>
      </c>
      <c r="G988">
        <v>1.5</v>
      </c>
      <c r="H988">
        <v>2.4</v>
      </c>
      <c r="I988">
        <v>61</v>
      </c>
      <c r="J988">
        <v>58.6</v>
      </c>
      <c r="K988">
        <v>1826.2</v>
      </c>
      <c r="L988">
        <v>505</v>
      </c>
      <c r="M988">
        <v>458</v>
      </c>
      <c r="N988">
        <v>534</v>
      </c>
      <c r="O988">
        <v>76</v>
      </c>
      <c r="P988">
        <v>417</v>
      </c>
      <c r="Q988">
        <v>578</v>
      </c>
      <c r="R988">
        <v>161</v>
      </c>
      <c r="S988">
        <v>237.9</v>
      </c>
      <c r="T988">
        <v>419</v>
      </c>
      <c r="U988">
        <v>416</v>
      </c>
      <c r="V988">
        <v>500</v>
      </c>
      <c r="W988">
        <v>2.79</v>
      </c>
    </row>
    <row r="989" spans="1:23" x14ac:dyDescent="0.25">
      <c r="A989" t="s">
        <v>37</v>
      </c>
      <c r="B989">
        <v>10</v>
      </c>
      <c r="C989">
        <v>23</v>
      </c>
      <c r="D989">
        <v>2008</v>
      </c>
      <c r="E989">
        <v>245.3</v>
      </c>
      <c r="F989">
        <v>4.2</v>
      </c>
      <c r="G989">
        <v>3.3</v>
      </c>
      <c r="H989">
        <v>0.9</v>
      </c>
      <c r="I989">
        <v>21</v>
      </c>
      <c r="J989">
        <v>64.2</v>
      </c>
      <c r="K989">
        <v>1890.4</v>
      </c>
      <c r="L989">
        <v>457</v>
      </c>
      <c r="M989">
        <v>437</v>
      </c>
      <c r="N989">
        <v>530</v>
      </c>
      <c r="O989">
        <v>93</v>
      </c>
      <c r="P989">
        <v>364</v>
      </c>
      <c r="Q989">
        <v>566</v>
      </c>
      <c r="R989">
        <v>202</v>
      </c>
      <c r="S989">
        <v>237.9</v>
      </c>
      <c r="T989">
        <v>419</v>
      </c>
      <c r="U989">
        <v>416</v>
      </c>
      <c r="V989">
        <v>500</v>
      </c>
      <c r="W989">
        <v>2.79</v>
      </c>
    </row>
    <row r="990" spans="1:23" x14ac:dyDescent="0.25">
      <c r="A990" t="s">
        <v>37</v>
      </c>
      <c r="B990">
        <v>10</v>
      </c>
      <c r="C990">
        <v>24</v>
      </c>
      <c r="D990">
        <v>2009</v>
      </c>
      <c r="E990">
        <v>248</v>
      </c>
      <c r="F990">
        <v>2.7</v>
      </c>
      <c r="G990">
        <v>2.1</v>
      </c>
      <c r="H990">
        <v>0.6</v>
      </c>
      <c r="I990">
        <v>22</v>
      </c>
      <c r="J990">
        <v>41.8</v>
      </c>
      <c r="K990">
        <v>1932.2</v>
      </c>
      <c r="L990">
        <v>449</v>
      </c>
      <c r="M990">
        <v>430</v>
      </c>
      <c r="N990">
        <v>518</v>
      </c>
      <c r="O990">
        <v>88</v>
      </c>
      <c r="P990">
        <v>388</v>
      </c>
      <c r="Q990">
        <v>524</v>
      </c>
      <c r="R990">
        <v>136</v>
      </c>
      <c r="S990">
        <v>237.9</v>
      </c>
      <c r="T990">
        <v>419</v>
      </c>
      <c r="U990">
        <v>416</v>
      </c>
      <c r="V990">
        <v>500</v>
      </c>
      <c r="W990">
        <v>2.79</v>
      </c>
    </row>
    <row r="991" spans="1:23" x14ac:dyDescent="0.25">
      <c r="A991" t="s">
        <v>37</v>
      </c>
      <c r="B991">
        <v>10</v>
      </c>
      <c r="C991">
        <v>25</v>
      </c>
      <c r="D991">
        <v>2010</v>
      </c>
      <c r="E991">
        <v>251.9</v>
      </c>
      <c r="F991">
        <v>3.9</v>
      </c>
      <c r="G991">
        <v>3.3</v>
      </c>
      <c r="H991">
        <v>0.6</v>
      </c>
      <c r="I991">
        <v>15</v>
      </c>
      <c r="J991">
        <v>61.2</v>
      </c>
      <c r="K991">
        <v>1993.5</v>
      </c>
      <c r="L991">
        <v>438</v>
      </c>
      <c r="M991">
        <v>422</v>
      </c>
      <c r="N991">
        <v>523</v>
      </c>
      <c r="O991">
        <v>101</v>
      </c>
      <c r="P991">
        <v>346</v>
      </c>
      <c r="Q991">
        <v>528</v>
      </c>
      <c r="R991">
        <v>182</v>
      </c>
      <c r="S991">
        <v>237.9</v>
      </c>
      <c r="T991">
        <v>419</v>
      </c>
      <c r="U991">
        <v>416</v>
      </c>
      <c r="V991">
        <v>500</v>
      </c>
      <c r="W991">
        <v>2.79</v>
      </c>
    </row>
    <row r="992" spans="1:23" x14ac:dyDescent="0.25">
      <c r="A992" t="s">
        <v>37</v>
      </c>
      <c r="B992">
        <v>10</v>
      </c>
      <c r="C992">
        <v>26</v>
      </c>
      <c r="D992">
        <v>2011</v>
      </c>
      <c r="E992">
        <v>254.9</v>
      </c>
      <c r="F992">
        <v>3</v>
      </c>
      <c r="G992">
        <v>2.4</v>
      </c>
      <c r="H992">
        <v>0.6</v>
      </c>
      <c r="I992">
        <v>20</v>
      </c>
      <c r="J992">
        <v>47.8</v>
      </c>
      <c r="K992">
        <v>2041.2</v>
      </c>
      <c r="L992">
        <v>436</v>
      </c>
      <c r="M992">
        <v>413</v>
      </c>
      <c r="N992">
        <v>530</v>
      </c>
      <c r="O992">
        <v>117</v>
      </c>
      <c r="P992">
        <v>366</v>
      </c>
      <c r="Q992">
        <v>531</v>
      </c>
      <c r="R992">
        <v>165</v>
      </c>
      <c r="S992">
        <v>237.9</v>
      </c>
      <c r="T992">
        <v>419</v>
      </c>
      <c r="U992">
        <v>416</v>
      </c>
      <c r="V992">
        <v>500</v>
      </c>
      <c r="W992">
        <v>2.79</v>
      </c>
    </row>
    <row r="993" spans="1:23" x14ac:dyDescent="0.25">
      <c r="A993" t="s">
        <v>37</v>
      </c>
      <c r="B993">
        <v>10</v>
      </c>
      <c r="C993">
        <v>27</v>
      </c>
      <c r="D993">
        <v>2012</v>
      </c>
      <c r="E993">
        <v>257.89999999999998</v>
      </c>
      <c r="F993">
        <v>3</v>
      </c>
      <c r="G993">
        <v>3</v>
      </c>
      <c r="H993">
        <v>0</v>
      </c>
      <c r="I993">
        <v>0</v>
      </c>
      <c r="J993">
        <v>48.3</v>
      </c>
      <c r="K993">
        <v>2089.5</v>
      </c>
      <c r="L993">
        <v>414</v>
      </c>
      <c r="M993">
        <v>414</v>
      </c>
      <c r="P993">
        <v>338</v>
      </c>
      <c r="Q993">
        <v>473</v>
      </c>
      <c r="R993">
        <v>135</v>
      </c>
      <c r="S993">
        <v>237.9</v>
      </c>
      <c r="T993">
        <v>419</v>
      </c>
      <c r="U993">
        <v>416</v>
      </c>
      <c r="V993">
        <v>500</v>
      </c>
      <c r="W993">
        <v>2.79</v>
      </c>
    </row>
    <row r="994" spans="1:23" x14ac:dyDescent="0.25">
      <c r="A994" t="s">
        <v>38</v>
      </c>
      <c r="B994">
        <v>1</v>
      </c>
      <c r="C994">
        <v>5</v>
      </c>
      <c r="D994">
        <v>1990</v>
      </c>
      <c r="E994">
        <v>40.799999999999997</v>
      </c>
      <c r="F994">
        <v>40.799999999999997</v>
      </c>
      <c r="G994">
        <v>25.8</v>
      </c>
      <c r="H994">
        <v>0</v>
      </c>
      <c r="I994">
        <v>0</v>
      </c>
      <c r="J994">
        <v>52.3</v>
      </c>
      <c r="K994">
        <v>52.3</v>
      </c>
      <c r="L994">
        <v>350</v>
      </c>
      <c r="M994">
        <v>350</v>
      </c>
      <c r="P994">
        <v>169</v>
      </c>
      <c r="Q994">
        <v>490</v>
      </c>
      <c r="R994">
        <v>321</v>
      </c>
      <c r="S994">
        <v>170.1</v>
      </c>
      <c r="T994">
        <v>401</v>
      </c>
      <c r="U994">
        <v>383</v>
      </c>
      <c r="V994">
        <v>500</v>
      </c>
      <c r="W994">
        <v>2.79</v>
      </c>
    </row>
    <row r="995" spans="1:23" x14ac:dyDescent="0.25">
      <c r="A995" t="s">
        <v>38</v>
      </c>
      <c r="B995">
        <v>1</v>
      </c>
      <c r="C995">
        <v>6</v>
      </c>
      <c r="D995">
        <v>1991</v>
      </c>
      <c r="E995">
        <v>67.2</v>
      </c>
      <c r="F995">
        <v>26.4</v>
      </c>
      <c r="G995">
        <v>26.4</v>
      </c>
      <c r="H995">
        <v>0</v>
      </c>
      <c r="I995">
        <v>0</v>
      </c>
      <c r="J995">
        <v>89.6</v>
      </c>
      <c r="K995">
        <v>141.9</v>
      </c>
      <c r="L995">
        <v>331</v>
      </c>
      <c r="M995">
        <v>331</v>
      </c>
      <c r="P995">
        <v>253</v>
      </c>
      <c r="Q995">
        <v>497</v>
      </c>
      <c r="R995">
        <v>244</v>
      </c>
      <c r="S995">
        <v>170.1</v>
      </c>
      <c r="T995">
        <v>401</v>
      </c>
      <c r="U995">
        <v>383</v>
      </c>
      <c r="V995">
        <v>500</v>
      </c>
      <c r="W995">
        <v>2.79</v>
      </c>
    </row>
    <row r="996" spans="1:23" x14ac:dyDescent="0.25">
      <c r="A996" t="s">
        <v>38</v>
      </c>
      <c r="B996">
        <v>1</v>
      </c>
      <c r="C996">
        <v>7</v>
      </c>
      <c r="D996">
        <v>1992</v>
      </c>
      <c r="E996">
        <v>84.9</v>
      </c>
      <c r="F996">
        <v>17.7</v>
      </c>
      <c r="G996">
        <v>17.7</v>
      </c>
      <c r="H996">
        <v>0</v>
      </c>
      <c r="I996">
        <v>0</v>
      </c>
      <c r="J996">
        <v>84.6</v>
      </c>
      <c r="K996">
        <v>226.4</v>
      </c>
      <c r="L996">
        <v>357</v>
      </c>
      <c r="M996">
        <v>357</v>
      </c>
      <c r="P996">
        <v>272</v>
      </c>
      <c r="Q996">
        <v>479</v>
      </c>
      <c r="R996">
        <v>207</v>
      </c>
      <c r="S996">
        <v>170.1</v>
      </c>
      <c r="T996">
        <v>401</v>
      </c>
      <c r="U996">
        <v>383</v>
      </c>
      <c r="V996">
        <v>500</v>
      </c>
      <c r="W996">
        <v>2.79</v>
      </c>
    </row>
    <row r="997" spans="1:23" x14ac:dyDescent="0.25">
      <c r="A997" t="s">
        <v>38</v>
      </c>
      <c r="B997">
        <v>1</v>
      </c>
      <c r="C997">
        <v>8</v>
      </c>
      <c r="D997">
        <v>1993</v>
      </c>
      <c r="E997">
        <v>96.3</v>
      </c>
      <c r="F997">
        <v>11.4</v>
      </c>
      <c r="G997">
        <v>11.1</v>
      </c>
      <c r="H997">
        <v>0.3</v>
      </c>
      <c r="I997">
        <v>2</v>
      </c>
      <c r="J997">
        <v>64.900000000000006</v>
      </c>
      <c r="K997">
        <v>291.3</v>
      </c>
      <c r="L997">
        <v>323</v>
      </c>
      <c r="M997">
        <v>318</v>
      </c>
      <c r="N997">
        <v>502</v>
      </c>
      <c r="O997">
        <v>184</v>
      </c>
      <c r="P997">
        <v>269</v>
      </c>
      <c r="Q997">
        <v>502</v>
      </c>
      <c r="R997">
        <v>233</v>
      </c>
      <c r="S997">
        <v>170.1</v>
      </c>
      <c r="T997">
        <v>401</v>
      </c>
      <c r="U997">
        <v>383</v>
      </c>
      <c r="V997">
        <v>500</v>
      </c>
      <c r="W997">
        <v>2.79</v>
      </c>
    </row>
    <row r="998" spans="1:23" x14ac:dyDescent="0.25">
      <c r="A998" t="s">
        <v>38</v>
      </c>
      <c r="B998">
        <v>1</v>
      </c>
      <c r="C998">
        <v>9</v>
      </c>
      <c r="D998">
        <v>1994</v>
      </c>
      <c r="E998">
        <v>104.7</v>
      </c>
      <c r="F998">
        <v>8.4</v>
      </c>
      <c r="G998">
        <v>7.5</v>
      </c>
      <c r="H998">
        <v>0.9</v>
      </c>
      <c r="I998">
        <v>10</v>
      </c>
      <c r="J998">
        <v>53</v>
      </c>
      <c r="K998">
        <v>344.4</v>
      </c>
      <c r="L998">
        <v>382</v>
      </c>
      <c r="M998">
        <v>366</v>
      </c>
      <c r="N998">
        <v>521</v>
      </c>
      <c r="O998">
        <v>155</v>
      </c>
      <c r="P998">
        <v>286</v>
      </c>
      <c r="Q998">
        <v>538</v>
      </c>
      <c r="R998">
        <v>252</v>
      </c>
      <c r="S998">
        <v>170.1</v>
      </c>
      <c r="T998">
        <v>401</v>
      </c>
      <c r="U998">
        <v>383</v>
      </c>
      <c r="V998">
        <v>500</v>
      </c>
      <c r="W998">
        <v>2.79</v>
      </c>
    </row>
    <row r="999" spans="1:23" x14ac:dyDescent="0.25">
      <c r="A999" t="s">
        <v>38</v>
      </c>
      <c r="B999">
        <v>1</v>
      </c>
      <c r="C999">
        <v>10</v>
      </c>
      <c r="D999">
        <v>1995</v>
      </c>
      <c r="E999">
        <v>112.8</v>
      </c>
      <c r="F999">
        <v>8.1</v>
      </c>
      <c r="G999">
        <v>6.3</v>
      </c>
      <c r="H999">
        <v>1.8</v>
      </c>
      <c r="I999">
        <v>22</v>
      </c>
      <c r="J999">
        <v>55.3</v>
      </c>
      <c r="K999">
        <v>399.7</v>
      </c>
      <c r="L999">
        <v>404</v>
      </c>
      <c r="M999">
        <v>371</v>
      </c>
      <c r="N999">
        <v>518</v>
      </c>
      <c r="O999">
        <v>147</v>
      </c>
      <c r="P999">
        <v>314</v>
      </c>
      <c r="Q999">
        <v>552</v>
      </c>
      <c r="R999">
        <v>238</v>
      </c>
      <c r="S999">
        <v>170.1</v>
      </c>
      <c r="T999">
        <v>401</v>
      </c>
      <c r="U999">
        <v>383</v>
      </c>
      <c r="V999">
        <v>500</v>
      </c>
      <c r="W999">
        <v>2.79</v>
      </c>
    </row>
    <row r="1000" spans="1:23" x14ac:dyDescent="0.25">
      <c r="A1000" t="s">
        <v>38</v>
      </c>
      <c r="B1000">
        <v>1</v>
      </c>
      <c r="C1000">
        <v>11</v>
      </c>
      <c r="D1000">
        <v>1996</v>
      </c>
      <c r="E1000">
        <v>123.9</v>
      </c>
      <c r="F1000">
        <v>11.1</v>
      </c>
      <c r="G1000">
        <v>9.9</v>
      </c>
      <c r="H1000">
        <v>1.2</v>
      </c>
      <c r="I1000">
        <v>10</v>
      </c>
      <c r="J1000">
        <v>82.5</v>
      </c>
      <c r="K1000">
        <v>482.3</v>
      </c>
      <c r="L1000">
        <v>370</v>
      </c>
      <c r="M1000">
        <v>351</v>
      </c>
      <c r="N1000">
        <v>527</v>
      </c>
      <c r="O1000">
        <v>176</v>
      </c>
      <c r="P1000">
        <v>291</v>
      </c>
      <c r="Q1000">
        <v>531</v>
      </c>
      <c r="R1000">
        <v>240</v>
      </c>
      <c r="S1000">
        <v>170.1</v>
      </c>
      <c r="T1000">
        <v>401</v>
      </c>
      <c r="U1000">
        <v>383</v>
      </c>
      <c r="V1000">
        <v>500</v>
      </c>
      <c r="W1000">
        <v>2.79</v>
      </c>
    </row>
    <row r="1001" spans="1:23" x14ac:dyDescent="0.25">
      <c r="A1001" t="s">
        <v>38</v>
      </c>
      <c r="B1001">
        <v>1</v>
      </c>
      <c r="C1001">
        <v>12</v>
      </c>
      <c r="D1001">
        <v>1997</v>
      </c>
      <c r="E1001">
        <v>132.6</v>
      </c>
      <c r="F1001">
        <v>8.6999999999999993</v>
      </c>
      <c r="G1001">
        <v>8.4</v>
      </c>
      <c r="H1001">
        <v>0.3</v>
      </c>
      <c r="I1001">
        <v>3</v>
      </c>
      <c r="J1001">
        <v>70.099999999999994</v>
      </c>
      <c r="K1001">
        <v>552.4</v>
      </c>
      <c r="L1001">
        <v>372</v>
      </c>
      <c r="M1001">
        <v>367</v>
      </c>
      <c r="N1001">
        <v>511</v>
      </c>
      <c r="O1001">
        <v>144</v>
      </c>
      <c r="P1001">
        <v>278</v>
      </c>
      <c r="Q1001">
        <v>511</v>
      </c>
      <c r="R1001">
        <v>233</v>
      </c>
      <c r="S1001">
        <v>170.1</v>
      </c>
      <c r="T1001">
        <v>401</v>
      </c>
      <c r="U1001">
        <v>383</v>
      </c>
      <c r="V1001">
        <v>500</v>
      </c>
      <c r="W1001">
        <v>2.79</v>
      </c>
    </row>
    <row r="1002" spans="1:23" x14ac:dyDescent="0.25">
      <c r="A1002" t="s">
        <v>38</v>
      </c>
      <c r="B1002">
        <v>1</v>
      </c>
      <c r="C1002">
        <v>13</v>
      </c>
      <c r="D1002">
        <v>1998</v>
      </c>
      <c r="E1002">
        <v>140.69999999999999</v>
      </c>
      <c r="F1002">
        <v>8.1</v>
      </c>
      <c r="G1002">
        <v>7.5</v>
      </c>
      <c r="H1002">
        <v>0.6</v>
      </c>
      <c r="I1002">
        <v>7</v>
      </c>
      <c r="J1002">
        <v>69.5</v>
      </c>
      <c r="K1002">
        <v>621.9</v>
      </c>
      <c r="L1002">
        <v>387</v>
      </c>
      <c r="M1002">
        <v>374</v>
      </c>
      <c r="N1002">
        <v>548</v>
      </c>
      <c r="O1002">
        <v>174</v>
      </c>
      <c r="P1002">
        <v>295</v>
      </c>
      <c r="Q1002">
        <v>567</v>
      </c>
      <c r="R1002">
        <v>272</v>
      </c>
      <c r="S1002">
        <v>170.1</v>
      </c>
      <c r="T1002">
        <v>401</v>
      </c>
      <c r="U1002">
        <v>383</v>
      </c>
      <c r="V1002">
        <v>500</v>
      </c>
      <c r="W1002">
        <v>2.79</v>
      </c>
    </row>
    <row r="1003" spans="1:23" x14ac:dyDescent="0.25">
      <c r="A1003" t="s">
        <v>38</v>
      </c>
      <c r="B1003">
        <v>1</v>
      </c>
      <c r="C1003">
        <v>14</v>
      </c>
      <c r="D1003">
        <v>1999</v>
      </c>
      <c r="E1003">
        <v>148.5</v>
      </c>
      <c r="F1003">
        <v>7.8</v>
      </c>
      <c r="G1003">
        <v>7.2</v>
      </c>
      <c r="H1003">
        <v>0.6</v>
      </c>
      <c r="I1003">
        <v>7</v>
      </c>
      <c r="J1003">
        <v>70.900000000000006</v>
      </c>
      <c r="K1003">
        <v>692.8</v>
      </c>
      <c r="L1003">
        <v>364</v>
      </c>
      <c r="M1003">
        <v>349</v>
      </c>
      <c r="N1003">
        <v>553</v>
      </c>
      <c r="O1003">
        <v>204</v>
      </c>
      <c r="P1003">
        <v>305</v>
      </c>
      <c r="Q1003">
        <v>554</v>
      </c>
      <c r="R1003">
        <v>249</v>
      </c>
      <c r="S1003">
        <v>170.1</v>
      </c>
      <c r="T1003">
        <v>401</v>
      </c>
      <c r="U1003">
        <v>383</v>
      </c>
      <c r="V1003">
        <v>500</v>
      </c>
      <c r="W1003">
        <v>2.79</v>
      </c>
    </row>
    <row r="1004" spans="1:23" x14ac:dyDescent="0.25">
      <c r="A1004" t="s">
        <v>38</v>
      </c>
      <c r="B1004">
        <v>1</v>
      </c>
      <c r="C1004">
        <v>15</v>
      </c>
      <c r="D1004">
        <v>2000</v>
      </c>
      <c r="E1004">
        <v>154.5</v>
      </c>
      <c r="F1004">
        <v>6</v>
      </c>
      <c r="G1004">
        <v>5.0999999999999996</v>
      </c>
      <c r="H1004">
        <v>0.9</v>
      </c>
      <c r="I1004">
        <v>15</v>
      </c>
      <c r="J1004">
        <v>57.1</v>
      </c>
      <c r="K1004">
        <v>749.9</v>
      </c>
      <c r="L1004">
        <v>385</v>
      </c>
      <c r="M1004">
        <v>354</v>
      </c>
      <c r="N1004">
        <v>559</v>
      </c>
      <c r="O1004">
        <v>205</v>
      </c>
      <c r="P1004">
        <v>321</v>
      </c>
      <c r="Q1004">
        <v>581</v>
      </c>
      <c r="R1004">
        <v>260</v>
      </c>
      <c r="S1004">
        <v>170.1</v>
      </c>
      <c r="T1004">
        <v>401</v>
      </c>
      <c r="U1004">
        <v>383</v>
      </c>
      <c r="V1004">
        <v>500</v>
      </c>
      <c r="W1004">
        <v>2.79</v>
      </c>
    </row>
    <row r="1005" spans="1:23" x14ac:dyDescent="0.25">
      <c r="A1005" t="s">
        <v>38</v>
      </c>
      <c r="B1005">
        <v>1</v>
      </c>
      <c r="C1005">
        <v>16</v>
      </c>
      <c r="D1005">
        <v>2001</v>
      </c>
      <c r="E1005">
        <v>157.80000000000001</v>
      </c>
      <c r="F1005">
        <v>3.3</v>
      </c>
      <c r="G1005">
        <v>3</v>
      </c>
      <c r="H1005">
        <v>0.3</v>
      </c>
      <c r="I1005">
        <v>9</v>
      </c>
      <c r="J1005">
        <v>32.4</v>
      </c>
      <c r="K1005">
        <v>782.3</v>
      </c>
      <c r="L1005">
        <v>385</v>
      </c>
      <c r="M1005">
        <v>368</v>
      </c>
      <c r="N1005">
        <v>551</v>
      </c>
      <c r="O1005">
        <v>183</v>
      </c>
      <c r="P1005">
        <v>328</v>
      </c>
      <c r="Q1005">
        <v>551</v>
      </c>
      <c r="R1005">
        <v>223</v>
      </c>
      <c r="S1005">
        <v>170.1</v>
      </c>
      <c r="T1005">
        <v>401</v>
      </c>
      <c r="U1005">
        <v>383</v>
      </c>
      <c r="V1005">
        <v>500</v>
      </c>
      <c r="W1005">
        <v>2.79</v>
      </c>
    </row>
    <row r="1006" spans="1:23" x14ac:dyDescent="0.25">
      <c r="A1006" t="s">
        <v>38</v>
      </c>
      <c r="B1006">
        <v>1</v>
      </c>
      <c r="C1006">
        <v>17</v>
      </c>
      <c r="D1006">
        <v>2002</v>
      </c>
      <c r="E1006">
        <v>161.69999999999999</v>
      </c>
      <c r="F1006">
        <v>3.9</v>
      </c>
      <c r="G1006">
        <v>3</v>
      </c>
      <c r="H1006">
        <v>0.9</v>
      </c>
      <c r="I1006">
        <v>23</v>
      </c>
      <c r="J1006">
        <v>39.1</v>
      </c>
      <c r="K1006">
        <v>821.4</v>
      </c>
      <c r="L1006">
        <v>443</v>
      </c>
      <c r="M1006">
        <v>406</v>
      </c>
      <c r="N1006">
        <v>569</v>
      </c>
      <c r="O1006">
        <v>163</v>
      </c>
      <c r="P1006">
        <v>326</v>
      </c>
      <c r="Q1006">
        <v>588</v>
      </c>
      <c r="R1006">
        <v>262</v>
      </c>
      <c r="S1006">
        <v>170.1</v>
      </c>
      <c r="T1006">
        <v>401</v>
      </c>
      <c r="U1006">
        <v>383</v>
      </c>
      <c r="V1006">
        <v>500</v>
      </c>
      <c r="W1006">
        <v>2.79</v>
      </c>
    </row>
    <row r="1007" spans="1:23" x14ac:dyDescent="0.25">
      <c r="A1007" t="s">
        <v>38</v>
      </c>
      <c r="B1007">
        <v>1</v>
      </c>
      <c r="C1007">
        <v>18</v>
      </c>
      <c r="D1007">
        <v>2003</v>
      </c>
      <c r="E1007">
        <v>165.9</v>
      </c>
      <c r="F1007">
        <v>4.2</v>
      </c>
      <c r="G1007">
        <v>3.9</v>
      </c>
      <c r="H1007">
        <v>0.3</v>
      </c>
      <c r="I1007">
        <v>7</v>
      </c>
      <c r="J1007">
        <v>43.2</v>
      </c>
      <c r="K1007">
        <v>864.7</v>
      </c>
      <c r="L1007">
        <v>394</v>
      </c>
      <c r="M1007">
        <v>383</v>
      </c>
      <c r="N1007">
        <v>544</v>
      </c>
      <c r="O1007">
        <v>161</v>
      </c>
      <c r="P1007">
        <v>323</v>
      </c>
      <c r="Q1007">
        <v>544</v>
      </c>
      <c r="R1007">
        <v>221</v>
      </c>
      <c r="S1007">
        <v>170.1</v>
      </c>
      <c r="T1007">
        <v>401</v>
      </c>
      <c r="U1007">
        <v>383</v>
      </c>
      <c r="V1007">
        <v>500</v>
      </c>
      <c r="W1007">
        <v>2.79</v>
      </c>
    </row>
    <row r="1008" spans="1:23" x14ac:dyDescent="0.25">
      <c r="A1008" t="s">
        <v>38</v>
      </c>
      <c r="B1008">
        <v>1</v>
      </c>
      <c r="C1008">
        <v>19</v>
      </c>
      <c r="D1008">
        <v>2004</v>
      </c>
      <c r="E1008">
        <v>168.3</v>
      </c>
      <c r="F1008">
        <v>2.4</v>
      </c>
      <c r="G1008">
        <v>2.4</v>
      </c>
      <c r="H1008">
        <v>0</v>
      </c>
      <c r="I1008">
        <v>0</v>
      </c>
      <c r="J1008">
        <v>25.2</v>
      </c>
      <c r="K1008">
        <v>889.9</v>
      </c>
      <c r="L1008">
        <v>399</v>
      </c>
      <c r="M1008">
        <v>399</v>
      </c>
      <c r="P1008">
        <v>359</v>
      </c>
      <c r="Q1008">
        <v>479</v>
      </c>
      <c r="R1008">
        <v>120</v>
      </c>
      <c r="S1008">
        <v>170.1</v>
      </c>
      <c r="T1008">
        <v>401</v>
      </c>
      <c r="U1008">
        <v>383</v>
      </c>
      <c r="V1008">
        <v>500</v>
      </c>
      <c r="W1008">
        <v>2.79</v>
      </c>
    </row>
    <row r="1009" spans="1:23" x14ac:dyDescent="0.25">
      <c r="A1009" t="s">
        <v>38</v>
      </c>
      <c r="B1009">
        <v>1</v>
      </c>
      <c r="C1009">
        <v>20</v>
      </c>
      <c r="D1009">
        <v>2005</v>
      </c>
      <c r="E1009">
        <v>169.8</v>
      </c>
      <c r="F1009">
        <v>1.5</v>
      </c>
      <c r="G1009">
        <v>1.2</v>
      </c>
      <c r="H1009">
        <v>0.3</v>
      </c>
      <c r="I1009">
        <v>20</v>
      </c>
      <c r="J1009">
        <v>15.9</v>
      </c>
      <c r="K1009">
        <v>905.8</v>
      </c>
      <c r="L1009">
        <v>464</v>
      </c>
      <c r="M1009">
        <v>439</v>
      </c>
      <c r="N1009">
        <v>566</v>
      </c>
      <c r="O1009">
        <v>127</v>
      </c>
      <c r="P1009">
        <v>396</v>
      </c>
      <c r="Q1009">
        <v>566</v>
      </c>
      <c r="R1009">
        <v>170</v>
      </c>
      <c r="S1009">
        <v>170.1</v>
      </c>
      <c r="T1009">
        <v>401</v>
      </c>
      <c r="U1009">
        <v>383</v>
      </c>
      <c r="V1009">
        <v>500</v>
      </c>
      <c r="W1009">
        <v>2.79</v>
      </c>
    </row>
    <row r="1010" spans="1:23" x14ac:dyDescent="0.25">
      <c r="A1010" t="s">
        <v>38</v>
      </c>
      <c r="B1010">
        <v>1</v>
      </c>
      <c r="C1010">
        <v>21</v>
      </c>
      <c r="D1010">
        <v>2006</v>
      </c>
      <c r="E1010">
        <v>172.5</v>
      </c>
      <c r="F1010">
        <v>2.7</v>
      </c>
      <c r="G1010">
        <v>2.1</v>
      </c>
      <c r="H1010">
        <v>0.6</v>
      </c>
      <c r="I1010">
        <v>22</v>
      </c>
      <c r="J1010">
        <v>29</v>
      </c>
      <c r="K1010">
        <v>934.8</v>
      </c>
      <c r="L1010">
        <v>456</v>
      </c>
      <c r="M1010">
        <v>432</v>
      </c>
      <c r="N1010">
        <v>539</v>
      </c>
      <c r="O1010">
        <v>107</v>
      </c>
      <c r="P1010">
        <v>381</v>
      </c>
      <c r="Q1010">
        <v>543</v>
      </c>
      <c r="R1010">
        <v>162</v>
      </c>
      <c r="S1010">
        <v>170.1</v>
      </c>
      <c r="T1010">
        <v>401</v>
      </c>
      <c r="U1010">
        <v>383</v>
      </c>
      <c r="V1010">
        <v>500</v>
      </c>
      <c r="W1010">
        <v>2.79</v>
      </c>
    </row>
    <row r="1011" spans="1:23" x14ac:dyDescent="0.25">
      <c r="A1011" t="s">
        <v>38</v>
      </c>
      <c r="B1011">
        <v>1</v>
      </c>
      <c r="C1011">
        <v>22</v>
      </c>
      <c r="D1011">
        <v>2007</v>
      </c>
      <c r="E1011">
        <v>174</v>
      </c>
      <c r="F1011">
        <v>1.5</v>
      </c>
      <c r="G1011">
        <v>1.2</v>
      </c>
      <c r="H1011">
        <v>0.3</v>
      </c>
      <c r="I1011">
        <v>20</v>
      </c>
      <c r="J1011">
        <v>16.3</v>
      </c>
      <c r="K1011">
        <v>951.1</v>
      </c>
      <c r="L1011">
        <v>438</v>
      </c>
      <c r="M1011">
        <v>414</v>
      </c>
      <c r="N1011">
        <v>532</v>
      </c>
      <c r="O1011">
        <v>118</v>
      </c>
      <c r="P1011">
        <v>352</v>
      </c>
      <c r="Q1011">
        <v>532</v>
      </c>
      <c r="R1011">
        <v>180</v>
      </c>
      <c r="S1011">
        <v>170.1</v>
      </c>
      <c r="T1011">
        <v>401</v>
      </c>
      <c r="U1011">
        <v>383</v>
      </c>
      <c r="V1011">
        <v>500</v>
      </c>
      <c r="W1011">
        <v>2.79</v>
      </c>
    </row>
    <row r="1012" spans="1:23" x14ac:dyDescent="0.25">
      <c r="A1012" t="s">
        <v>38</v>
      </c>
      <c r="B1012">
        <v>1</v>
      </c>
      <c r="C1012">
        <v>23</v>
      </c>
      <c r="D1012">
        <v>2008</v>
      </c>
      <c r="E1012">
        <v>176.4</v>
      </c>
      <c r="F1012">
        <v>2.4</v>
      </c>
      <c r="G1012">
        <v>1.8</v>
      </c>
      <c r="H1012">
        <v>0.6</v>
      </c>
      <c r="I1012">
        <v>24</v>
      </c>
      <c r="J1012">
        <v>26.4</v>
      </c>
      <c r="K1012">
        <v>977.6</v>
      </c>
      <c r="L1012">
        <v>442</v>
      </c>
      <c r="M1012">
        <v>405</v>
      </c>
      <c r="N1012">
        <v>552</v>
      </c>
      <c r="O1012">
        <v>147</v>
      </c>
      <c r="P1012">
        <v>353</v>
      </c>
      <c r="Q1012">
        <v>562</v>
      </c>
      <c r="R1012">
        <v>209</v>
      </c>
      <c r="S1012">
        <v>170.1</v>
      </c>
      <c r="T1012">
        <v>401</v>
      </c>
      <c r="U1012">
        <v>383</v>
      </c>
      <c r="V1012">
        <v>500</v>
      </c>
      <c r="W1012">
        <v>2.79</v>
      </c>
    </row>
    <row r="1013" spans="1:23" x14ac:dyDescent="0.25">
      <c r="A1013" t="s">
        <v>38</v>
      </c>
      <c r="B1013">
        <v>1</v>
      </c>
      <c r="C1013">
        <v>24</v>
      </c>
      <c r="D1013">
        <v>2009</v>
      </c>
      <c r="E1013">
        <v>178.8</v>
      </c>
      <c r="F1013">
        <v>2.4</v>
      </c>
      <c r="G1013">
        <v>2.4</v>
      </c>
      <c r="H1013">
        <v>0</v>
      </c>
      <c r="I1013">
        <v>0</v>
      </c>
      <c r="J1013">
        <v>26.8</v>
      </c>
      <c r="K1013">
        <v>1004.3</v>
      </c>
      <c r="L1013">
        <v>434</v>
      </c>
      <c r="M1013">
        <v>434</v>
      </c>
      <c r="P1013">
        <v>349</v>
      </c>
      <c r="Q1013">
        <v>489</v>
      </c>
      <c r="R1013">
        <v>140</v>
      </c>
      <c r="S1013">
        <v>170.1</v>
      </c>
      <c r="T1013">
        <v>401</v>
      </c>
      <c r="U1013">
        <v>383</v>
      </c>
      <c r="V1013">
        <v>500</v>
      </c>
      <c r="W1013">
        <v>2.79</v>
      </c>
    </row>
    <row r="1014" spans="1:23" x14ac:dyDescent="0.25">
      <c r="A1014" t="s">
        <v>38</v>
      </c>
      <c r="B1014">
        <v>1</v>
      </c>
      <c r="C1014">
        <v>25</v>
      </c>
      <c r="D1014">
        <v>2010</v>
      </c>
      <c r="E1014">
        <v>180.9</v>
      </c>
      <c r="F1014">
        <v>2.1</v>
      </c>
      <c r="G1014">
        <v>1.5</v>
      </c>
      <c r="H1014">
        <v>0.6</v>
      </c>
      <c r="I1014">
        <v>28</v>
      </c>
      <c r="J1014">
        <v>23.7</v>
      </c>
      <c r="K1014">
        <v>1028.0999999999999</v>
      </c>
      <c r="L1014">
        <v>446</v>
      </c>
      <c r="M1014">
        <v>403</v>
      </c>
      <c r="N1014">
        <v>554</v>
      </c>
      <c r="O1014">
        <v>151</v>
      </c>
      <c r="P1014">
        <v>370</v>
      </c>
      <c r="Q1014">
        <v>575</v>
      </c>
      <c r="R1014">
        <v>205</v>
      </c>
      <c r="S1014">
        <v>170.1</v>
      </c>
      <c r="T1014">
        <v>401</v>
      </c>
      <c r="U1014">
        <v>383</v>
      </c>
      <c r="V1014">
        <v>500</v>
      </c>
      <c r="W1014">
        <v>2.79</v>
      </c>
    </row>
    <row r="1015" spans="1:23" x14ac:dyDescent="0.25">
      <c r="A1015" t="s">
        <v>38</v>
      </c>
      <c r="B1015">
        <v>1</v>
      </c>
      <c r="C1015">
        <v>26</v>
      </c>
      <c r="D1015">
        <v>2011</v>
      </c>
      <c r="E1015">
        <v>183</v>
      </c>
      <c r="F1015">
        <v>2.1</v>
      </c>
      <c r="G1015">
        <v>1.2</v>
      </c>
      <c r="H1015">
        <v>0.9</v>
      </c>
      <c r="I1015">
        <v>42</v>
      </c>
      <c r="J1015">
        <v>24</v>
      </c>
      <c r="K1015">
        <v>1052.0999999999999</v>
      </c>
      <c r="L1015">
        <v>481</v>
      </c>
      <c r="M1015">
        <v>444</v>
      </c>
      <c r="N1015">
        <v>531</v>
      </c>
      <c r="O1015">
        <v>87</v>
      </c>
      <c r="P1015">
        <v>410</v>
      </c>
      <c r="Q1015">
        <v>585</v>
      </c>
      <c r="R1015">
        <v>175</v>
      </c>
      <c r="S1015">
        <v>170.1</v>
      </c>
      <c r="T1015">
        <v>401</v>
      </c>
      <c r="U1015">
        <v>383</v>
      </c>
      <c r="V1015">
        <v>500</v>
      </c>
      <c r="W1015">
        <v>2.79</v>
      </c>
    </row>
    <row r="1016" spans="1:23" x14ac:dyDescent="0.25">
      <c r="A1016" t="s">
        <v>38</v>
      </c>
      <c r="B1016">
        <v>1</v>
      </c>
      <c r="C1016">
        <v>27</v>
      </c>
      <c r="D1016">
        <v>2012</v>
      </c>
      <c r="E1016">
        <v>185.1</v>
      </c>
      <c r="F1016">
        <v>2.1</v>
      </c>
      <c r="G1016">
        <v>2.1</v>
      </c>
      <c r="H1016">
        <v>0</v>
      </c>
      <c r="I1016">
        <v>0</v>
      </c>
      <c r="J1016">
        <v>24.3</v>
      </c>
      <c r="K1016">
        <v>1076.4000000000001</v>
      </c>
      <c r="L1016">
        <v>417</v>
      </c>
      <c r="M1016">
        <v>417</v>
      </c>
      <c r="P1016">
        <v>383</v>
      </c>
      <c r="Q1016">
        <v>493</v>
      </c>
      <c r="R1016">
        <v>110</v>
      </c>
      <c r="S1016">
        <v>170.1</v>
      </c>
      <c r="T1016">
        <v>401</v>
      </c>
      <c r="U1016">
        <v>383</v>
      </c>
      <c r="V1016">
        <v>500</v>
      </c>
      <c r="W1016">
        <v>2.79</v>
      </c>
    </row>
    <row r="1017" spans="1:23" x14ac:dyDescent="0.25">
      <c r="A1017" t="s">
        <v>38</v>
      </c>
      <c r="B1017">
        <v>3</v>
      </c>
      <c r="C1017">
        <v>2</v>
      </c>
      <c r="D1017">
        <v>1987</v>
      </c>
      <c r="E1017">
        <v>12.5</v>
      </c>
      <c r="F1017">
        <v>12.5</v>
      </c>
      <c r="G1017">
        <v>7.5</v>
      </c>
      <c r="H1017">
        <v>0</v>
      </c>
      <c r="I1017">
        <v>0</v>
      </c>
      <c r="J1017">
        <v>4.9000000000000004</v>
      </c>
      <c r="K1017">
        <v>4.9000000000000004</v>
      </c>
      <c r="L1017">
        <v>380</v>
      </c>
      <c r="M1017">
        <v>380</v>
      </c>
      <c r="P1017">
        <v>103</v>
      </c>
      <c r="Q1017">
        <v>498</v>
      </c>
      <c r="R1017">
        <v>395</v>
      </c>
      <c r="S1017">
        <v>227.4</v>
      </c>
      <c r="T1017">
        <v>423</v>
      </c>
      <c r="U1017">
        <v>424</v>
      </c>
      <c r="V1017">
        <v>500</v>
      </c>
      <c r="W1017">
        <v>2.79</v>
      </c>
    </row>
    <row r="1018" spans="1:23" x14ac:dyDescent="0.25">
      <c r="A1018" t="s">
        <v>38</v>
      </c>
      <c r="B1018">
        <v>3</v>
      </c>
      <c r="C1018">
        <v>3</v>
      </c>
      <c r="D1018">
        <v>1988</v>
      </c>
      <c r="E1018">
        <v>31.4</v>
      </c>
      <c r="F1018">
        <v>18.899999999999999</v>
      </c>
      <c r="G1018">
        <v>17.7</v>
      </c>
      <c r="H1018">
        <v>1.2</v>
      </c>
      <c r="I1018">
        <v>6</v>
      </c>
      <c r="J1018">
        <v>26.1</v>
      </c>
      <c r="K1018">
        <v>31</v>
      </c>
      <c r="L1018">
        <v>355</v>
      </c>
      <c r="M1018">
        <v>344</v>
      </c>
      <c r="N1018">
        <v>512</v>
      </c>
      <c r="O1018">
        <v>168</v>
      </c>
      <c r="P1018">
        <v>286</v>
      </c>
      <c r="Q1018">
        <v>518</v>
      </c>
      <c r="R1018">
        <v>232</v>
      </c>
      <c r="S1018">
        <v>227.4</v>
      </c>
      <c r="T1018">
        <v>423</v>
      </c>
      <c r="U1018">
        <v>424</v>
      </c>
      <c r="V1018">
        <v>500</v>
      </c>
      <c r="W1018">
        <v>2.79</v>
      </c>
    </row>
    <row r="1019" spans="1:23" x14ac:dyDescent="0.25">
      <c r="A1019" t="s">
        <v>38</v>
      </c>
      <c r="B1019">
        <v>3</v>
      </c>
      <c r="C1019">
        <v>4</v>
      </c>
      <c r="D1019">
        <v>1989</v>
      </c>
      <c r="E1019">
        <v>43.1</v>
      </c>
      <c r="F1019">
        <v>11.7</v>
      </c>
      <c r="G1019">
        <v>10.8</v>
      </c>
      <c r="H1019">
        <v>0.9</v>
      </c>
      <c r="I1019">
        <v>7</v>
      </c>
      <c r="J1019">
        <v>27.4</v>
      </c>
      <c r="K1019">
        <v>58.4</v>
      </c>
      <c r="L1019">
        <v>396</v>
      </c>
      <c r="M1019">
        <v>386</v>
      </c>
      <c r="N1019">
        <v>514</v>
      </c>
      <c r="O1019">
        <v>128</v>
      </c>
      <c r="P1019">
        <v>301</v>
      </c>
      <c r="Q1019">
        <v>527</v>
      </c>
      <c r="R1019">
        <v>226</v>
      </c>
      <c r="S1019">
        <v>227.4</v>
      </c>
      <c r="T1019">
        <v>423</v>
      </c>
      <c r="U1019">
        <v>424</v>
      </c>
      <c r="V1019">
        <v>500</v>
      </c>
      <c r="W1019">
        <v>2.79</v>
      </c>
    </row>
    <row r="1020" spans="1:23" x14ac:dyDescent="0.25">
      <c r="A1020" t="s">
        <v>38</v>
      </c>
      <c r="B1020">
        <v>3</v>
      </c>
      <c r="C1020">
        <v>5</v>
      </c>
      <c r="D1020">
        <v>1990</v>
      </c>
      <c r="E1020">
        <v>52.1</v>
      </c>
      <c r="F1020">
        <v>9</v>
      </c>
      <c r="G1020">
        <v>8.4</v>
      </c>
      <c r="H1020">
        <v>0.6</v>
      </c>
      <c r="I1020">
        <v>6</v>
      </c>
      <c r="J1020">
        <v>26.9</v>
      </c>
      <c r="K1020">
        <v>85.3</v>
      </c>
      <c r="L1020">
        <v>401</v>
      </c>
      <c r="M1020">
        <v>391</v>
      </c>
      <c r="N1020">
        <v>533</v>
      </c>
      <c r="O1020">
        <v>142</v>
      </c>
      <c r="P1020">
        <v>328</v>
      </c>
      <c r="Q1020">
        <v>542</v>
      </c>
      <c r="R1020">
        <v>214</v>
      </c>
      <c r="S1020">
        <v>227.4</v>
      </c>
      <c r="T1020">
        <v>423</v>
      </c>
      <c r="U1020">
        <v>424</v>
      </c>
      <c r="V1020">
        <v>500</v>
      </c>
      <c r="W1020">
        <v>2.79</v>
      </c>
    </row>
    <row r="1021" spans="1:23" x14ac:dyDescent="0.25">
      <c r="A1021" t="s">
        <v>38</v>
      </c>
      <c r="B1021">
        <v>3</v>
      </c>
      <c r="C1021">
        <v>6</v>
      </c>
      <c r="D1021">
        <v>1991</v>
      </c>
      <c r="E1021">
        <v>64.099999999999994</v>
      </c>
      <c r="F1021">
        <v>12</v>
      </c>
      <c r="G1021">
        <v>10.8</v>
      </c>
      <c r="H1021">
        <v>1.2</v>
      </c>
      <c r="I1021">
        <v>9</v>
      </c>
      <c r="J1021">
        <v>43.8</v>
      </c>
      <c r="K1021">
        <v>129.1</v>
      </c>
      <c r="L1021">
        <v>413</v>
      </c>
      <c r="M1021">
        <v>403</v>
      </c>
      <c r="N1021">
        <v>504</v>
      </c>
      <c r="O1021">
        <v>101</v>
      </c>
      <c r="P1021">
        <v>328</v>
      </c>
      <c r="Q1021">
        <v>507</v>
      </c>
      <c r="R1021">
        <v>179</v>
      </c>
      <c r="S1021">
        <v>227.4</v>
      </c>
      <c r="T1021">
        <v>423</v>
      </c>
      <c r="U1021">
        <v>424</v>
      </c>
      <c r="V1021">
        <v>500</v>
      </c>
      <c r="W1021">
        <v>2.79</v>
      </c>
    </row>
    <row r="1022" spans="1:23" x14ac:dyDescent="0.25">
      <c r="A1022" t="s">
        <v>38</v>
      </c>
      <c r="B1022">
        <v>3</v>
      </c>
      <c r="C1022">
        <v>7</v>
      </c>
      <c r="D1022">
        <v>1992</v>
      </c>
      <c r="E1022">
        <v>78.8</v>
      </c>
      <c r="F1022">
        <v>14.7</v>
      </c>
      <c r="G1022">
        <v>13.2</v>
      </c>
      <c r="H1022">
        <v>1.5</v>
      </c>
      <c r="I1022">
        <v>10</v>
      </c>
      <c r="J1022">
        <v>66</v>
      </c>
      <c r="K1022">
        <v>195.1</v>
      </c>
      <c r="L1022">
        <v>398</v>
      </c>
      <c r="M1022">
        <v>385</v>
      </c>
      <c r="N1022">
        <v>515</v>
      </c>
      <c r="O1022">
        <v>130</v>
      </c>
      <c r="P1022">
        <v>340</v>
      </c>
      <c r="Q1022">
        <v>528</v>
      </c>
      <c r="R1022">
        <v>188</v>
      </c>
      <c r="S1022">
        <v>227.4</v>
      </c>
      <c r="T1022">
        <v>423</v>
      </c>
      <c r="U1022">
        <v>424</v>
      </c>
      <c r="V1022">
        <v>500</v>
      </c>
      <c r="W1022">
        <v>2.79</v>
      </c>
    </row>
    <row r="1023" spans="1:23" x14ac:dyDescent="0.25">
      <c r="A1023" t="s">
        <v>38</v>
      </c>
      <c r="B1023">
        <v>3</v>
      </c>
      <c r="C1023">
        <v>8</v>
      </c>
      <c r="D1023">
        <v>1993</v>
      </c>
      <c r="E1023">
        <v>93.5</v>
      </c>
      <c r="F1023">
        <v>14.7</v>
      </c>
      <c r="G1023">
        <v>14.1</v>
      </c>
      <c r="H1023">
        <v>0.6</v>
      </c>
      <c r="I1023">
        <v>4</v>
      </c>
      <c r="J1023">
        <v>79.599999999999994</v>
      </c>
      <c r="K1023">
        <v>274.60000000000002</v>
      </c>
      <c r="L1023">
        <v>387</v>
      </c>
      <c r="M1023">
        <v>382</v>
      </c>
      <c r="N1023">
        <v>501</v>
      </c>
      <c r="O1023">
        <v>119</v>
      </c>
      <c r="P1023">
        <v>300</v>
      </c>
      <c r="Q1023">
        <v>502</v>
      </c>
      <c r="R1023">
        <v>202</v>
      </c>
      <c r="S1023">
        <v>227.4</v>
      </c>
      <c r="T1023">
        <v>423</v>
      </c>
      <c r="U1023">
        <v>424</v>
      </c>
      <c r="V1023">
        <v>500</v>
      </c>
      <c r="W1023">
        <v>2.79</v>
      </c>
    </row>
    <row r="1024" spans="1:23" x14ac:dyDescent="0.25">
      <c r="A1024" t="s">
        <v>38</v>
      </c>
      <c r="B1024">
        <v>3</v>
      </c>
      <c r="C1024">
        <v>9</v>
      </c>
      <c r="D1024">
        <v>1994</v>
      </c>
      <c r="E1024">
        <v>108.2</v>
      </c>
      <c r="F1024">
        <v>14.7</v>
      </c>
      <c r="G1024">
        <v>14.1</v>
      </c>
      <c r="H1024">
        <v>0.6</v>
      </c>
      <c r="I1024">
        <v>4</v>
      </c>
      <c r="J1024">
        <v>93.1</v>
      </c>
      <c r="K1024">
        <v>367.8</v>
      </c>
      <c r="L1024">
        <v>398</v>
      </c>
      <c r="M1024">
        <v>393</v>
      </c>
      <c r="N1024">
        <v>516</v>
      </c>
      <c r="O1024">
        <v>123</v>
      </c>
      <c r="P1024">
        <v>316</v>
      </c>
      <c r="Q1024">
        <v>533</v>
      </c>
      <c r="R1024">
        <v>217</v>
      </c>
      <c r="S1024">
        <v>227.4</v>
      </c>
      <c r="T1024">
        <v>423</v>
      </c>
      <c r="U1024">
        <v>424</v>
      </c>
      <c r="V1024">
        <v>500</v>
      </c>
      <c r="W1024">
        <v>2.79</v>
      </c>
    </row>
    <row r="1025" spans="1:23" x14ac:dyDescent="0.25">
      <c r="A1025" t="s">
        <v>38</v>
      </c>
      <c r="B1025">
        <v>3</v>
      </c>
      <c r="C1025">
        <v>10</v>
      </c>
      <c r="D1025">
        <v>1995</v>
      </c>
      <c r="E1025">
        <v>126.8</v>
      </c>
      <c r="F1025">
        <v>18.600000000000001</v>
      </c>
      <c r="G1025">
        <v>17.100000000000001</v>
      </c>
      <c r="H1025">
        <v>1.5</v>
      </c>
      <c r="I1025">
        <v>8</v>
      </c>
      <c r="J1025">
        <v>137.30000000000001</v>
      </c>
      <c r="K1025">
        <v>505.1</v>
      </c>
      <c r="L1025">
        <v>394</v>
      </c>
      <c r="M1025">
        <v>382</v>
      </c>
      <c r="N1025">
        <v>525</v>
      </c>
      <c r="O1025">
        <v>143</v>
      </c>
      <c r="P1025">
        <v>290</v>
      </c>
      <c r="Q1025">
        <v>541</v>
      </c>
      <c r="R1025">
        <v>251</v>
      </c>
      <c r="S1025">
        <v>227.4</v>
      </c>
      <c r="T1025">
        <v>423</v>
      </c>
      <c r="U1025">
        <v>424</v>
      </c>
      <c r="V1025">
        <v>500</v>
      </c>
      <c r="W1025">
        <v>2.79</v>
      </c>
    </row>
    <row r="1026" spans="1:23" x14ac:dyDescent="0.25">
      <c r="A1026" t="s">
        <v>38</v>
      </c>
      <c r="B1026">
        <v>3</v>
      </c>
      <c r="C1026">
        <v>11</v>
      </c>
      <c r="D1026">
        <v>1996</v>
      </c>
      <c r="E1026">
        <v>141.80000000000001</v>
      </c>
      <c r="F1026">
        <v>15</v>
      </c>
      <c r="G1026">
        <v>13.8</v>
      </c>
      <c r="H1026">
        <v>1.2</v>
      </c>
      <c r="I1026">
        <v>8</v>
      </c>
      <c r="J1026">
        <v>126.6</v>
      </c>
      <c r="K1026">
        <v>631.70000000000005</v>
      </c>
      <c r="L1026">
        <v>396</v>
      </c>
      <c r="M1026">
        <v>385</v>
      </c>
      <c r="N1026">
        <v>518</v>
      </c>
      <c r="O1026">
        <v>133</v>
      </c>
      <c r="P1026">
        <v>331</v>
      </c>
      <c r="Q1026">
        <v>529</v>
      </c>
      <c r="R1026">
        <v>198</v>
      </c>
      <c r="S1026">
        <v>227.4</v>
      </c>
      <c r="T1026">
        <v>423</v>
      </c>
      <c r="U1026">
        <v>424</v>
      </c>
      <c r="V1026">
        <v>500</v>
      </c>
      <c r="W1026">
        <v>2.79</v>
      </c>
    </row>
    <row r="1027" spans="1:23" x14ac:dyDescent="0.25">
      <c r="A1027" t="s">
        <v>38</v>
      </c>
      <c r="B1027">
        <v>3</v>
      </c>
      <c r="C1027">
        <v>12</v>
      </c>
      <c r="D1027">
        <v>1997</v>
      </c>
      <c r="E1027">
        <v>157.69999999999999</v>
      </c>
      <c r="F1027">
        <v>15.9</v>
      </c>
      <c r="G1027">
        <v>12.6</v>
      </c>
      <c r="H1027">
        <v>3.3</v>
      </c>
      <c r="I1027">
        <v>20</v>
      </c>
      <c r="J1027">
        <v>149.6</v>
      </c>
      <c r="K1027">
        <v>781.3</v>
      </c>
      <c r="L1027">
        <v>424</v>
      </c>
      <c r="M1027">
        <v>398</v>
      </c>
      <c r="N1027">
        <v>521</v>
      </c>
      <c r="O1027">
        <v>123</v>
      </c>
      <c r="P1027">
        <v>356</v>
      </c>
      <c r="Q1027">
        <v>545</v>
      </c>
      <c r="R1027">
        <v>189</v>
      </c>
      <c r="S1027">
        <v>227.4</v>
      </c>
      <c r="T1027">
        <v>423</v>
      </c>
      <c r="U1027">
        <v>424</v>
      </c>
      <c r="V1027">
        <v>500</v>
      </c>
      <c r="W1027">
        <v>2.79</v>
      </c>
    </row>
    <row r="1028" spans="1:23" x14ac:dyDescent="0.25">
      <c r="A1028" t="s">
        <v>38</v>
      </c>
      <c r="B1028">
        <v>3</v>
      </c>
      <c r="C1028">
        <v>13</v>
      </c>
      <c r="D1028">
        <v>1998</v>
      </c>
      <c r="E1028">
        <v>167.9</v>
      </c>
      <c r="F1028">
        <v>10.199999999999999</v>
      </c>
      <c r="G1028">
        <v>7.8</v>
      </c>
      <c r="H1028">
        <v>2.4</v>
      </c>
      <c r="I1028">
        <v>23</v>
      </c>
      <c r="J1028">
        <v>104.3</v>
      </c>
      <c r="K1028">
        <v>885.6</v>
      </c>
      <c r="L1028">
        <v>442</v>
      </c>
      <c r="M1028">
        <v>414</v>
      </c>
      <c r="N1028">
        <v>535</v>
      </c>
      <c r="O1028">
        <v>121</v>
      </c>
      <c r="P1028">
        <v>354</v>
      </c>
      <c r="Q1028">
        <v>578</v>
      </c>
      <c r="R1028">
        <v>224</v>
      </c>
      <c r="S1028">
        <v>227.4</v>
      </c>
      <c r="T1028">
        <v>423</v>
      </c>
      <c r="U1028">
        <v>424</v>
      </c>
      <c r="V1028">
        <v>500</v>
      </c>
      <c r="W1028">
        <v>2.79</v>
      </c>
    </row>
    <row r="1029" spans="1:23" x14ac:dyDescent="0.25">
      <c r="A1029" t="s">
        <v>38</v>
      </c>
      <c r="B1029">
        <v>3</v>
      </c>
      <c r="C1029">
        <v>14</v>
      </c>
      <c r="D1029">
        <v>1999</v>
      </c>
      <c r="E1029">
        <v>177.2</v>
      </c>
      <c r="F1029">
        <v>9.3000000000000007</v>
      </c>
      <c r="G1029">
        <v>7.8</v>
      </c>
      <c r="H1029">
        <v>1.5</v>
      </c>
      <c r="I1029">
        <v>16</v>
      </c>
      <c r="J1029">
        <v>100.8</v>
      </c>
      <c r="K1029">
        <v>986.5</v>
      </c>
      <c r="L1029">
        <v>443</v>
      </c>
      <c r="M1029">
        <v>425</v>
      </c>
      <c r="N1029">
        <v>534</v>
      </c>
      <c r="O1029">
        <v>109</v>
      </c>
      <c r="P1029">
        <v>371</v>
      </c>
      <c r="Q1029">
        <v>560</v>
      </c>
      <c r="R1029">
        <v>189</v>
      </c>
      <c r="S1029">
        <v>227.4</v>
      </c>
      <c r="T1029">
        <v>423</v>
      </c>
      <c r="U1029">
        <v>424</v>
      </c>
      <c r="V1029">
        <v>500</v>
      </c>
      <c r="W1029">
        <v>2.79</v>
      </c>
    </row>
    <row r="1030" spans="1:23" x14ac:dyDescent="0.25">
      <c r="A1030" t="s">
        <v>38</v>
      </c>
      <c r="B1030">
        <v>3</v>
      </c>
      <c r="C1030">
        <v>15</v>
      </c>
      <c r="D1030">
        <v>2000</v>
      </c>
      <c r="E1030">
        <v>185</v>
      </c>
      <c r="F1030">
        <v>7.8</v>
      </c>
      <c r="G1030">
        <v>6.6</v>
      </c>
      <c r="H1030">
        <v>1.2</v>
      </c>
      <c r="I1030">
        <v>15</v>
      </c>
      <c r="J1030">
        <v>88.8</v>
      </c>
      <c r="K1030">
        <v>1075.2</v>
      </c>
      <c r="L1030">
        <v>440</v>
      </c>
      <c r="M1030">
        <v>416</v>
      </c>
      <c r="N1030">
        <v>572</v>
      </c>
      <c r="O1030">
        <v>156</v>
      </c>
      <c r="P1030">
        <v>356</v>
      </c>
      <c r="Q1030">
        <v>602</v>
      </c>
      <c r="R1030">
        <v>246</v>
      </c>
      <c r="S1030">
        <v>227.4</v>
      </c>
      <c r="T1030">
        <v>423</v>
      </c>
      <c r="U1030">
        <v>424</v>
      </c>
      <c r="V1030">
        <v>500</v>
      </c>
      <c r="W1030">
        <v>2.79</v>
      </c>
    </row>
    <row r="1031" spans="1:23" x14ac:dyDescent="0.25">
      <c r="A1031" t="s">
        <v>38</v>
      </c>
      <c r="B1031">
        <v>3</v>
      </c>
      <c r="C1031">
        <v>16</v>
      </c>
      <c r="D1031">
        <v>2001</v>
      </c>
      <c r="E1031">
        <v>192.2</v>
      </c>
      <c r="F1031">
        <v>7.2</v>
      </c>
      <c r="G1031">
        <v>4.8</v>
      </c>
      <c r="H1031">
        <v>2.4</v>
      </c>
      <c r="I1031">
        <v>33</v>
      </c>
      <c r="J1031">
        <v>85.3</v>
      </c>
      <c r="K1031">
        <v>1160.5</v>
      </c>
      <c r="L1031">
        <v>462</v>
      </c>
      <c r="M1031">
        <v>415</v>
      </c>
      <c r="N1031">
        <v>556</v>
      </c>
      <c r="O1031">
        <v>141</v>
      </c>
      <c r="P1031">
        <v>374</v>
      </c>
      <c r="Q1031">
        <v>592</v>
      </c>
      <c r="R1031">
        <v>218</v>
      </c>
      <c r="S1031">
        <v>227.4</v>
      </c>
      <c r="T1031">
        <v>423</v>
      </c>
      <c r="U1031">
        <v>424</v>
      </c>
      <c r="V1031">
        <v>500</v>
      </c>
      <c r="W1031">
        <v>2.79</v>
      </c>
    </row>
    <row r="1032" spans="1:23" x14ac:dyDescent="0.25">
      <c r="A1032" t="s">
        <v>38</v>
      </c>
      <c r="B1032">
        <v>3</v>
      </c>
      <c r="C1032">
        <v>17</v>
      </c>
      <c r="D1032">
        <v>2002</v>
      </c>
      <c r="E1032">
        <v>197.6</v>
      </c>
      <c r="F1032">
        <v>5.4</v>
      </c>
      <c r="G1032">
        <v>3</v>
      </c>
      <c r="H1032">
        <v>2.4</v>
      </c>
      <c r="I1032">
        <v>44</v>
      </c>
      <c r="J1032">
        <v>66.099999999999994</v>
      </c>
      <c r="K1032">
        <v>1226.7</v>
      </c>
      <c r="L1032">
        <v>458</v>
      </c>
      <c r="M1032">
        <v>386</v>
      </c>
      <c r="N1032">
        <v>548</v>
      </c>
      <c r="O1032">
        <v>162</v>
      </c>
      <c r="P1032">
        <v>355</v>
      </c>
      <c r="Q1032">
        <v>614</v>
      </c>
      <c r="R1032">
        <v>259</v>
      </c>
      <c r="S1032">
        <v>227.4</v>
      </c>
      <c r="T1032">
        <v>423</v>
      </c>
      <c r="U1032">
        <v>424</v>
      </c>
      <c r="V1032">
        <v>500</v>
      </c>
      <c r="W1032">
        <v>2.79</v>
      </c>
    </row>
    <row r="1033" spans="1:23" x14ac:dyDescent="0.25">
      <c r="A1033" t="s">
        <v>38</v>
      </c>
      <c r="B1033">
        <v>3</v>
      </c>
      <c r="C1033">
        <v>18</v>
      </c>
      <c r="D1033">
        <v>2003</v>
      </c>
      <c r="E1033">
        <v>203.3</v>
      </c>
      <c r="F1033">
        <v>5.7</v>
      </c>
      <c r="G1033">
        <v>4.8</v>
      </c>
      <c r="H1033">
        <v>0.9</v>
      </c>
      <c r="I1033">
        <v>15</v>
      </c>
      <c r="J1033">
        <v>71.8</v>
      </c>
      <c r="K1033">
        <v>1298.4000000000001</v>
      </c>
      <c r="L1033">
        <v>433</v>
      </c>
      <c r="M1033">
        <v>414</v>
      </c>
      <c r="N1033">
        <v>533</v>
      </c>
      <c r="O1033">
        <v>119</v>
      </c>
      <c r="P1033">
        <v>365</v>
      </c>
      <c r="Q1033">
        <v>561</v>
      </c>
      <c r="R1033">
        <v>196</v>
      </c>
      <c r="S1033">
        <v>227.4</v>
      </c>
      <c r="T1033">
        <v>423</v>
      </c>
      <c r="U1033">
        <v>424</v>
      </c>
      <c r="V1033">
        <v>500</v>
      </c>
      <c r="W1033">
        <v>2.79</v>
      </c>
    </row>
    <row r="1034" spans="1:23" x14ac:dyDescent="0.25">
      <c r="A1034" t="s">
        <v>38</v>
      </c>
      <c r="B1034">
        <v>3</v>
      </c>
      <c r="C1034">
        <v>19</v>
      </c>
      <c r="D1034">
        <v>2004</v>
      </c>
      <c r="E1034">
        <v>206.9</v>
      </c>
      <c r="F1034">
        <v>3.6</v>
      </c>
      <c r="G1034">
        <v>2.7</v>
      </c>
      <c r="H1034">
        <v>0.9</v>
      </c>
      <c r="I1034">
        <v>24</v>
      </c>
      <c r="J1034">
        <v>46.4</v>
      </c>
      <c r="K1034">
        <v>1344.8</v>
      </c>
      <c r="L1034">
        <v>434</v>
      </c>
      <c r="M1034">
        <v>388</v>
      </c>
      <c r="N1034">
        <v>573</v>
      </c>
      <c r="O1034">
        <v>185</v>
      </c>
      <c r="P1034">
        <v>356</v>
      </c>
      <c r="Q1034">
        <v>592</v>
      </c>
      <c r="R1034">
        <v>236</v>
      </c>
      <c r="S1034">
        <v>227.4</v>
      </c>
      <c r="T1034">
        <v>423</v>
      </c>
      <c r="U1034">
        <v>424</v>
      </c>
      <c r="V1034">
        <v>500</v>
      </c>
      <c r="W1034">
        <v>2.79</v>
      </c>
    </row>
    <row r="1035" spans="1:23" x14ac:dyDescent="0.25">
      <c r="A1035" t="s">
        <v>38</v>
      </c>
      <c r="B1035">
        <v>3</v>
      </c>
      <c r="C1035">
        <v>20</v>
      </c>
      <c r="D1035">
        <v>2005</v>
      </c>
      <c r="E1035">
        <v>210.2</v>
      </c>
      <c r="F1035">
        <v>3.3</v>
      </c>
      <c r="G1035">
        <v>2.7</v>
      </c>
      <c r="H1035">
        <v>0.6</v>
      </c>
      <c r="I1035">
        <v>18</v>
      </c>
      <c r="J1035">
        <v>43.2</v>
      </c>
      <c r="K1035">
        <v>1388.1</v>
      </c>
      <c r="L1035">
        <v>433</v>
      </c>
      <c r="M1035">
        <v>416</v>
      </c>
      <c r="N1035">
        <v>513</v>
      </c>
      <c r="O1035">
        <v>97</v>
      </c>
      <c r="P1035">
        <v>369</v>
      </c>
      <c r="Q1035">
        <v>526</v>
      </c>
      <c r="R1035">
        <v>157</v>
      </c>
      <c r="S1035">
        <v>227.4</v>
      </c>
      <c r="T1035">
        <v>423</v>
      </c>
      <c r="U1035">
        <v>424</v>
      </c>
      <c r="V1035">
        <v>500</v>
      </c>
      <c r="W1035">
        <v>2.79</v>
      </c>
    </row>
    <row r="1036" spans="1:23" x14ac:dyDescent="0.25">
      <c r="A1036" t="s">
        <v>38</v>
      </c>
      <c r="B1036">
        <v>3</v>
      </c>
      <c r="C1036">
        <v>21</v>
      </c>
      <c r="D1036">
        <v>2006</v>
      </c>
      <c r="E1036">
        <v>212.9</v>
      </c>
      <c r="F1036">
        <v>2.7</v>
      </c>
      <c r="G1036">
        <v>2.1</v>
      </c>
      <c r="H1036">
        <v>0.6</v>
      </c>
      <c r="I1036">
        <v>22</v>
      </c>
      <c r="J1036">
        <v>35.9</v>
      </c>
      <c r="K1036">
        <v>1424</v>
      </c>
      <c r="L1036">
        <v>430</v>
      </c>
      <c r="M1036">
        <v>408</v>
      </c>
      <c r="N1036">
        <v>509</v>
      </c>
      <c r="O1036">
        <v>101</v>
      </c>
      <c r="P1036">
        <v>366</v>
      </c>
      <c r="Q1036">
        <v>517</v>
      </c>
      <c r="R1036">
        <v>151</v>
      </c>
      <c r="S1036">
        <v>227.4</v>
      </c>
      <c r="T1036">
        <v>423</v>
      </c>
      <c r="U1036">
        <v>424</v>
      </c>
      <c r="V1036">
        <v>500</v>
      </c>
      <c r="W1036">
        <v>2.79</v>
      </c>
    </row>
    <row r="1037" spans="1:23" x14ac:dyDescent="0.25">
      <c r="A1037" t="s">
        <v>38</v>
      </c>
      <c r="B1037">
        <v>3</v>
      </c>
      <c r="C1037">
        <v>22</v>
      </c>
      <c r="D1037">
        <v>2007</v>
      </c>
      <c r="E1037">
        <v>216.2</v>
      </c>
      <c r="F1037">
        <v>3.3</v>
      </c>
      <c r="G1037">
        <v>2.4</v>
      </c>
      <c r="H1037">
        <v>0.9</v>
      </c>
      <c r="I1037">
        <v>27</v>
      </c>
      <c r="J1037">
        <v>44.5</v>
      </c>
      <c r="K1037">
        <v>1468.5</v>
      </c>
      <c r="L1037">
        <v>470</v>
      </c>
      <c r="M1037">
        <v>438</v>
      </c>
      <c r="N1037">
        <v>553</v>
      </c>
      <c r="O1037">
        <v>115</v>
      </c>
      <c r="P1037">
        <v>369</v>
      </c>
      <c r="Q1037">
        <v>575</v>
      </c>
      <c r="R1037">
        <v>206</v>
      </c>
      <c r="S1037">
        <v>227.4</v>
      </c>
      <c r="T1037">
        <v>423</v>
      </c>
      <c r="U1037">
        <v>424</v>
      </c>
      <c r="V1037">
        <v>500</v>
      </c>
      <c r="W1037">
        <v>2.79</v>
      </c>
    </row>
    <row r="1038" spans="1:23" x14ac:dyDescent="0.25">
      <c r="A1038" t="s">
        <v>38</v>
      </c>
      <c r="B1038">
        <v>3</v>
      </c>
      <c r="C1038">
        <v>23</v>
      </c>
      <c r="D1038">
        <v>2008</v>
      </c>
      <c r="E1038">
        <v>219.8</v>
      </c>
      <c r="F1038">
        <v>3.6</v>
      </c>
      <c r="G1038">
        <v>3</v>
      </c>
      <c r="H1038">
        <v>0.6</v>
      </c>
      <c r="I1038">
        <v>16</v>
      </c>
      <c r="J1038">
        <v>49.3</v>
      </c>
      <c r="K1038">
        <v>1517.8</v>
      </c>
      <c r="L1038">
        <v>429</v>
      </c>
      <c r="M1038">
        <v>406</v>
      </c>
      <c r="N1038">
        <v>546</v>
      </c>
      <c r="O1038">
        <v>140</v>
      </c>
      <c r="P1038">
        <v>343</v>
      </c>
      <c r="Q1038">
        <v>560</v>
      </c>
      <c r="R1038">
        <v>217</v>
      </c>
      <c r="S1038">
        <v>227.4</v>
      </c>
      <c r="T1038">
        <v>423</v>
      </c>
      <c r="U1038">
        <v>424</v>
      </c>
      <c r="V1038">
        <v>500</v>
      </c>
      <c r="W1038">
        <v>2.79</v>
      </c>
    </row>
    <row r="1039" spans="1:23" x14ac:dyDescent="0.25">
      <c r="A1039" t="s">
        <v>38</v>
      </c>
      <c r="B1039">
        <v>3</v>
      </c>
      <c r="C1039">
        <v>24</v>
      </c>
      <c r="D1039">
        <v>2009</v>
      </c>
      <c r="E1039">
        <v>224</v>
      </c>
      <c r="F1039">
        <v>4.2</v>
      </c>
      <c r="G1039">
        <v>2.7</v>
      </c>
      <c r="H1039">
        <v>1.5</v>
      </c>
      <c r="I1039">
        <v>35</v>
      </c>
      <c r="J1039">
        <v>58.6</v>
      </c>
      <c r="K1039">
        <v>1576.3</v>
      </c>
      <c r="L1039">
        <v>470</v>
      </c>
      <c r="M1039">
        <v>421</v>
      </c>
      <c r="N1039">
        <v>558</v>
      </c>
      <c r="O1039">
        <v>137</v>
      </c>
      <c r="P1039">
        <v>386</v>
      </c>
      <c r="Q1039">
        <v>592</v>
      </c>
      <c r="R1039">
        <v>206</v>
      </c>
      <c r="S1039">
        <v>227.4</v>
      </c>
      <c r="T1039">
        <v>423</v>
      </c>
      <c r="U1039">
        <v>424</v>
      </c>
      <c r="V1039">
        <v>500</v>
      </c>
      <c r="W1039">
        <v>2.79</v>
      </c>
    </row>
    <row r="1040" spans="1:23" x14ac:dyDescent="0.25">
      <c r="A1040" t="s">
        <v>38</v>
      </c>
      <c r="B1040">
        <v>3</v>
      </c>
      <c r="C1040">
        <v>25</v>
      </c>
      <c r="D1040">
        <v>2010</v>
      </c>
      <c r="E1040">
        <v>227.3</v>
      </c>
      <c r="F1040">
        <v>3.3</v>
      </c>
      <c r="G1040">
        <v>2.4</v>
      </c>
      <c r="H1040">
        <v>0.9</v>
      </c>
      <c r="I1040">
        <v>27</v>
      </c>
      <c r="J1040">
        <v>46.8</v>
      </c>
      <c r="K1040">
        <v>1623.1</v>
      </c>
      <c r="L1040">
        <v>444</v>
      </c>
      <c r="M1040">
        <v>400</v>
      </c>
      <c r="N1040">
        <v>560</v>
      </c>
      <c r="O1040">
        <v>160</v>
      </c>
      <c r="P1040">
        <v>365</v>
      </c>
      <c r="Q1040">
        <v>588</v>
      </c>
      <c r="R1040">
        <v>223</v>
      </c>
      <c r="S1040">
        <v>227.4</v>
      </c>
      <c r="T1040">
        <v>423</v>
      </c>
      <c r="U1040">
        <v>424</v>
      </c>
      <c r="V1040">
        <v>500</v>
      </c>
      <c r="W1040">
        <v>2.79</v>
      </c>
    </row>
    <row r="1041" spans="1:23" x14ac:dyDescent="0.25">
      <c r="A1041" t="s">
        <v>38</v>
      </c>
      <c r="B1041">
        <v>3</v>
      </c>
      <c r="C1041">
        <v>26</v>
      </c>
      <c r="D1041">
        <v>2011</v>
      </c>
      <c r="E1041">
        <v>230</v>
      </c>
      <c r="F1041">
        <v>2.7</v>
      </c>
      <c r="G1041">
        <v>1.8</v>
      </c>
      <c r="H1041">
        <v>0.9</v>
      </c>
      <c r="I1041">
        <v>33</v>
      </c>
      <c r="J1041">
        <v>38.799999999999997</v>
      </c>
      <c r="K1041">
        <v>1661.9</v>
      </c>
      <c r="L1041">
        <v>463</v>
      </c>
      <c r="M1041">
        <v>415</v>
      </c>
      <c r="N1041">
        <v>561</v>
      </c>
      <c r="O1041">
        <v>146</v>
      </c>
      <c r="P1041">
        <v>379</v>
      </c>
      <c r="Q1041">
        <v>601</v>
      </c>
      <c r="R1041">
        <v>222</v>
      </c>
      <c r="S1041">
        <v>227.4</v>
      </c>
      <c r="T1041">
        <v>423</v>
      </c>
      <c r="U1041">
        <v>424</v>
      </c>
      <c r="V1041">
        <v>500</v>
      </c>
      <c r="W1041">
        <v>2.79</v>
      </c>
    </row>
    <row r="1042" spans="1:23" x14ac:dyDescent="0.25">
      <c r="A1042" t="s">
        <v>38</v>
      </c>
      <c r="B1042">
        <v>3</v>
      </c>
      <c r="C1042">
        <v>27</v>
      </c>
      <c r="D1042">
        <v>2012</v>
      </c>
      <c r="E1042">
        <v>232.4</v>
      </c>
      <c r="F1042">
        <v>2.4</v>
      </c>
      <c r="G1042">
        <v>2.1</v>
      </c>
      <c r="H1042">
        <v>0.3</v>
      </c>
      <c r="I1042">
        <v>12</v>
      </c>
      <c r="J1042">
        <v>34.9</v>
      </c>
      <c r="K1042">
        <v>1696.8</v>
      </c>
      <c r="L1042">
        <v>419</v>
      </c>
      <c r="M1042">
        <v>400</v>
      </c>
      <c r="N1042">
        <v>550</v>
      </c>
      <c r="O1042">
        <v>150</v>
      </c>
      <c r="P1042">
        <v>273</v>
      </c>
      <c r="Q1042">
        <v>550</v>
      </c>
      <c r="R1042">
        <v>277</v>
      </c>
      <c r="S1042">
        <v>227.4</v>
      </c>
      <c r="T1042">
        <v>423</v>
      </c>
      <c r="U1042">
        <v>424</v>
      </c>
      <c r="V1042">
        <v>500</v>
      </c>
      <c r="W1042">
        <v>2.79</v>
      </c>
    </row>
    <row r="1043" spans="1:23" x14ac:dyDescent="0.25">
      <c r="A1043" t="s">
        <v>38</v>
      </c>
      <c r="B1043">
        <v>4</v>
      </c>
      <c r="C1043">
        <v>6</v>
      </c>
      <c r="D1043">
        <v>1991</v>
      </c>
      <c r="E1043">
        <v>28.7</v>
      </c>
      <c r="F1043">
        <v>28.7</v>
      </c>
      <c r="G1043">
        <v>8.1</v>
      </c>
      <c r="H1043">
        <v>0.6</v>
      </c>
      <c r="I1043">
        <v>2</v>
      </c>
      <c r="J1043">
        <v>25.9</v>
      </c>
      <c r="K1043">
        <v>25.9</v>
      </c>
      <c r="L1043">
        <v>400</v>
      </c>
      <c r="M1043">
        <v>392</v>
      </c>
      <c r="N1043">
        <v>511</v>
      </c>
      <c r="O1043">
        <v>119</v>
      </c>
      <c r="P1043">
        <v>178</v>
      </c>
      <c r="Q1043">
        <v>516</v>
      </c>
      <c r="R1043">
        <v>338</v>
      </c>
      <c r="S1043">
        <v>244.8</v>
      </c>
      <c r="T1043">
        <v>388</v>
      </c>
      <c r="U1043">
        <v>385</v>
      </c>
      <c r="V1043">
        <v>500</v>
      </c>
      <c r="W1043">
        <v>2.79</v>
      </c>
    </row>
    <row r="1044" spans="1:23" x14ac:dyDescent="0.25">
      <c r="A1044" t="s">
        <v>38</v>
      </c>
      <c r="B1044">
        <v>4</v>
      </c>
      <c r="C1044">
        <v>7</v>
      </c>
      <c r="D1044">
        <v>1992</v>
      </c>
      <c r="E1044">
        <v>58.4</v>
      </c>
      <c r="F1044">
        <v>29.7</v>
      </c>
      <c r="G1044">
        <v>27.9</v>
      </c>
      <c r="H1044">
        <v>1.8</v>
      </c>
      <c r="I1044">
        <v>6</v>
      </c>
      <c r="J1044">
        <v>81.3</v>
      </c>
      <c r="K1044">
        <v>107.1</v>
      </c>
      <c r="L1044">
        <v>392</v>
      </c>
      <c r="M1044">
        <v>384</v>
      </c>
      <c r="N1044">
        <v>521</v>
      </c>
      <c r="O1044">
        <v>137</v>
      </c>
      <c r="P1044">
        <v>313</v>
      </c>
      <c r="Q1044">
        <v>531</v>
      </c>
      <c r="R1044">
        <v>218</v>
      </c>
      <c r="S1044">
        <v>244.8</v>
      </c>
      <c r="T1044">
        <v>388</v>
      </c>
      <c r="U1044">
        <v>385</v>
      </c>
      <c r="V1044">
        <v>500</v>
      </c>
      <c r="W1044">
        <v>2.79</v>
      </c>
    </row>
    <row r="1045" spans="1:23" x14ac:dyDescent="0.25">
      <c r="A1045" t="s">
        <v>38</v>
      </c>
      <c r="B1045">
        <v>4</v>
      </c>
      <c r="C1045">
        <v>8</v>
      </c>
      <c r="D1045">
        <v>1993</v>
      </c>
      <c r="E1045">
        <v>78.5</v>
      </c>
      <c r="F1045">
        <v>20.100000000000001</v>
      </c>
      <c r="G1045">
        <v>18.899999999999999</v>
      </c>
      <c r="H1045">
        <v>1.2</v>
      </c>
      <c r="I1045">
        <v>5</v>
      </c>
      <c r="J1045">
        <v>86.4</v>
      </c>
      <c r="K1045">
        <v>193.6</v>
      </c>
      <c r="L1045">
        <v>383</v>
      </c>
      <c r="M1045">
        <v>374</v>
      </c>
      <c r="N1045">
        <v>518</v>
      </c>
      <c r="O1045">
        <v>144</v>
      </c>
      <c r="P1045">
        <v>305</v>
      </c>
      <c r="Q1045">
        <v>544</v>
      </c>
      <c r="R1045">
        <v>239</v>
      </c>
      <c r="S1045">
        <v>244.8</v>
      </c>
      <c r="T1045">
        <v>388</v>
      </c>
      <c r="U1045">
        <v>385</v>
      </c>
      <c r="V1045">
        <v>500</v>
      </c>
      <c r="W1045">
        <v>2.79</v>
      </c>
    </row>
    <row r="1046" spans="1:23" x14ac:dyDescent="0.25">
      <c r="A1046" t="s">
        <v>38</v>
      </c>
      <c r="B1046">
        <v>4</v>
      </c>
      <c r="C1046">
        <v>9</v>
      </c>
      <c r="D1046">
        <v>1994</v>
      </c>
      <c r="E1046">
        <v>98</v>
      </c>
      <c r="F1046">
        <v>19.5</v>
      </c>
      <c r="G1046">
        <v>18.600000000000001</v>
      </c>
      <c r="H1046">
        <v>0.9</v>
      </c>
      <c r="I1046">
        <v>4</v>
      </c>
      <c r="J1046">
        <v>108.1</v>
      </c>
      <c r="K1046">
        <v>301.7</v>
      </c>
      <c r="L1046">
        <v>378</v>
      </c>
      <c r="M1046">
        <v>371</v>
      </c>
      <c r="N1046">
        <v>516</v>
      </c>
      <c r="O1046">
        <v>145</v>
      </c>
      <c r="P1046">
        <v>303</v>
      </c>
      <c r="Q1046">
        <v>526</v>
      </c>
      <c r="R1046">
        <v>223</v>
      </c>
      <c r="S1046">
        <v>244.8</v>
      </c>
      <c r="T1046">
        <v>388</v>
      </c>
      <c r="U1046">
        <v>385</v>
      </c>
      <c r="V1046">
        <v>500</v>
      </c>
      <c r="W1046">
        <v>2.79</v>
      </c>
    </row>
    <row r="1047" spans="1:23" x14ac:dyDescent="0.25">
      <c r="A1047" t="s">
        <v>38</v>
      </c>
      <c r="B1047">
        <v>4</v>
      </c>
      <c r="C1047">
        <v>10</v>
      </c>
      <c r="D1047">
        <v>1995</v>
      </c>
      <c r="E1047">
        <v>119.9</v>
      </c>
      <c r="F1047">
        <v>21.9</v>
      </c>
      <c r="G1047">
        <v>21</v>
      </c>
      <c r="H1047">
        <v>0.9</v>
      </c>
      <c r="I1047">
        <v>4</v>
      </c>
      <c r="J1047">
        <v>149.9</v>
      </c>
      <c r="K1047">
        <v>451.6</v>
      </c>
      <c r="L1047">
        <v>366</v>
      </c>
      <c r="M1047">
        <v>358</v>
      </c>
      <c r="N1047">
        <v>533</v>
      </c>
      <c r="O1047">
        <v>175</v>
      </c>
      <c r="P1047">
        <v>293</v>
      </c>
      <c r="Q1047">
        <v>552</v>
      </c>
      <c r="R1047">
        <v>259</v>
      </c>
      <c r="S1047">
        <v>244.8</v>
      </c>
      <c r="T1047">
        <v>388</v>
      </c>
      <c r="U1047">
        <v>385</v>
      </c>
      <c r="V1047">
        <v>500</v>
      </c>
      <c r="W1047">
        <v>2.79</v>
      </c>
    </row>
    <row r="1048" spans="1:23" x14ac:dyDescent="0.25">
      <c r="A1048" t="s">
        <v>38</v>
      </c>
      <c r="B1048">
        <v>4</v>
      </c>
      <c r="C1048">
        <v>11</v>
      </c>
      <c r="D1048">
        <v>1996</v>
      </c>
      <c r="E1048">
        <v>138.80000000000001</v>
      </c>
      <c r="F1048">
        <v>18.899999999999999</v>
      </c>
      <c r="G1048">
        <v>18</v>
      </c>
      <c r="H1048">
        <v>0.9</v>
      </c>
      <c r="I1048">
        <v>4</v>
      </c>
      <c r="J1048">
        <v>153.6</v>
      </c>
      <c r="K1048">
        <v>605.20000000000005</v>
      </c>
      <c r="L1048">
        <v>366</v>
      </c>
      <c r="M1048">
        <v>358</v>
      </c>
      <c r="N1048">
        <v>519</v>
      </c>
      <c r="O1048">
        <v>161</v>
      </c>
      <c r="P1048">
        <v>290</v>
      </c>
      <c r="Q1048">
        <v>529</v>
      </c>
      <c r="R1048">
        <v>239</v>
      </c>
      <c r="S1048">
        <v>244.8</v>
      </c>
      <c r="T1048">
        <v>388</v>
      </c>
      <c r="U1048">
        <v>385</v>
      </c>
      <c r="V1048">
        <v>500</v>
      </c>
      <c r="W1048">
        <v>2.79</v>
      </c>
    </row>
    <row r="1049" spans="1:23" x14ac:dyDescent="0.25">
      <c r="A1049" t="s">
        <v>38</v>
      </c>
      <c r="B1049">
        <v>4</v>
      </c>
      <c r="C1049">
        <v>12</v>
      </c>
      <c r="D1049">
        <v>1997</v>
      </c>
      <c r="E1049">
        <v>159.19999999999999</v>
      </c>
      <c r="F1049">
        <v>20.399999999999999</v>
      </c>
      <c r="G1049">
        <v>18.899999999999999</v>
      </c>
      <c r="H1049">
        <v>1.5</v>
      </c>
      <c r="I1049">
        <v>7</v>
      </c>
      <c r="J1049">
        <v>191</v>
      </c>
      <c r="K1049">
        <v>796.2</v>
      </c>
      <c r="L1049">
        <v>362</v>
      </c>
      <c r="M1049">
        <v>350</v>
      </c>
      <c r="N1049">
        <v>520</v>
      </c>
      <c r="O1049">
        <v>170</v>
      </c>
      <c r="P1049">
        <v>276</v>
      </c>
      <c r="Q1049">
        <v>544</v>
      </c>
      <c r="R1049">
        <v>268</v>
      </c>
      <c r="S1049">
        <v>244.8</v>
      </c>
      <c r="T1049">
        <v>388</v>
      </c>
      <c r="U1049">
        <v>385</v>
      </c>
      <c r="V1049">
        <v>500</v>
      </c>
      <c r="W1049">
        <v>2.79</v>
      </c>
    </row>
    <row r="1050" spans="1:23" x14ac:dyDescent="0.25">
      <c r="A1050" t="s">
        <v>38</v>
      </c>
      <c r="B1050">
        <v>4</v>
      </c>
      <c r="C1050">
        <v>13</v>
      </c>
      <c r="D1050">
        <v>1998</v>
      </c>
      <c r="E1050">
        <v>168.2</v>
      </c>
      <c r="F1050">
        <v>9</v>
      </c>
      <c r="G1050">
        <v>8.1</v>
      </c>
      <c r="H1050">
        <v>0.9</v>
      </c>
      <c r="I1050">
        <v>10</v>
      </c>
      <c r="J1050">
        <v>92.6</v>
      </c>
      <c r="K1050">
        <v>888.8</v>
      </c>
      <c r="L1050">
        <v>387</v>
      </c>
      <c r="M1050">
        <v>372</v>
      </c>
      <c r="N1050">
        <v>516</v>
      </c>
      <c r="O1050">
        <v>144</v>
      </c>
      <c r="P1050">
        <v>304</v>
      </c>
      <c r="Q1050">
        <v>541</v>
      </c>
      <c r="R1050">
        <v>237</v>
      </c>
      <c r="S1050">
        <v>244.8</v>
      </c>
      <c r="T1050">
        <v>388</v>
      </c>
      <c r="U1050">
        <v>385</v>
      </c>
      <c r="V1050">
        <v>500</v>
      </c>
      <c r="W1050">
        <v>2.79</v>
      </c>
    </row>
    <row r="1051" spans="1:23" x14ac:dyDescent="0.25">
      <c r="A1051" t="s">
        <v>38</v>
      </c>
      <c r="B1051">
        <v>4</v>
      </c>
      <c r="C1051">
        <v>14</v>
      </c>
      <c r="D1051">
        <v>1999</v>
      </c>
      <c r="E1051">
        <v>183.2</v>
      </c>
      <c r="F1051">
        <v>15</v>
      </c>
      <c r="G1051">
        <v>14.1</v>
      </c>
      <c r="H1051">
        <v>0.9</v>
      </c>
      <c r="I1051">
        <v>6</v>
      </c>
      <c r="J1051">
        <v>165.6</v>
      </c>
      <c r="K1051">
        <v>1054.4000000000001</v>
      </c>
      <c r="L1051">
        <v>378</v>
      </c>
      <c r="M1051">
        <v>369</v>
      </c>
      <c r="N1051">
        <v>508</v>
      </c>
      <c r="O1051">
        <v>139</v>
      </c>
      <c r="P1051">
        <v>314</v>
      </c>
      <c r="Q1051">
        <v>516</v>
      </c>
      <c r="R1051">
        <v>202</v>
      </c>
      <c r="S1051">
        <v>244.8</v>
      </c>
      <c r="T1051">
        <v>388</v>
      </c>
      <c r="U1051">
        <v>385</v>
      </c>
      <c r="V1051">
        <v>500</v>
      </c>
      <c r="W1051">
        <v>2.79</v>
      </c>
    </row>
    <row r="1052" spans="1:23" x14ac:dyDescent="0.25">
      <c r="A1052" t="s">
        <v>38</v>
      </c>
      <c r="B1052">
        <v>4</v>
      </c>
      <c r="C1052">
        <v>15</v>
      </c>
      <c r="D1052">
        <v>2000</v>
      </c>
      <c r="E1052">
        <v>191</v>
      </c>
      <c r="F1052">
        <v>7.8</v>
      </c>
      <c r="G1052">
        <v>7.2</v>
      </c>
      <c r="H1052">
        <v>0.6</v>
      </c>
      <c r="I1052">
        <v>7</v>
      </c>
      <c r="J1052">
        <v>91.7</v>
      </c>
      <c r="K1052">
        <v>1146.0999999999999</v>
      </c>
      <c r="L1052">
        <v>367</v>
      </c>
      <c r="M1052">
        <v>355</v>
      </c>
      <c r="N1052">
        <v>512</v>
      </c>
      <c r="O1052">
        <v>157</v>
      </c>
      <c r="P1052">
        <v>297</v>
      </c>
      <c r="Q1052">
        <v>517</v>
      </c>
      <c r="R1052">
        <v>220</v>
      </c>
      <c r="S1052">
        <v>244.8</v>
      </c>
      <c r="T1052">
        <v>388</v>
      </c>
      <c r="U1052">
        <v>385</v>
      </c>
      <c r="V1052">
        <v>500</v>
      </c>
      <c r="W1052">
        <v>2.79</v>
      </c>
    </row>
    <row r="1053" spans="1:23" x14ac:dyDescent="0.25">
      <c r="A1053" t="s">
        <v>38</v>
      </c>
      <c r="B1053">
        <v>4</v>
      </c>
      <c r="C1053">
        <v>16</v>
      </c>
      <c r="D1053">
        <v>2001</v>
      </c>
      <c r="E1053">
        <v>197</v>
      </c>
      <c r="F1053">
        <v>6</v>
      </c>
      <c r="G1053">
        <v>5.4</v>
      </c>
      <c r="H1053">
        <v>0.6</v>
      </c>
      <c r="I1053">
        <v>10</v>
      </c>
      <c r="J1053">
        <v>73.099999999999994</v>
      </c>
      <c r="K1053">
        <v>1219.2</v>
      </c>
      <c r="L1053">
        <v>381</v>
      </c>
      <c r="M1053">
        <v>362</v>
      </c>
      <c r="N1053">
        <v>550</v>
      </c>
      <c r="O1053">
        <v>188</v>
      </c>
      <c r="P1053">
        <v>322</v>
      </c>
      <c r="Q1053">
        <v>553</v>
      </c>
      <c r="R1053">
        <v>231</v>
      </c>
      <c r="S1053">
        <v>244.8</v>
      </c>
      <c r="T1053">
        <v>388</v>
      </c>
      <c r="U1053">
        <v>385</v>
      </c>
      <c r="V1053">
        <v>500</v>
      </c>
      <c r="W1053">
        <v>2.79</v>
      </c>
    </row>
    <row r="1054" spans="1:23" x14ac:dyDescent="0.25">
      <c r="A1054" t="s">
        <v>38</v>
      </c>
      <c r="B1054">
        <v>4</v>
      </c>
      <c r="C1054">
        <v>17</v>
      </c>
      <c r="D1054">
        <v>2002</v>
      </c>
      <c r="E1054">
        <v>202.1</v>
      </c>
      <c r="F1054">
        <v>5.0999999999999996</v>
      </c>
      <c r="G1054">
        <v>4.5</v>
      </c>
      <c r="H1054">
        <v>0.6</v>
      </c>
      <c r="I1054">
        <v>11</v>
      </c>
      <c r="J1054">
        <v>63.9</v>
      </c>
      <c r="K1054">
        <v>1283.2</v>
      </c>
      <c r="L1054">
        <v>402</v>
      </c>
      <c r="M1054">
        <v>384</v>
      </c>
      <c r="N1054">
        <v>539</v>
      </c>
      <c r="O1054">
        <v>155</v>
      </c>
      <c r="P1054">
        <v>319</v>
      </c>
      <c r="Q1054">
        <v>553</v>
      </c>
      <c r="R1054">
        <v>234</v>
      </c>
      <c r="S1054">
        <v>244.8</v>
      </c>
      <c r="T1054">
        <v>388</v>
      </c>
      <c r="U1054">
        <v>385</v>
      </c>
      <c r="V1054">
        <v>500</v>
      </c>
      <c r="W1054">
        <v>2.79</v>
      </c>
    </row>
    <row r="1055" spans="1:23" x14ac:dyDescent="0.25">
      <c r="A1055" t="s">
        <v>38</v>
      </c>
      <c r="B1055">
        <v>4</v>
      </c>
      <c r="C1055">
        <v>18</v>
      </c>
      <c r="D1055">
        <v>2003</v>
      </c>
      <c r="E1055">
        <v>208.1</v>
      </c>
      <c r="F1055">
        <v>6</v>
      </c>
      <c r="G1055">
        <v>5.4</v>
      </c>
      <c r="H1055">
        <v>0.6</v>
      </c>
      <c r="I1055">
        <v>10</v>
      </c>
      <c r="J1055">
        <v>77.3</v>
      </c>
      <c r="K1055">
        <v>1360.5</v>
      </c>
      <c r="L1055">
        <v>404</v>
      </c>
      <c r="M1055">
        <v>389</v>
      </c>
      <c r="N1055">
        <v>536</v>
      </c>
      <c r="O1055">
        <v>147</v>
      </c>
      <c r="P1055">
        <v>339</v>
      </c>
      <c r="Q1055">
        <v>554</v>
      </c>
      <c r="R1055">
        <v>215</v>
      </c>
      <c r="S1055">
        <v>244.8</v>
      </c>
      <c r="T1055">
        <v>388</v>
      </c>
      <c r="U1055">
        <v>385</v>
      </c>
      <c r="V1055">
        <v>500</v>
      </c>
      <c r="W1055">
        <v>2.79</v>
      </c>
    </row>
    <row r="1056" spans="1:23" x14ac:dyDescent="0.25">
      <c r="A1056" t="s">
        <v>38</v>
      </c>
      <c r="B1056">
        <v>4</v>
      </c>
      <c r="C1056">
        <v>19</v>
      </c>
      <c r="D1056">
        <v>2004</v>
      </c>
      <c r="E1056">
        <v>215.3</v>
      </c>
      <c r="F1056">
        <v>7.2</v>
      </c>
      <c r="G1056">
        <v>5.0999999999999996</v>
      </c>
      <c r="H1056">
        <v>2.1</v>
      </c>
      <c r="I1056">
        <v>29</v>
      </c>
      <c r="J1056">
        <v>95.8</v>
      </c>
      <c r="K1056">
        <v>1456.3</v>
      </c>
      <c r="L1056">
        <v>416</v>
      </c>
      <c r="M1056">
        <v>366</v>
      </c>
      <c r="N1056">
        <v>538</v>
      </c>
      <c r="O1056">
        <v>172</v>
      </c>
      <c r="P1056">
        <v>324</v>
      </c>
      <c r="Q1056">
        <v>558</v>
      </c>
      <c r="R1056">
        <v>234</v>
      </c>
      <c r="S1056">
        <v>244.8</v>
      </c>
      <c r="T1056">
        <v>388</v>
      </c>
      <c r="U1056">
        <v>385</v>
      </c>
      <c r="V1056">
        <v>500</v>
      </c>
      <c r="W1056">
        <v>2.79</v>
      </c>
    </row>
    <row r="1057" spans="1:23" x14ac:dyDescent="0.25">
      <c r="A1057" t="s">
        <v>38</v>
      </c>
      <c r="B1057">
        <v>4</v>
      </c>
      <c r="C1057">
        <v>20</v>
      </c>
      <c r="D1057">
        <v>2005</v>
      </c>
      <c r="E1057">
        <v>224.3</v>
      </c>
      <c r="F1057">
        <v>9</v>
      </c>
      <c r="G1057">
        <v>8.4</v>
      </c>
      <c r="H1057">
        <v>0.6</v>
      </c>
      <c r="I1057">
        <v>6</v>
      </c>
      <c r="J1057">
        <v>124.3</v>
      </c>
      <c r="K1057">
        <v>1580.6</v>
      </c>
      <c r="L1057">
        <v>386</v>
      </c>
      <c r="M1057">
        <v>373</v>
      </c>
      <c r="N1057">
        <v>564</v>
      </c>
      <c r="O1057">
        <v>191</v>
      </c>
      <c r="P1057">
        <v>330</v>
      </c>
      <c r="Q1057">
        <v>568</v>
      </c>
      <c r="R1057">
        <v>238</v>
      </c>
      <c r="S1057">
        <v>244.8</v>
      </c>
      <c r="T1057">
        <v>388</v>
      </c>
      <c r="U1057">
        <v>385</v>
      </c>
      <c r="V1057">
        <v>500</v>
      </c>
      <c r="W1057">
        <v>2.79</v>
      </c>
    </row>
    <row r="1058" spans="1:23" x14ac:dyDescent="0.25">
      <c r="A1058" t="s">
        <v>38</v>
      </c>
      <c r="B1058">
        <v>4</v>
      </c>
      <c r="C1058">
        <v>21</v>
      </c>
      <c r="D1058">
        <v>2006</v>
      </c>
      <c r="E1058">
        <v>229.1</v>
      </c>
      <c r="F1058">
        <v>4.8</v>
      </c>
      <c r="G1058">
        <v>4.2</v>
      </c>
      <c r="H1058">
        <v>0.6</v>
      </c>
      <c r="I1058">
        <v>12</v>
      </c>
      <c r="J1058">
        <v>68.400000000000006</v>
      </c>
      <c r="K1058">
        <v>1648.9</v>
      </c>
      <c r="L1058">
        <v>408</v>
      </c>
      <c r="M1058">
        <v>387</v>
      </c>
      <c r="N1058">
        <v>556</v>
      </c>
      <c r="O1058">
        <v>169</v>
      </c>
      <c r="P1058">
        <v>328</v>
      </c>
      <c r="Q1058">
        <v>574</v>
      </c>
      <c r="R1058">
        <v>246</v>
      </c>
      <c r="S1058">
        <v>244.8</v>
      </c>
      <c r="T1058">
        <v>388</v>
      </c>
      <c r="U1058">
        <v>385</v>
      </c>
      <c r="V1058">
        <v>500</v>
      </c>
      <c r="W1058">
        <v>2.79</v>
      </c>
    </row>
    <row r="1059" spans="1:23" x14ac:dyDescent="0.25">
      <c r="A1059" t="s">
        <v>38</v>
      </c>
      <c r="B1059">
        <v>4</v>
      </c>
      <c r="C1059">
        <v>22</v>
      </c>
      <c r="D1059">
        <v>2007</v>
      </c>
      <c r="E1059">
        <v>235.4</v>
      </c>
      <c r="F1059">
        <v>6.3</v>
      </c>
      <c r="G1059">
        <v>5.0999999999999996</v>
      </c>
      <c r="H1059">
        <v>1.2</v>
      </c>
      <c r="I1059">
        <v>19</v>
      </c>
      <c r="J1059">
        <v>91.9</v>
      </c>
      <c r="K1059">
        <v>1740.9</v>
      </c>
      <c r="L1059">
        <v>407</v>
      </c>
      <c r="M1059">
        <v>376</v>
      </c>
      <c r="N1059">
        <v>540</v>
      </c>
      <c r="O1059">
        <v>164</v>
      </c>
      <c r="P1059">
        <v>330</v>
      </c>
      <c r="Q1059">
        <v>549</v>
      </c>
      <c r="R1059">
        <v>219</v>
      </c>
      <c r="S1059">
        <v>244.8</v>
      </c>
      <c r="T1059">
        <v>388</v>
      </c>
      <c r="U1059">
        <v>385</v>
      </c>
      <c r="V1059">
        <v>500</v>
      </c>
      <c r="W1059">
        <v>2.79</v>
      </c>
    </row>
    <row r="1060" spans="1:23" x14ac:dyDescent="0.25">
      <c r="A1060" t="s">
        <v>38</v>
      </c>
      <c r="B1060">
        <v>4</v>
      </c>
      <c r="C1060">
        <v>23</v>
      </c>
      <c r="D1060">
        <v>2008</v>
      </c>
      <c r="E1060">
        <v>241.7</v>
      </c>
      <c r="F1060">
        <v>6.3</v>
      </c>
      <c r="G1060">
        <v>5.4</v>
      </c>
      <c r="H1060">
        <v>0.9</v>
      </c>
      <c r="I1060">
        <v>14</v>
      </c>
      <c r="J1060">
        <v>94.4</v>
      </c>
      <c r="K1060">
        <v>1835.3</v>
      </c>
      <c r="L1060">
        <v>400</v>
      </c>
      <c r="M1060">
        <v>375</v>
      </c>
      <c r="N1060">
        <v>551</v>
      </c>
      <c r="O1060">
        <v>176</v>
      </c>
      <c r="P1060">
        <v>320</v>
      </c>
      <c r="Q1060">
        <v>573</v>
      </c>
      <c r="R1060">
        <v>253</v>
      </c>
      <c r="S1060">
        <v>244.8</v>
      </c>
      <c r="T1060">
        <v>388</v>
      </c>
      <c r="U1060">
        <v>385</v>
      </c>
      <c r="V1060">
        <v>500</v>
      </c>
      <c r="W1060">
        <v>2.79</v>
      </c>
    </row>
    <row r="1061" spans="1:23" x14ac:dyDescent="0.25">
      <c r="A1061" t="s">
        <v>38</v>
      </c>
      <c r="B1061">
        <v>4</v>
      </c>
      <c r="C1061">
        <v>24</v>
      </c>
      <c r="D1061">
        <v>2009</v>
      </c>
      <c r="E1061">
        <v>248.3</v>
      </c>
      <c r="F1061">
        <v>6.6</v>
      </c>
      <c r="G1061">
        <v>5.0999999999999996</v>
      </c>
      <c r="H1061">
        <v>1.5</v>
      </c>
      <c r="I1061">
        <v>22</v>
      </c>
      <c r="J1061">
        <v>101.6</v>
      </c>
      <c r="K1061">
        <v>1936.9</v>
      </c>
      <c r="L1061">
        <v>416</v>
      </c>
      <c r="M1061">
        <v>383</v>
      </c>
      <c r="N1061">
        <v>530</v>
      </c>
      <c r="O1061">
        <v>147</v>
      </c>
      <c r="P1061">
        <v>326</v>
      </c>
      <c r="Q1061">
        <v>553</v>
      </c>
      <c r="R1061">
        <v>227</v>
      </c>
      <c r="S1061">
        <v>244.8</v>
      </c>
      <c r="T1061">
        <v>388</v>
      </c>
      <c r="U1061">
        <v>385</v>
      </c>
      <c r="V1061">
        <v>500</v>
      </c>
      <c r="W1061">
        <v>2.79</v>
      </c>
    </row>
    <row r="1062" spans="1:23" x14ac:dyDescent="0.25">
      <c r="A1062" t="s">
        <v>38</v>
      </c>
      <c r="B1062">
        <v>4</v>
      </c>
      <c r="C1062">
        <v>25</v>
      </c>
      <c r="D1062">
        <v>2010</v>
      </c>
      <c r="E1062">
        <v>254</v>
      </c>
      <c r="F1062">
        <v>5.7</v>
      </c>
      <c r="G1062">
        <v>5.0999999999999996</v>
      </c>
      <c r="H1062">
        <v>0.6</v>
      </c>
      <c r="I1062">
        <v>10</v>
      </c>
      <c r="J1062">
        <v>89.9</v>
      </c>
      <c r="K1062">
        <v>2026.8</v>
      </c>
      <c r="L1062">
        <v>397</v>
      </c>
      <c r="M1062">
        <v>378</v>
      </c>
      <c r="N1062">
        <v>555</v>
      </c>
      <c r="O1062">
        <v>177</v>
      </c>
      <c r="P1062">
        <v>313</v>
      </c>
      <c r="Q1062">
        <v>581</v>
      </c>
      <c r="R1062">
        <v>268</v>
      </c>
      <c r="S1062">
        <v>244.8</v>
      </c>
      <c r="T1062">
        <v>388</v>
      </c>
      <c r="U1062">
        <v>385</v>
      </c>
      <c r="V1062">
        <v>500</v>
      </c>
      <c r="W1062">
        <v>2.79</v>
      </c>
    </row>
    <row r="1063" spans="1:23" x14ac:dyDescent="0.25">
      <c r="A1063" t="s">
        <v>38</v>
      </c>
      <c r="B1063">
        <v>4</v>
      </c>
      <c r="C1063">
        <v>26</v>
      </c>
      <c r="D1063">
        <v>2011</v>
      </c>
      <c r="E1063">
        <v>260.89999999999998</v>
      </c>
      <c r="F1063">
        <v>6.9</v>
      </c>
      <c r="G1063">
        <v>5.7</v>
      </c>
      <c r="H1063">
        <v>1.2</v>
      </c>
      <c r="I1063">
        <v>17</v>
      </c>
      <c r="J1063">
        <v>111.6</v>
      </c>
      <c r="K1063">
        <v>2138.4</v>
      </c>
      <c r="L1063">
        <v>391</v>
      </c>
      <c r="M1063">
        <v>357</v>
      </c>
      <c r="N1063">
        <v>551</v>
      </c>
      <c r="O1063">
        <v>194</v>
      </c>
      <c r="P1063">
        <v>303</v>
      </c>
      <c r="Q1063">
        <v>580</v>
      </c>
      <c r="R1063">
        <v>277</v>
      </c>
      <c r="S1063">
        <v>244.8</v>
      </c>
      <c r="T1063">
        <v>388</v>
      </c>
      <c r="U1063">
        <v>385</v>
      </c>
      <c r="V1063">
        <v>500</v>
      </c>
      <c r="W1063">
        <v>2.79</v>
      </c>
    </row>
    <row r="1064" spans="1:23" x14ac:dyDescent="0.25">
      <c r="A1064" t="s">
        <v>38</v>
      </c>
      <c r="B1064">
        <v>4</v>
      </c>
      <c r="C1064">
        <v>27</v>
      </c>
      <c r="D1064">
        <v>2012</v>
      </c>
      <c r="E1064">
        <v>264.8</v>
      </c>
      <c r="F1064">
        <v>3.9</v>
      </c>
      <c r="G1064">
        <v>3.6</v>
      </c>
      <c r="H1064">
        <v>0.3</v>
      </c>
      <c r="I1064">
        <v>7</v>
      </c>
      <c r="J1064">
        <v>64.400000000000006</v>
      </c>
      <c r="K1064">
        <v>2202.9</v>
      </c>
      <c r="L1064">
        <v>351</v>
      </c>
      <c r="M1064">
        <v>335</v>
      </c>
      <c r="N1064">
        <v>539</v>
      </c>
      <c r="O1064">
        <v>204</v>
      </c>
      <c r="P1064">
        <v>178</v>
      </c>
      <c r="Q1064">
        <v>539</v>
      </c>
      <c r="R1064">
        <v>361</v>
      </c>
      <c r="S1064">
        <v>244.8</v>
      </c>
      <c r="T1064">
        <v>388</v>
      </c>
      <c r="U1064">
        <v>385</v>
      </c>
      <c r="V1064">
        <v>500</v>
      </c>
      <c r="W1064">
        <v>2.79</v>
      </c>
    </row>
    <row r="1065" spans="1:23" x14ac:dyDescent="0.25">
      <c r="A1065" t="s">
        <v>38</v>
      </c>
      <c r="B1065">
        <v>5</v>
      </c>
      <c r="C1065">
        <v>4</v>
      </c>
      <c r="D1065">
        <v>1989</v>
      </c>
      <c r="E1065">
        <v>30.5</v>
      </c>
      <c r="F1065">
        <v>30.5</v>
      </c>
      <c r="G1065">
        <v>8.4</v>
      </c>
      <c r="H1065">
        <v>2.1</v>
      </c>
      <c r="I1065">
        <v>6</v>
      </c>
      <c r="J1065">
        <v>29.2</v>
      </c>
      <c r="K1065">
        <v>29.2</v>
      </c>
      <c r="L1065">
        <v>415</v>
      </c>
      <c r="M1065">
        <v>384</v>
      </c>
      <c r="N1065">
        <v>538</v>
      </c>
      <c r="O1065">
        <v>154</v>
      </c>
      <c r="P1065">
        <v>285</v>
      </c>
      <c r="Q1065">
        <v>558</v>
      </c>
      <c r="R1065">
        <v>273</v>
      </c>
      <c r="S1065">
        <v>244.5</v>
      </c>
      <c r="T1065">
        <v>434</v>
      </c>
      <c r="U1065">
        <v>429</v>
      </c>
      <c r="V1065">
        <v>500</v>
      </c>
      <c r="W1065">
        <v>2.79</v>
      </c>
    </row>
    <row r="1066" spans="1:23" x14ac:dyDescent="0.25">
      <c r="A1066" t="s">
        <v>38</v>
      </c>
      <c r="B1066">
        <v>5</v>
      </c>
      <c r="C1066">
        <v>5</v>
      </c>
      <c r="D1066">
        <v>1990</v>
      </c>
      <c r="E1066">
        <v>40.4</v>
      </c>
      <c r="F1066">
        <v>9.9</v>
      </c>
      <c r="G1066">
        <v>7.8</v>
      </c>
      <c r="H1066">
        <v>2.1</v>
      </c>
      <c r="I1066">
        <v>21</v>
      </c>
      <c r="J1066">
        <v>22.1</v>
      </c>
      <c r="K1066">
        <v>51.3</v>
      </c>
      <c r="L1066">
        <v>460</v>
      </c>
      <c r="M1066">
        <v>436</v>
      </c>
      <c r="N1066">
        <v>549</v>
      </c>
      <c r="O1066">
        <v>113</v>
      </c>
      <c r="P1066">
        <v>388</v>
      </c>
      <c r="Q1066">
        <v>605</v>
      </c>
      <c r="R1066">
        <v>217</v>
      </c>
      <c r="S1066">
        <v>244.5</v>
      </c>
      <c r="T1066">
        <v>434</v>
      </c>
      <c r="U1066">
        <v>429</v>
      </c>
      <c r="V1066">
        <v>500</v>
      </c>
      <c r="W1066">
        <v>2.79</v>
      </c>
    </row>
    <row r="1067" spans="1:23" x14ac:dyDescent="0.25">
      <c r="A1067" t="s">
        <v>38</v>
      </c>
      <c r="B1067">
        <v>5</v>
      </c>
      <c r="C1067">
        <v>6</v>
      </c>
      <c r="D1067">
        <v>1991</v>
      </c>
      <c r="E1067">
        <v>55.7</v>
      </c>
      <c r="F1067">
        <v>15.3</v>
      </c>
      <c r="G1067">
        <v>10.8</v>
      </c>
      <c r="H1067">
        <v>4.5</v>
      </c>
      <c r="I1067">
        <v>29</v>
      </c>
      <c r="J1067">
        <v>46.2</v>
      </c>
      <c r="K1067">
        <v>97.5</v>
      </c>
      <c r="L1067">
        <v>482</v>
      </c>
      <c r="M1067">
        <v>455</v>
      </c>
      <c r="N1067">
        <v>545</v>
      </c>
      <c r="O1067">
        <v>90</v>
      </c>
      <c r="P1067">
        <v>413</v>
      </c>
      <c r="Q1067">
        <v>583</v>
      </c>
      <c r="R1067">
        <v>170</v>
      </c>
      <c r="S1067">
        <v>244.5</v>
      </c>
      <c r="T1067">
        <v>434</v>
      </c>
      <c r="U1067">
        <v>429</v>
      </c>
      <c r="V1067">
        <v>500</v>
      </c>
      <c r="W1067">
        <v>2.79</v>
      </c>
    </row>
    <row r="1068" spans="1:23" x14ac:dyDescent="0.25">
      <c r="A1068" t="s">
        <v>38</v>
      </c>
      <c r="B1068">
        <v>5</v>
      </c>
      <c r="C1068">
        <v>7</v>
      </c>
      <c r="D1068">
        <v>1992</v>
      </c>
      <c r="E1068">
        <v>72.8</v>
      </c>
      <c r="F1068">
        <v>17.100000000000001</v>
      </c>
      <c r="G1068">
        <v>14.7</v>
      </c>
      <c r="H1068">
        <v>2.4</v>
      </c>
      <c r="I1068">
        <v>14</v>
      </c>
      <c r="J1068">
        <v>69</v>
      </c>
      <c r="K1068">
        <v>166.5</v>
      </c>
      <c r="L1068">
        <v>421</v>
      </c>
      <c r="M1068">
        <v>399</v>
      </c>
      <c r="N1068">
        <v>552</v>
      </c>
      <c r="O1068">
        <v>153</v>
      </c>
      <c r="P1068">
        <v>349</v>
      </c>
      <c r="Q1068">
        <v>571</v>
      </c>
      <c r="R1068">
        <v>222</v>
      </c>
      <c r="S1068">
        <v>244.5</v>
      </c>
      <c r="T1068">
        <v>434</v>
      </c>
      <c r="U1068">
        <v>429</v>
      </c>
      <c r="V1068">
        <v>500</v>
      </c>
      <c r="W1068">
        <v>2.79</v>
      </c>
    </row>
    <row r="1069" spans="1:23" x14ac:dyDescent="0.25">
      <c r="A1069" t="s">
        <v>38</v>
      </c>
      <c r="B1069">
        <v>5</v>
      </c>
      <c r="C1069">
        <v>8</v>
      </c>
      <c r="D1069">
        <v>1993</v>
      </c>
      <c r="E1069">
        <v>94.1</v>
      </c>
      <c r="F1069">
        <v>21.3</v>
      </c>
      <c r="G1069">
        <v>17.7</v>
      </c>
      <c r="H1069">
        <v>3.6</v>
      </c>
      <c r="I1069">
        <v>16</v>
      </c>
      <c r="J1069">
        <v>111.7</v>
      </c>
      <c r="K1069">
        <v>278.2</v>
      </c>
      <c r="L1069">
        <v>403</v>
      </c>
      <c r="M1069">
        <v>378</v>
      </c>
      <c r="N1069">
        <v>526</v>
      </c>
      <c r="O1069">
        <v>148</v>
      </c>
      <c r="P1069">
        <v>316</v>
      </c>
      <c r="Q1069">
        <v>553</v>
      </c>
      <c r="R1069">
        <v>237</v>
      </c>
      <c r="S1069">
        <v>244.5</v>
      </c>
      <c r="T1069">
        <v>434</v>
      </c>
      <c r="U1069">
        <v>429</v>
      </c>
      <c r="V1069">
        <v>500</v>
      </c>
      <c r="W1069">
        <v>2.79</v>
      </c>
    </row>
    <row r="1070" spans="1:23" x14ac:dyDescent="0.25">
      <c r="A1070" t="s">
        <v>38</v>
      </c>
      <c r="B1070">
        <v>5</v>
      </c>
      <c r="C1070">
        <v>9</v>
      </c>
      <c r="D1070">
        <v>1994</v>
      </c>
      <c r="E1070">
        <v>113</v>
      </c>
      <c r="F1070">
        <v>18.899999999999999</v>
      </c>
      <c r="G1070">
        <v>16.2</v>
      </c>
      <c r="H1070">
        <v>2.7</v>
      </c>
      <c r="I1070">
        <v>14</v>
      </c>
      <c r="J1070">
        <v>123</v>
      </c>
      <c r="K1070">
        <v>401.1</v>
      </c>
      <c r="L1070">
        <v>393</v>
      </c>
      <c r="M1070">
        <v>372</v>
      </c>
      <c r="N1070">
        <v>514</v>
      </c>
      <c r="O1070">
        <v>142</v>
      </c>
      <c r="P1070">
        <v>312</v>
      </c>
      <c r="Q1070">
        <v>537</v>
      </c>
      <c r="R1070">
        <v>225</v>
      </c>
      <c r="S1070">
        <v>244.5</v>
      </c>
      <c r="T1070">
        <v>434</v>
      </c>
      <c r="U1070">
        <v>429</v>
      </c>
      <c r="V1070">
        <v>500</v>
      </c>
      <c r="W1070">
        <v>2.79</v>
      </c>
    </row>
    <row r="1071" spans="1:23" x14ac:dyDescent="0.25">
      <c r="A1071" t="s">
        <v>38</v>
      </c>
      <c r="B1071">
        <v>5</v>
      </c>
      <c r="C1071">
        <v>10</v>
      </c>
      <c r="D1071">
        <v>1995</v>
      </c>
      <c r="E1071">
        <v>131.30000000000001</v>
      </c>
      <c r="F1071">
        <v>18.3</v>
      </c>
      <c r="G1071">
        <v>17.399999999999999</v>
      </c>
      <c r="H1071">
        <v>0.9</v>
      </c>
      <c r="I1071">
        <v>4</v>
      </c>
      <c r="J1071">
        <v>140.5</v>
      </c>
      <c r="K1071">
        <v>541.6</v>
      </c>
      <c r="L1071">
        <v>394</v>
      </c>
      <c r="M1071">
        <v>387</v>
      </c>
      <c r="N1071">
        <v>516</v>
      </c>
      <c r="O1071">
        <v>129</v>
      </c>
      <c r="P1071">
        <v>325</v>
      </c>
      <c r="Q1071">
        <v>522</v>
      </c>
      <c r="R1071">
        <v>197</v>
      </c>
      <c r="S1071">
        <v>244.5</v>
      </c>
      <c r="T1071">
        <v>434</v>
      </c>
      <c r="U1071">
        <v>429</v>
      </c>
      <c r="V1071">
        <v>500</v>
      </c>
      <c r="W1071">
        <v>2.79</v>
      </c>
    </row>
    <row r="1072" spans="1:23" x14ac:dyDescent="0.25">
      <c r="A1072" t="s">
        <v>38</v>
      </c>
      <c r="B1072">
        <v>5</v>
      </c>
      <c r="C1072">
        <v>11</v>
      </c>
      <c r="D1072">
        <v>1996</v>
      </c>
      <c r="E1072">
        <v>147.19999999999999</v>
      </c>
      <c r="F1072">
        <v>15.9</v>
      </c>
      <c r="G1072">
        <v>13.8</v>
      </c>
      <c r="H1072">
        <v>2.1</v>
      </c>
      <c r="I1072">
        <v>13</v>
      </c>
      <c r="J1072">
        <v>139.1</v>
      </c>
      <c r="K1072">
        <v>680.7</v>
      </c>
      <c r="L1072">
        <v>380</v>
      </c>
      <c r="M1072">
        <v>360</v>
      </c>
      <c r="N1072">
        <v>514</v>
      </c>
      <c r="O1072">
        <v>154</v>
      </c>
      <c r="P1072">
        <v>317</v>
      </c>
      <c r="Q1072">
        <v>526</v>
      </c>
      <c r="R1072">
        <v>209</v>
      </c>
      <c r="S1072">
        <v>244.5</v>
      </c>
      <c r="T1072">
        <v>434</v>
      </c>
      <c r="U1072">
        <v>429</v>
      </c>
      <c r="V1072">
        <v>500</v>
      </c>
      <c r="W1072">
        <v>2.79</v>
      </c>
    </row>
    <row r="1073" spans="1:23" x14ac:dyDescent="0.25">
      <c r="A1073" t="s">
        <v>38</v>
      </c>
      <c r="B1073">
        <v>5</v>
      </c>
      <c r="C1073">
        <v>12</v>
      </c>
      <c r="D1073">
        <v>1997</v>
      </c>
      <c r="E1073">
        <v>161</v>
      </c>
      <c r="F1073">
        <v>13.8</v>
      </c>
      <c r="G1073">
        <v>12.3</v>
      </c>
      <c r="H1073">
        <v>1.5</v>
      </c>
      <c r="I1073">
        <v>10</v>
      </c>
      <c r="J1073">
        <v>133.6</v>
      </c>
      <c r="K1073">
        <v>814.3</v>
      </c>
      <c r="L1073">
        <v>392</v>
      </c>
      <c r="M1073">
        <v>373</v>
      </c>
      <c r="N1073">
        <v>548</v>
      </c>
      <c r="O1073">
        <v>175</v>
      </c>
      <c r="P1073">
        <v>334</v>
      </c>
      <c r="Q1073">
        <v>563</v>
      </c>
      <c r="R1073">
        <v>229</v>
      </c>
      <c r="S1073">
        <v>244.5</v>
      </c>
      <c r="T1073">
        <v>434</v>
      </c>
      <c r="U1073">
        <v>429</v>
      </c>
      <c r="V1073">
        <v>500</v>
      </c>
      <c r="W1073">
        <v>2.79</v>
      </c>
    </row>
    <row r="1074" spans="1:23" x14ac:dyDescent="0.25">
      <c r="A1074" t="s">
        <v>38</v>
      </c>
      <c r="B1074">
        <v>5</v>
      </c>
      <c r="C1074">
        <v>13</v>
      </c>
      <c r="D1074">
        <v>1998</v>
      </c>
      <c r="E1074">
        <v>168.8</v>
      </c>
      <c r="F1074">
        <v>7.8</v>
      </c>
      <c r="G1074">
        <v>6.6</v>
      </c>
      <c r="H1074">
        <v>1.2</v>
      </c>
      <c r="I1074">
        <v>15</v>
      </c>
      <c r="J1074">
        <v>80.8</v>
      </c>
      <c r="K1074">
        <v>895.1</v>
      </c>
      <c r="L1074">
        <v>409</v>
      </c>
      <c r="M1074">
        <v>384</v>
      </c>
      <c r="N1074">
        <v>551</v>
      </c>
      <c r="O1074">
        <v>167</v>
      </c>
      <c r="P1074">
        <v>333</v>
      </c>
      <c r="Q1074">
        <v>581</v>
      </c>
      <c r="R1074">
        <v>248</v>
      </c>
      <c r="S1074">
        <v>244.5</v>
      </c>
      <c r="T1074">
        <v>434</v>
      </c>
      <c r="U1074">
        <v>429</v>
      </c>
      <c r="V1074">
        <v>500</v>
      </c>
      <c r="W1074">
        <v>2.79</v>
      </c>
    </row>
    <row r="1075" spans="1:23" x14ac:dyDescent="0.25">
      <c r="A1075" t="s">
        <v>38</v>
      </c>
      <c r="B1075">
        <v>5</v>
      </c>
      <c r="C1075">
        <v>14</v>
      </c>
      <c r="D1075">
        <v>1999</v>
      </c>
      <c r="E1075">
        <v>180.2</v>
      </c>
      <c r="F1075">
        <v>11.4</v>
      </c>
      <c r="G1075">
        <v>9.6</v>
      </c>
      <c r="H1075">
        <v>1.8</v>
      </c>
      <c r="I1075">
        <v>15</v>
      </c>
      <c r="J1075">
        <v>125</v>
      </c>
      <c r="K1075">
        <v>1020.1</v>
      </c>
      <c r="L1075">
        <v>437</v>
      </c>
      <c r="M1075">
        <v>416</v>
      </c>
      <c r="N1075">
        <v>546</v>
      </c>
      <c r="O1075">
        <v>130</v>
      </c>
      <c r="P1075">
        <v>336</v>
      </c>
      <c r="Q1075">
        <v>590</v>
      </c>
      <c r="R1075">
        <v>254</v>
      </c>
      <c r="S1075">
        <v>244.5</v>
      </c>
      <c r="T1075">
        <v>434</v>
      </c>
      <c r="U1075">
        <v>429</v>
      </c>
      <c r="V1075">
        <v>500</v>
      </c>
      <c r="W1075">
        <v>2.79</v>
      </c>
    </row>
    <row r="1076" spans="1:23" x14ac:dyDescent="0.25">
      <c r="A1076" t="s">
        <v>38</v>
      </c>
      <c r="B1076">
        <v>5</v>
      </c>
      <c r="C1076">
        <v>15</v>
      </c>
      <c r="D1076">
        <v>2000</v>
      </c>
      <c r="E1076">
        <v>187.7</v>
      </c>
      <c r="F1076">
        <v>7.5</v>
      </c>
      <c r="G1076">
        <v>6.6</v>
      </c>
      <c r="H1076">
        <v>0.9</v>
      </c>
      <c r="I1076">
        <v>12</v>
      </c>
      <c r="J1076">
        <v>86.7</v>
      </c>
      <c r="K1076">
        <v>1106.8</v>
      </c>
      <c r="L1076">
        <v>418</v>
      </c>
      <c r="M1076">
        <v>398</v>
      </c>
      <c r="N1076">
        <v>559</v>
      </c>
      <c r="O1076">
        <v>161</v>
      </c>
      <c r="P1076">
        <v>335</v>
      </c>
      <c r="Q1076">
        <v>592</v>
      </c>
      <c r="R1076">
        <v>257</v>
      </c>
      <c r="S1076">
        <v>244.5</v>
      </c>
      <c r="T1076">
        <v>434</v>
      </c>
      <c r="U1076">
        <v>429</v>
      </c>
      <c r="V1076">
        <v>500</v>
      </c>
      <c r="W1076">
        <v>2.79</v>
      </c>
    </row>
    <row r="1077" spans="1:23" x14ac:dyDescent="0.25">
      <c r="A1077" t="s">
        <v>38</v>
      </c>
      <c r="B1077">
        <v>5</v>
      </c>
      <c r="C1077">
        <v>16</v>
      </c>
      <c r="D1077">
        <v>2001</v>
      </c>
      <c r="E1077">
        <v>195.2</v>
      </c>
      <c r="F1077">
        <v>7.5</v>
      </c>
      <c r="G1077">
        <v>6.3</v>
      </c>
      <c r="H1077">
        <v>1.2</v>
      </c>
      <c r="I1077">
        <v>16</v>
      </c>
      <c r="J1077">
        <v>90.2</v>
      </c>
      <c r="K1077">
        <v>1197</v>
      </c>
      <c r="L1077">
        <v>436</v>
      </c>
      <c r="M1077">
        <v>410</v>
      </c>
      <c r="N1077">
        <v>574</v>
      </c>
      <c r="O1077">
        <v>164</v>
      </c>
      <c r="P1077">
        <v>366</v>
      </c>
      <c r="Q1077">
        <v>604</v>
      </c>
      <c r="R1077">
        <v>238</v>
      </c>
      <c r="S1077">
        <v>244.5</v>
      </c>
      <c r="T1077">
        <v>434</v>
      </c>
      <c r="U1077">
        <v>429</v>
      </c>
      <c r="V1077">
        <v>500</v>
      </c>
      <c r="W1077">
        <v>2.79</v>
      </c>
    </row>
    <row r="1078" spans="1:23" x14ac:dyDescent="0.25">
      <c r="A1078" t="s">
        <v>38</v>
      </c>
      <c r="B1078">
        <v>5</v>
      </c>
      <c r="C1078">
        <v>17</v>
      </c>
      <c r="D1078">
        <v>2002</v>
      </c>
      <c r="E1078">
        <v>202.4</v>
      </c>
      <c r="F1078">
        <v>7.2</v>
      </c>
      <c r="G1078">
        <v>5.4</v>
      </c>
      <c r="H1078">
        <v>1.8</v>
      </c>
      <c r="I1078">
        <v>25</v>
      </c>
      <c r="J1078">
        <v>89.9</v>
      </c>
      <c r="K1078">
        <v>1287</v>
      </c>
      <c r="L1078">
        <v>438</v>
      </c>
      <c r="M1078">
        <v>404</v>
      </c>
      <c r="N1078">
        <v>542</v>
      </c>
      <c r="O1078">
        <v>138</v>
      </c>
      <c r="P1078">
        <v>364</v>
      </c>
      <c r="Q1078">
        <v>597</v>
      </c>
      <c r="R1078">
        <v>233</v>
      </c>
      <c r="S1078">
        <v>244.5</v>
      </c>
      <c r="T1078">
        <v>434</v>
      </c>
      <c r="U1078">
        <v>429</v>
      </c>
      <c r="V1078">
        <v>500</v>
      </c>
      <c r="W1078">
        <v>2.79</v>
      </c>
    </row>
    <row r="1079" spans="1:23" x14ac:dyDescent="0.25">
      <c r="A1079" t="s">
        <v>38</v>
      </c>
      <c r="B1079">
        <v>5</v>
      </c>
      <c r="C1079">
        <v>18</v>
      </c>
      <c r="D1079">
        <v>2003</v>
      </c>
      <c r="E1079">
        <v>209.3</v>
      </c>
      <c r="F1079">
        <v>6.9</v>
      </c>
      <c r="G1079">
        <v>6.3</v>
      </c>
      <c r="H1079">
        <v>0.6</v>
      </c>
      <c r="I1079">
        <v>8</v>
      </c>
      <c r="J1079">
        <v>89.2</v>
      </c>
      <c r="K1079">
        <v>1376.2</v>
      </c>
      <c r="L1079">
        <v>425</v>
      </c>
      <c r="M1079">
        <v>410</v>
      </c>
      <c r="N1079">
        <v>579</v>
      </c>
      <c r="O1079">
        <v>169</v>
      </c>
      <c r="P1079">
        <v>356</v>
      </c>
      <c r="Q1079">
        <v>607</v>
      </c>
      <c r="R1079">
        <v>251</v>
      </c>
      <c r="S1079">
        <v>244.5</v>
      </c>
      <c r="T1079">
        <v>434</v>
      </c>
      <c r="U1079">
        <v>429</v>
      </c>
      <c r="V1079">
        <v>500</v>
      </c>
      <c r="W1079">
        <v>2.79</v>
      </c>
    </row>
    <row r="1080" spans="1:23" x14ac:dyDescent="0.25">
      <c r="A1080" t="s">
        <v>38</v>
      </c>
      <c r="B1080">
        <v>5</v>
      </c>
      <c r="C1080">
        <v>19</v>
      </c>
      <c r="D1080">
        <v>2004</v>
      </c>
      <c r="E1080">
        <v>216.2</v>
      </c>
      <c r="F1080">
        <v>6.9</v>
      </c>
      <c r="G1080">
        <v>5.0999999999999996</v>
      </c>
      <c r="H1080">
        <v>1.8</v>
      </c>
      <c r="I1080">
        <v>26</v>
      </c>
      <c r="J1080">
        <v>92.2</v>
      </c>
      <c r="K1080">
        <v>1468.5</v>
      </c>
      <c r="L1080">
        <v>450</v>
      </c>
      <c r="M1080">
        <v>408</v>
      </c>
      <c r="N1080">
        <v>571</v>
      </c>
      <c r="O1080">
        <v>163</v>
      </c>
      <c r="P1080">
        <v>358</v>
      </c>
      <c r="Q1080">
        <v>601</v>
      </c>
      <c r="R1080">
        <v>243</v>
      </c>
      <c r="S1080">
        <v>244.5</v>
      </c>
      <c r="T1080">
        <v>434</v>
      </c>
      <c r="U1080">
        <v>429</v>
      </c>
      <c r="V1080">
        <v>500</v>
      </c>
      <c r="W1080">
        <v>2.79</v>
      </c>
    </row>
    <row r="1081" spans="1:23" x14ac:dyDescent="0.25">
      <c r="A1081" t="s">
        <v>38</v>
      </c>
      <c r="B1081">
        <v>5</v>
      </c>
      <c r="C1081">
        <v>20</v>
      </c>
      <c r="D1081">
        <v>2005</v>
      </c>
      <c r="E1081">
        <v>222.2</v>
      </c>
      <c r="F1081">
        <v>6</v>
      </c>
      <c r="G1081">
        <v>6</v>
      </c>
      <c r="H1081">
        <v>0</v>
      </c>
      <c r="I1081">
        <v>0</v>
      </c>
      <c r="J1081">
        <v>82.6</v>
      </c>
      <c r="K1081">
        <v>1551.1</v>
      </c>
      <c r="L1081">
        <v>427</v>
      </c>
      <c r="M1081">
        <v>427</v>
      </c>
      <c r="P1081">
        <v>379</v>
      </c>
      <c r="Q1081">
        <v>497</v>
      </c>
      <c r="R1081">
        <v>118</v>
      </c>
      <c r="S1081">
        <v>244.5</v>
      </c>
      <c r="T1081">
        <v>434</v>
      </c>
      <c r="U1081">
        <v>429</v>
      </c>
      <c r="V1081">
        <v>500</v>
      </c>
      <c r="W1081">
        <v>2.79</v>
      </c>
    </row>
    <row r="1082" spans="1:23" x14ac:dyDescent="0.25">
      <c r="A1082" t="s">
        <v>38</v>
      </c>
      <c r="B1082">
        <v>5</v>
      </c>
      <c r="C1082">
        <v>21</v>
      </c>
      <c r="D1082">
        <v>2006</v>
      </c>
      <c r="E1082">
        <v>228.5</v>
      </c>
      <c r="F1082">
        <v>6.3</v>
      </c>
      <c r="G1082">
        <v>5.0999999999999996</v>
      </c>
      <c r="H1082">
        <v>1.2</v>
      </c>
      <c r="I1082">
        <v>19</v>
      </c>
      <c r="J1082">
        <v>89.2</v>
      </c>
      <c r="K1082">
        <v>1640.3</v>
      </c>
      <c r="L1082">
        <v>441</v>
      </c>
      <c r="M1082">
        <v>410</v>
      </c>
      <c r="N1082">
        <v>574</v>
      </c>
      <c r="O1082">
        <v>164</v>
      </c>
      <c r="P1082">
        <v>357</v>
      </c>
      <c r="Q1082">
        <v>589</v>
      </c>
      <c r="R1082">
        <v>232</v>
      </c>
      <c r="S1082">
        <v>244.5</v>
      </c>
      <c r="T1082">
        <v>434</v>
      </c>
      <c r="U1082">
        <v>429</v>
      </c>
      <c r="V1082">
        <v>500</v>
      </c>
      <c r="W1082">
        <v>2.79</v>
      </c>
    </row>
    <row r="1083" spans="1:23" x14ac:dyDescent="0.25">
      <c r="A1083" t="s">
        <v>38</v>
      </c>
      <c r="B1083">
        <v>5</v>
      </c>
      <c r="C1083">
        <v>22</v>
      </c>
      <c r="D1083">
        <v>2007</v>
      </c>
      <c r="E1083">
        <v>233.9</v>
      </c>
      <c r="F1083">
        <v>5.4</v>
      </c>
      <c r="G1083">
        <v>3.9</v>
      </c>
      <c r="H1083">
        <v>1.5</v>
      </c>
      <c r="I1083">
        <v>27</v>
      </c>
      <c r="J1083">
        <v>78.400000000000006</v>
      </c>
      <c r="K1083">
        <v>1718.7</v>
      </c>
      <c r="L1083">
        <v>478</v>
      </c>
      <c r="M1083">
        <v>444</v>
      </c>
      <c r="N1083">
        <v>564</v>
      </c>
      <c r="O1083">
        <v>120</v>
      </c>
      <c r="P1083">
        <v>377</v>
      </c>
      <c r="Q1083">
        <v>628</v>
      </c>
      <c r="R1083">
        <v>251</v>
      </c>
      <c r="S1083">
        <v>244.5</v>
      </c>
      <c r="T1083">
        <v>434</v>
      </c>
      <c r="U1083">
        <v>429</v>
      </c>
      <c r="V1083">
        <v>500</v>
      </c>
      <c r="W1083">
        <v>2.79</v>
      </c>
    </row>
    <row r="1084" spans="1:23" x14ac:dyDescent="0.25">
      <c r="A1084" t="s">
        <v>38</v>
      </c>
      <c r="B1084">
        <v>5</v>
      </c>
      <c r="C1084">
        <v>23</v>
      </c>
      <c r="D1084">
        <v>2008</v>
      </c>
      <c r="E1084">
        <v>240.2</v>
      </c>
      <c r="F1084">
        <v>6.3</v>
      </c>
      <c r="G1084">
        <v>4.5</v>
      </c>
      <c r="H1084">
        <v>1.8</v>
      </c>
      <c r="I1084">
        <v>28</v>
      </c>
      <c r="J1084">
        <v>93.8</v>
      </c>
      <c r="K1084">
        <v>1812.6</v>
      </c>
      <c r="L1084">
        <v>457</v>
      </c>
      <c r="M1084">
        <v>419</v>
      </c>
      <c r="N1084">
        <v>552</v>
      </c>
      <c r="O1084">
        <v>133</v>
      </c>
      <c r="P1084">
        <v>383</v>
      </c>
      <c r="Q1084">
        <v>600</v>
      </c>
      <c r="R1084">
        <v>217</v>
      </c>
      <c r="S1084">
        <v>244.5</v>
      </c>
      <c r="T1084">
        <v>434</v>
      </c>
      <c r="U1084">
        <v>429</v>
      </c>
      <c r="V1084">
        <v>500</v>
      </c>
      <c r="W1084">
        <v>2.79</v>
      </c>
    </row>
    <row r="1085" spans="1:23" x14ac:dyDescent="0.25">
      <c r="A1085" t="s">
        <v>38</v>
      </c>
      <c r="B1085">
        <v>5</v>
      </c>
      <c r="C1085">
        <v>24</v>
      </c>
      <c r="D1085">
        <v>2009</v>
      </c>
      <c r="E1085">
        <v>247.4</v>
      </c>
      <c r="F1085">
        <v>7.2</v>
      </c>
      <c r="G1085">
        <v>5.0999999999999996</v>
      </c>
      <c r="H1085">
        <v>2.1</v>
      </c>
      <c r="I1085">
        <v>29</v>
      </c>
      <c r="J1085">
        <v>110.3</v>
      </c>
      <c r="K1085">
        <v>1922.9</v>
      </c>
      <c r="L1085">
        <v>482</v>
      </c>
      <c r="M1085">
        <v>440</v>
      </c>
      <c r="N1085">
        <v>586</v>
      </c>
      <c r="O1085">
        <v>146</v>
      </c>
      <c r="P1085">
        <v>392</v>
      </c>
      <c r="Q1085">
        <v>646</v>
      </c>
      <c r="R1085">
        <v>254</v>
      </c>
      <c r="S1085">
        <v>244.5</v>
      </c>
      <c r="T1085">
        <v>434</v>
      </c>
      <c r="U1085">
        <v>429</v>
      </c>
      <c r="V1085">
        <v>500</v>
      </c>
      <c r="W1085">
        <v>2.79</v>
      </c>
    </row>
    <row r="1086" spans="1:23" x14ac:dyDescent="0.25">
      <c r="A1086" t="s">
        <v>38</v>
      </c>
      <c r="B1086">
        <v>5</v>
      </c>
      <c r="C1086">
        <v>25</v>
      </c>
      <c r="D1086">
        <v>2010</v>
      </c>
      <c r="E1086">
        <v>252.8</v>
      </c>
      <c r="F1086">
        <v>5.4</v>
      </c>
      <c r="G1086">
        <v>3.9</v>
      </c>
      <c r="H1086">
        <v>1.5</v>
      </c>
      <c r="I1086">
        <v>27</v>
      </c>
      <c r="J1086">
        <v>84.9</v>
      </c>
      <c r="K1086">
        <v>2007.7</v>
      </c>
      <c r="L1086">
        <v>466</v>
      </c>
      <c r="M1086">
        <v>437</v>
      </c>
      <c r="N1086">
        <v>541</v>
      </c>
      <c r="O1086">
        <v>104</v>
      </c>
      <c r="P1086">
        <v>408</v>
      </c>
      <c r="Q1086">
        <v>589</v>
      </c>
      <c r="R1086">
        <v>181</v>
      </c>
      <c r="S1086">
        <v>244.5</v>
      </c>
      <c r="T1086">
        <v>434</v>
      </c>
      <c r="U1086">
        <v>429</v>
      </c>
      <c r="V1086">
        <v>500</v>
      </c>
      <c r="W1086">
        <v>2.79</v>
      </c>
    </row>
    <row r="1087" spans="1:23" x14ac:dyDescent="0.25">
      <c r="A1087" t="s">
        <v>38</v>
      </c>
      <c r="B1087">
        <v>5</v>
      </c>
      <c r="C1087">
        <v>26</v>
      </c>
      <c r="D1087">
        <v>2011</v>
      </c>
      <c r="E1087">
        <v>259.39999999999998</v>
      </c>
      <c r="F1087">
        <v>6.6</v>
      </c>
      <c r="G1087">
        <v>4.8</v>
      </c>
      <c r="H1087">
        <v>1.8</v>
      </c>
      <c r="I1087">
        <v>27</v>
      </c>
      <c r="J1087">
        <v>106.2</v>
      </c>
      <c r="K1087">
        <v>2113.9</v>
      </c>
      <c r="L1087">
        <v>465</v>
      </c>
      <c r="M1087">
        <v>430</v>
      </c>
      <c r="N1087">
        <v>558</v>
      </c>
      <c r="O1087">
        <v>128</v>
      </c>
      <c r="P1087">
        <v>387</v>
      </c>
      <c r="Q1087">
        <v>622</v>
      </c>
      <c r="R1087">
        <v>235</v>
      </c>
      <c r="S1087">
        <v>244.5</v>
      </c>
      <c r="T1087">
        <v>434</v>
      </c>
      <c r="U1087">
        <v>429</v>
      </c>
      <c r="V1087">
        <v>500</v>
      </c>
      <c r="W1087">
        <v>2.79</v>
      </c>
    </row>
    <row r="1088" spans="1:23" x14ac:dyDescent="0.25">
      <c r="A1088" t="s">
        <v>38</v>
      </c>
      <c r="B1088">
        <v>5</v>
      </c>
      <c r="C1088">
        <v>27</v>
      </c>
      <c r="D1088">
        <v>2012</v>
      </c>
      <c r="E1088">
        <v>264.5</v>
      </c>
      <c r="F1088">
        <v>5.0999999999999996</v>
      </c>
      <c r="G1088">
        <v>4.5</v>
      </c>
      <c r="H1088">
        <v>0.6</v>
      </c>
      <c r="I1088">
        <v>11</v>
      </c>
      <c r="J1088">
        <v>83.9</v>
      </c>
      <c r="K1088">
        <v>2197.9</v>
      </c>
      <c r="L1088">
        <v>451</v>
      </c>
      <c r="M1088">
        <v>437</v>
      </c>
      <c r="N1088">
        <v>556</v>
      </c>
      <c r="O1088">
        <v>119</v>
      </c>
      <c r="P1088">
        <v>412</v>
      </c>
      <c r="Q1088">
        <v>570</v>
      </c>
      <c r="R1088">
        <v>158</v>
      </c>
      <c r="S1088">
        <v>244.5</v>
      </c>
      <c r="T1088">
        <v>434</v>
      </c>
      <c r="U1088">
        <v>429</v>
      </c>
      <c r="V1088">
        <v>500</v>
      </c>
      <c r="W1088">
        <v>2.79</v>
      </c>
    </row>
    <row r="1089" spans="1:23" x14ac:dyDescent="0.25">
      <c r="A1089" t="s">
        <v>38</v>
      </c>
      <c r="B1089">
        <v>6</v>
      </c>
      <c r="C1089">
        <v>2</v>
      </c>
      <c r="D1089">
        <v>1988</v>
      </c>
      <c r="E1089">
        <v>39.5</v>
      </c>
      <c r="F1089">
        <v>39.5</v>
      </c>
      <c r="G1089">
        <v>18.600000000000001</v>
      </c>
      <c r="H1089">
        <v>0.9</v>
      </c>
      <c r="I1089">
        <v>2</v>
      </c>
      <c r="J1089">
        <v>49</v>
      </c>
      <c r="K1089">
        <v>49</v>
      </c>
      <c r="L1089">
        <v>350</v>
      </c>
      <c r="M1089">
        <v>342</v>
      </c>
      <c r="N1089">
        <v>514</v>
      </c>
      <c r="O1089">
        <v>172</v>
      </c>
      <c r="P1089">
        <v>269</v>
      </c>
      <c r="Q1089">
        <v>516</v>
      </c>
      <c r="R1089">
        <v>247</v>
      </c>
      <c r="S1089">
        <v>256.8</v>
      </c>
      <c r="T1089">
        <v>400</v>
      </c>
      <c r="U1089">
        <v>395</v>
      </c>
      <c r="V1089">
        <v>500</v>
      </c>
      <c r="W1089">
        <v>2.79</v>
      </c>
    </row>
    <row r="1090" spans="1:23" x14ac:dyDescent="0.25">
      <c r="A1090" t="s">
        <v>38</v>
      </c>
      <c r="B1090">
        <v>6</v>
      </c>
      <c r="C1090">
        <v>3</v>
      </c>
      <c r="D1090">
        <v>1989</v>
      </c>
      <c r="E1090">
        <v>57.5</v>
      </c>
      <c r="F1090">
        <v>18</v>
      </c>
      <c r="G1090">
        <v>17.100000000000001</v>
      </c>
      <c r="H1090">
        <v>0.9</v>
      </c>
      <c r="I1090">
        <v>5</v>
      </c>
      <c r="J1090">
        <v>54.9</v>
      </c>
      <c r="K1090">
        <v>103.9</v>
      </c>
      <c r="L1090">
        <v>398</v>
      </c>
      <c r="M1090">
        <v>392</v>
      </c>
      <c r="N1090">
        <v>504</v>
      </c>
      <c r="O1090">
        <v>112</v>
      </c>
      <c r="P1090">
        <v>319</v>
      </c>
      <c r="Q1090">
        <v>511</v>
      </c>
      <c r="R1090">
        <v>192</v>
      </c>
      <c r="S1090">
        <v>256.8</v>
      </c>
      <c r="T1090">
        <v>400</v>
      </c>
      <c r="U1090">
        <v>395</v>
      </c>
      <c r="V1090">
        <v>500</v>
      </c>
      <c r="W1090">
        <v>2.79</v>
      </c>
    </row>
    <row r="1091" spans="1:23" x14ac:dyDescent="0.25">
      <c r="A1091" t="s">
        <v>38</v>
      </c>
      <c r="B1091">
        <v>6</v>
      </c>
      <c r="C1091">
        <v>4</v>
      </c>
      <c r="D1091">
        <v>1990</v>
      </c>
      <c r="E1091">
        <v>69.2</v>
      </c>
      <c r="F1091">
        <v>11.7</v>
      </c>
      <c r="G1091">
        <v>9.6</v>
      </c>
      <c r="H1091">
        <v>2.1</v>
      </c>
      <c r="I1091">
        <v>17</v>
      </c>
      <c r="J1091">
        <v>46.6</v>
      </c>
      <c r="K1091">
        <v>150.4</v>
      </c>
      <c r="L1091">
        <v>396</v>
      </c>
      <c r="M1091">
        <v>363</v>
      </c>
      <c r="N1091">
        <v>545</v>
      </c>
      <c r="O1091">
        <v>182</v>
      </c>
      <c r="P1091">
        <v>278</v>
      </c>
      <c r="Q1091">
        <v>576</v>
      </c>
      <c r="R1091">
        <v>298</v>
      </c>
      <c r="S1091">
        <v>256.8</v>
      </c>
      <c r="T1091">
        <v>400</v>
      </c>
      <c r="U1091">
        <v>395</v>
      </c>
      <c r="V1091">
        <v>500</v>
      </c>
      <c r="W1091">
        <v>2.79</v>
      </c>
    </row>
    <row r="1092" spans="1:23" x14ac:dyDescent="0.25">
      <c r="A1092" t="s">
        <v>38</v>
      </c>
      <c r="B1092">
        <v>6</v>
      </c>
      <c r="C1092">
        <v>5</v>
      </c>
      <c r="D1092">
        <v>1991</v>
      </c>
      <c r="E1092">
        <v>88.1</v>
      </c>
      <c r="F1092">
        <v>18.899999999999999</v>
      </c>
      <c r="G1092">
        <v>16.8</v>
      </c>
      <c r="H1092">
        <v>2.1</v>
      </c>
      <c r="I1092">
        <v>11</v>
      </c>
      <c r="J1092">
        <v>93.4</v>
      </c>
      <c r="K1092">
        <v>243.8</v>
      </c>
      <c r="L1092">
        <v>393</v>
      </c>
      <c r="M1092">
        <v>378</v>
      </c>
      <c r="N1092">
        <v>509</v>
      </c>
      <c r="O1092">
        <v>131</v>
      </c>
      <c r="P1092">
        <v>323</v>
      </c>
      <c r="Q1092">
        <v>518</v>
      </c>
      <c r="R1092">
        <v>195</v>
      </c>
      <c r="S1092">
        <v>256.8</v>
      </c>
      <c r="T1092">
        <v>400</v>
      </c>
      <c r="U1092">
        <v>395</v>
      </c>
      <c r="V1092">
        <v>500</v>
      </c>
      <c r="W1092">
        <v>2.79</v>
      </c>
    </row>
    <row r="1093" spans="1:23" x14ac:dyDescent="0.25">
      <c r="A1093" t="s">
        <v>38</v>
      </c>
      <c r="B1093">
        <v>6</v>
      </c>
      <c r="C1093">
        <v>6</v>
      </c>
      <c r="D1093">
        <v>1992</v>
      </c>
      <c r="E1093">
        <v>111.5</v>
      </c>
      <c r="F1093">
        <v>23.4</v>
      </c>
      <c r="G1093">
        <v>20.7</v>
      </c>
      <c r="H1093">
        <v>2.7</v>
      </c>
      <c r="I1093">
        <v>11</v>
      </c>
      <c r="J1093">
        <v>146.69999999999999</v>
      </c>
      <c r="K1093">
        <v>390.6</v>
      </c>
      <c r="L1093">
        <v>386</v>
      </c>
      <c r="M1093">
        <v>366</v>
      </c>
      <c r="N1093">
        <v>536</v>
      </c>
      <c r="O1093">
        <v>170</v>
      </c>
      <c r="P1093">
        <v>301</v>
      </c>
      <c r="Q1093">
        <v>570</v>
      </c>
      <c r="R1093">
        <v>269</v>
      </c>
      <c r="S1093">
        <v>256.8</v>
      </c>
      <c r="T1093">
        <v>400</v>
      </c>
      <c r="U1093">
        <v>395</v>
      </c>
      <c r="V1093">
        <v>500</v>
      </c>
      <c r="W1093">
        <v>2.79</v>
      </c>
    </row>
    <row r="1094" spans="1:23" x14ac:dyDescent="0.25">
      <c r="A1094" t="s">
        <v>38</v>
      </c>
      <c r="B1094">
        <v>6</v>
      </c>
      <c r="C1094">
        <v>7</v>
      </c>
      <c r="D1094">
        <v>1993</v>
      </c>
      <c r="E1094">
        <v>131</v>
      </c>
      <c r="F1094">
        <v>19.5</v>
      </c>
      <c r="G1094">
        <v>18</v>
      </c>
      <c r="H1094">
        <v>1.5</v>
      </c>
      <c r="I1094">
        <v>7</v>
      </c>
      <c r="J1094">
        <v>148.6</v>
      </c>
      <c r="K1094">
        <v>539.1</v>
      </c>
      <c r="L1094">
        <v>375</v>
      </c>
      <c r="M1094">
        <v>363</v>
      </c>
      <c r="N1094">
        <v>512</v>
      </c>
      <c r="O1094">
        <v>149</v>
      </c>
      <c r="P1094">
        <v>289</v>
      </c>
      <c r="Q1094">
        <v>524</v>
      </c>
      <c r="R1094">
        <v>235</v>
      </c>
      <c r="S1094">
        <v>256.8</v>
      </c>
      <c r="T1094">
        <v>400</v>
      </c>
      <c r="U1094">
        <v>395</v>
      </c>
      <c r="V1094">
        <v>500</v>
      </c>
      <c r="W1094">
        <v>2.79</v>
      </c>
    </row>
    <row r="1095" spans="1:23" x14ac:dyDescent="0.25">
      <c r="A1095" t="s">
        <v>38</v>
      </c>
      <c r="B1095">
        <v>6</v>
      </c>
      <c r="C1095">
        <v>8</v>
      </c>
      <c r="D1095">
        <v>1994</v>
      </c>
      <c r="E1095">
        <v>150.80000000000001</v>
      </c>
      <c r="F1095">
        <v>19.8</v>
      </c>
      <c r="G1095">
        <v>18.600000000000001</v>
      </c>
      <c r="H1095">
        <v>1.2</v>
      </c>
      <c r="I1095">
        <v>6</v>
      </c>
      <c r="J1095">
        <v>175.3</v>
      </c>
      <c r="K1095">
        <v>714.4</v>
      </c>
      <c r="L1095">
        <v>382</v>
      </c>
      <c r="M1095">
        <v>373</v>
      </c>
      <c r="N1095">
        <v>518</v>
      </c>
      <c r="O1095">
        <v>145</v>
      </c>
      <c r="P1095">
        <v>301</v>
      </c>
      <c r="Q1095">
        <v>528</v>
      </c>
      <c r="R1095">
        <v>227</v>
      </c>
      <c r="S1095">
        <v>256.8</v>
      </c>
      <c r="T1095">
        <v>400</v>
      </c>
      <c r="U1095">
        <v>395</v>
      </c>
      <c r="V1095">
        <v>500</v>
      </c>
      <c r="W1095">
        <v>2.79</v>
      </c>
    </row>
    <row r="1096" spans="1:23" x14ac:dyDescent="0.25">
      <c r="A1096" t="s">
        <v>38</v>
      </c>
      <c r="B1096">
        <v>6</v>
      </c>
      <c r="C1096">
        <v>9</v>
      </c>
      <c r="D1096">
        <v>1995</v>
      </c>
      <c r="E1096">
        <v>169.7</v>
      </c>
      <c r="F1096">
        <v>18.899999999999999</v>
      </c>
      <c r="G1096">
        <v>18</v>
      </c>
      <c r="H1096">
        <v>0.9</v>
      </c>
      <c r="I1096">
        <v>4</v>
      </c>
      <c r="J1096">
        <v>190.3</v>
      </c>
      <c r="K1096">
        <v>904.7</v>
      </c>
      <c r="L1096">
        <v>381</v>
      </c>
      <c r="M1096">
        <v>374</v>
      </c>
      <c r="N1096">
        <v>527</v>
      </c>
      <c r="O1096">
        <v>153</v>
      </c>
      <c r="P1096">
        <v>297</v>
      </c>
      <c r="Q1096">
        <v>545</v>
      </c>
      <c r="R1096">
        <v>248</v>
      </c>
      <c r="S1096">
        <v>256.8</v>
      </c>
      <c r="T1096">
        <v>400</v>
      </c>
      <c r="U1096">
        <v>395</v>
      </c>
      <c r="V1096">
        <v>500</v>
      </c>
      <c r="W1096">
        <v>2.79</v>
      </c>
    </row>
    <row r="1097" spans="1:23" x14ac:dyDescent="0.25">
      <c r="A1097" t="s">
        <v>38</v>
      </c>
      <c r="B1097">
        <v>6</v>
      </c>
      <c r="C1097">
        <v>10</v>
      </c>
      <c r="D1097">
        <v>1996</v>
      </c>
      <c r="E1097">
        <v>187.1</v>
      </c>
      <c r="F1097">
        <v>17.399999999999999</v>
      </c>
      <c r="G1097">
        <v>15.6</v>
      </c>
      <c r="H1097">
        <v>1.8</v>
      </c>
      <c r="I1097">
        <v>10</v>
      </c>
      <c r="J1097">
        <v>195</v>
      </c>
      <c r="K1097">
        <v>1099.8</v>
      </c>
      <c r="L1097">
        <v>385</v>
      </c>
      <c r="M1097">
        <v>369</v>
      </c>
      <c r="N1097">
        <v>524</v>
      </c>
      <c r="O1097">
        <v>155</v>
      </c>
      <c r="P1097">
        <v>309</v>
      </c>
      <c r="Q1097">
        <v>553</v>
      </c>
      <c r="R1097">
        <v>244</v>
      </c>
      <c r="S1097">
        <v>256.8</v>
      </c>
      <c r="T1097">
        <v>400</v>
      </c>
      <c r="U1097">
        <v>395</v>
      </c>
      <c r="V1097">
        <v>500</v>
      </c>
      <c r="W1097">
        <v>2.79</v>
      </c>
    </row>
    <row r="1098" spans="1:23" x14ac:dyDescent="0.25">
      <c r="A1098" t="s">
        <v>38</v>
      </c>
      <c r="B1098">
        <v>6</v>
      </c>
      <c r="C1098">
        <v>11</v>
      </c>
      <c r="D1098">
        <v>1997</v>
      </c>
      <c r="E1098">
        <v>202.1</v>
      </c>
      <c r="F1098">
        <v>15</v>
      </c>
      <c r="G1098">
        <v>13.5</v>
      </c>
      <c r="H1098">
        <v>1.5</v>
      </c>
      <c r="I1098">
        <v>10</v>
      </c>
      <c r="J1098">
        <v>183.4</v>
      </c>
      <c r="K1098">
        <v>1283.2</v>
      </c>
      <c r="L1098">
        <v>396</v>
      </c>
      <c r="M1098">
        <v>383</v>
      </c>
      <c r="N1098">
        <v>509</v>
      </c>
      <c r="O1098">
        <v>126</v>
      </c>
      <c r="P1098">
        <v>291</v>
      </c>
      <c r="Q1098">
        <v>521</v>
      </c>
      <c r="R1098">
        <v>230</v>
      </c>
      <c r="S1098">
        <v>256.8</v>
      </c>
      <c r="T1098">
        <v>400</v>
      </c>
      <c r="U1098">
        <v>395</v>
      </c>
      <c r="V1098">
        <v>500</v>
      </c>
      <c r="W1098">
        <v>2.79</v>
      </c>
    </row>
    <row r="1099" spans="1:23" x14ac:dyDescent="0.25">
      <c r="A1099" t="s">
        <v>38</v>
      </c>
      <c r="B1099">
        <v>6</v>
      </c>
      <c r="C1099">
        <v>12</v>
      </c>
      <c r="D1099">
        <v>1998</v>
      </c>
      <c r="E1099">
        <v>209.9</v>
      </c>
      <c r="F1099">
        <v>7.8</v>
      </c>
      <c r="G1099">
        <v>6.3</v>
      </c>
      <c r="H1099">
        <v>1.5</v>
      </c>
      <c r="I1099">
        <v>19</v>
      </c>
      <c r="J1099">
        <v>101</v>
      </c>
      <c r="K1099">
        <v>1384.1</v>
      </c>
      <c r="L1099">
        <v>394</v>
      </c>
      <c r="M1099">
        <v>366</v>
      </c>
      <c r="N1099">
        <v>515</v>
      </c>
      <c r="O1099">
        <v>149</v>
      </c>
      <c r="P1099">
        <v>299</v>
      </c>
      <c r="Q1099">
        <v>526</v>
      </c>
      <c r="R1099">
        <v>227</v>
      </c>
      <c r="S1099">
        <v>256.8</v>
      </c>
      <c r="T1099">
        <v>400</v>
      </c>
      <c r="U1099">
        <v>395</v>
      </c>
      <c r="V1099">
        <v>500</v>
      </c>
      <c r="W1099">
        <v>2.79</v>
      </c>
    </row>
    <row r="1100" spans="1:23" x14ac:dyDescent="0.25">
      <c r="A1100" t="s">
        <v>38</v>
      </c>
      <c r="B1100">
        <v>6</v>
      </c>
      <c r="C1100">
        <v>13</v>
      </c>
      <c r="D1100">
        <v>1999</v>
      </c>
      <c r="E1100">
        <v>221</v>
      </c>
      <c r="F1100">
        <v>11.1</v>
      </c>
      <c r="G1100">
        <v>9.9</v>
      </c>
      <c r="H1100">
        <v>1.2</v>
      </c>
      <c r="I1100">
        <v>10</v>
      </c>
      <c r="J1100">
        <v>150.30000000000001</v>
      </c>
      <c r="K1100">
        <v>1534.4</v>
      </c>
      <c r="L1100">
        <v>388</v>
      </c>
      <c r="M1100">
        <v>373</v>
      </c>
      <c r="N1100">
        <v>512</v>
      </c>
      <c r="O1100">
        <v>139</v>
      </c>
      <c r="P1100">
        <v>319</v>
      </c>
      <c r="Q1100">
        <v>526</v>
      </c>
      <c r="R1100">
        <v>207</v>
      </c>
      <c r="S1100">
        <v>256.8</v>
      </c>
      <c r="T1100">
        <v>400</v>
      </c>
      <c r="U1100">
        <v>395</v>
      </c>
      <c r="V1100">
        <v>500</v>
      </c>
      <c r="W1100">
        <v>2.79</v>
      </c>
    </row>
    <row r="1101" spans="1:23" x14ac:dyDescent="0.25">
      <c r="A1101" t="s">
        <v>38</v>
      </c>
      <c r="B1101">
        <v>6</v>
      </c>
      <c r="C1101">
        <v>14</v>
      </c>
      <c r="D1101">
        <v>2000</v>
      </c>
      <c r="E1101">
        <v>227.9</v>
      </c>
      <c r="F1101">
        <v>6.9</v>
      </c>
      <c r="G1101">
        <v>6.3</v>
      </c>
      <c r="H1101">
        <v>0.6</v>
      </c>
      <c r="I1101">
        <v>8</v>
      </c>
      <c r="J1101">
        <v>97.3</v>
      </c>
      <c r="K1101">
        <v>1631.7</v>
      </c>
      <c r="L1101">
        <v>383</v>
      </c>
      <c r="M1101">
        <v>371</v>
      </c>
      <c r="N1101">
        <v>508</v>
      </c>
      <c r="O1101">
        <v>137</v>
      </c>
      <c r="P1101">
        <v>304</v>
      </c>
      <c r="Q1101">
        <v>512</v>
      </c>
      <c r="R1101">
        <v>208</v>
      </c>
      <c r="S1101">
        <v>256.8</v>
      </c>
      <c r="T1101">
        <v>400</v>
      </c>
      <c r="U1101">
        <v>395</v>
      </c>
      <c r="V1101">
        <v>500</v>
      </c>
      <c r="W1101">
        <v>2.79</v>
      </c>
    </row>
    <row r="1102" spans="1:23" x14ac:dyDescent="0.25">
      <c r="A1102" t="s">
        <v>38</v>
      </c>
      <c r="B1102">
        <v>6</v>
      </c>
      <c r="C1102">
        <v>15</v>
      </c>
      <c r="D1102">
        <v>2001</v>
      </c>
      <c r="E1102">
        <v>233.3</v>
      </c>
      <c r="F1102">
        <v>5.4</v>
      </c>
      <c r="G1102">
        <v>4.8</v>
      </c>
      <c r="H1102">
        <v>0.6</v>
      </c>
      <c r="I1102">
        <v>11</v>
      </c>
      <c r="J1102">
        <v>78.2</v>
      </c>
      <c r="K1102">
        <v>1709.9</v>
      </c>
      <c r="L1102">
        <v>392</v>
      </c>
      <c r="M1102">
        <v>376</v>
      </c>
      <c r="N1102">
        <v>520</v>
      </c>
      <c r="O1102">
        <v>144</v>
      </c>
      <c r="P1102">
        <v>328</v>
      </c>
      <c r="Q1102">
        <v>532</v>
      </c>
      <c r="R1102">
        <v>204</v>
      </c>
      <c r="S1102">
        <v>256.8</v>
      </c>
      <c r="T1102">
        <v>400</v>
      </c>
      <c r="U1102">
        <v>395</v>
      </c>
      <c r="V1102">
        <v>500</v>
      </c>
      <c r="W1102">
        <v>2.79</v>
      </c>
    </row>
    <row r="1103" spans="1:23" x14ac:dyDescent="0.25">
      <c r="A1103" t="s">
        <v>38</v>
      </c>
      <c r="B1103">
        <v>6</v>
      </c>
      <c r="C1103">
        <v>16</v>
      </c>
      <c r="D1103">
        <v>2002</v>
      </c>
      <c r="E1103">
        <v>238.7</v>
      </c>
      <c r="F1103">
        <v>5.4</v>
      </c>
      <c r="G1103">
        <v>3.9</v>
      </c>
      <c r="H1103">
        <v>1.5</v>
      </c>
      <c r="I1103">
        <v>27</v>
      </c>
      <c r="J1103">
        <v>80.099999999999994</v>
      </c>
      <c r="K1103">
        <v>1790</v>
      </c>
      <c r="L1103">
        <v>421</v>
      </c>
      <c r="M1103">
        <v>384</v>
      </c>
      <c r="N1103">
        <v>519</v>
      </c>
      <c r="O1103">
        <v>135</v>
      </c>
      <c r="P1103">
        <v>349</v>
      </c>
      <c r="Q1103">
        <v>577</v>
      </c>
      <c r="R1103">
        <v>228</v>
      </c>
      <c r="S1103">
        <v>256.8</v>
      </c>
      <c r="T1103">
        <v>400</v>
      </c>
      <c r="U1103">
        <v>395</v>
      </c>
      <c r="V1103">
        <v>500</v>
      </c>
      <c r="W1103">
        <v>2.79</v>
      </c>
    </row>
    <row r="1104" spans="1:23" x14ac:dyDescent="0.25">
      <c r="A1104" t="s">
        <v>38</v>
      </c>
      <c r="B1104">
        <v>6</v>
      </c>
      <c r="C1104">
        <v>17</v>
      </c>
      <c r="D1104">
        <v>2003</v>
      </c>
      <c r="E1104">
        <v>245</v>
      </c>
      <c r="F1104">
        <v>6.3</v>
      </c>
      <c r="G1104">
        <v>6</v>
      </c>
      <c r="H1104">
        <v>0.3</v>
      </c>
      <c r="I1104">
        <v>4</v>
      </c>
      <c r="J1104">
        <v>95.7</v>
      </c>
      <c r="K1104">
        <v>1885.7</v>
      </c>
      <c r="L1104">
        <v>406</v>
      </c>
      <c r="M1104">
        <v>400</v>
      </c>
      <c r="N1104">
        <v>537</v>
      </c>
      <c r="O1104">
        <v>137</v>
      </c>
      <c r="P1104">
        <v>357</v>
      </c>
      <c r="Q1104">
        <v>537</v>
      </c>
      <c r="R1104">
        <v>180</v>
      </c>
      <c r="S1104">
        <v>256.8</v>
      </c>
      <c r="T1104">
        <v>400</v>
      </c>
      <c r="U1104">
        <v>395</v>
      </c>
      <c r="V1104">
        <v>500</v>
      </c>
      <c r="W1104">
        <v>2.79</v>
      </c>
    </row>
    <row r="1105" spans="1:23" x14ac:dyDescent="0.25">
      <c r="A1105" t="s">
        <v>38</v>
      </c>
      <c r="B1105">
        <v>6</v>
      </c>
      <c r="C1105">
        <v>18</v>
      </c>
      <c r="D1105">
        <v>2004</v>
      </c>
      <c r="E1105">
        <v>250.4</v>
      </c>
      <c r="F1105">
        <v>5.4</v>
      </c>
      <c r="G1105">
        <v>4.5</v>
      </c>
      <c r="H1105">
        <v>0.9</v>
      </c>
      <c r="I1105">
        <v>16</v>
      </c>
      <c r="J1105">
        <v>84</v>
      </c>
      <c r="K1105">
        <v>1969.8</v>
      </c>
      <c r="L1105">
        <v>410</v>
      </c>
      <c r="M1105">
        <v>384</v>
      </c>
      <c r="N1105">
        <v>543</v>
      </c>
      <c r="O1105">
        <v>159</v>
      </c>
      <c r="P1105">
        <v>335</v>
      </c>
      <c r="Q1105">
        <v>573</v>
      </c>
      <c r="R1105">
        <v>238</v>
      </c>
      <c r="S1105">
        <v>256.8</v>
      </c>
      <c r="T1105">
        <v>400</v>
      </c>
      <c r="U1105">
        <v>395</v>
      </c>
      <c r="V1105">
        <v>500</v>
      </c>
      <c r="W1105">
        <v>2.79</v>
      </c>
    </row>
    <row r="1106" spans="1:23" x14ac:dyDescent="0.25">
      <c r="A1106" t="s">
        <v>38</v>
      </c>
      <c r="B1106">
        <v>6</v>
      </c>
      <c r="C1106">
        <v>19</v>
      </c>
      <c r="D1106">
        <v>2005</v>
      </c>
      <c r="E1106">
        <v>254.9</v>
      </c>
      <c r="F1106">
        <v>4.5</v>
      </c>
      <c r="G1106">
        <v>4.2</v>
      </c>
      <c r="H1106">
        <v>0.3</v>
      </c>
      <c r="I1106">
        <v>6</v>
      </c>
      <c r="J1106">
        <v>71.400000000000006</v>
      </c>
      <c r="K1106">
        <v>2041.2</v>
      </c>
      <c r="L1106">
        <v>390</v>
      </c>
      <c r="M1106">
        <v>382</v>
      </c>
      <c r="N1106">
        <v>507</v>
      </c>
      <c r="O1106">
        <v>125</v>
      </c>
      <c r="P1106">
        <v>343</v>
      </c>
      <c r="Q1106">
        <v>507</v>
      </c>
      <c r="R1106">
        <v>164</v>
      </c>
      <c r="S1106">
        <v>256.8</v>
      </c>
      <c r="T1106">
        <v>400</v>
      </c>
      <c r="U1106">
        <v>395</v>
      </c>
      <c r="V1106">
        <v>500</v>
      </c>
      <c r="W1106">
        <v>2.79</v>
      </c>
    </row>
    <row r="1107" spans="1:23" x14ac:dyDescent="0.25">
      <c r="A1107" t="s">
        <v>38</v>
      </c>
      <c r="B1107">
        <v>6</v>
      </c>
      <c r="C1107">
        <v>20</v>
      </c>
      <c r="D1107">
        <v>2006</v>
      </c>
      <c r="E1107">
        <v>257.60000000000002</v>
      </c>
      <c r="F1107">
        <v>2.7</v>
      </c>
      <c r="G1107">
        <v>2.4</v>
      </c>
      <c r="H1107">
        <v>0.3</v>
      </c>
      <c r="I1107">
        <v>11</v>
      </c>
      <c r="J1107">
        <v>43.5</v>
      </c>
      <c r="K1107">
        <v>2084.6999999999998</v>
      </c>
      <c r="L1107">
        <v>420</v>
      </c>
      <c r="M1107">
        <v>406</v>
      </c>
      <c r="N1107">
        <v>530</v>
      </c>
      <c r="O1107">
        <v>124</v>
      </c>
      <c r="P1107">
        <v>348</v>
      </c>
      <c r="Q1107">
        <v>530</v>
      </c>
      <c r="R1107">
        <v>182</v>
      </c>
      <c r="S1107">
        <v>256.8</v>
      </c>
      <c r="T1107">
        <v>400</v>
      </c>
      <c r="U1107">
        <v>395</v>
      </c>
      <c r="V1107">
        <v>500</v>
      </c>
      <c r="W1107">
        <v>2.79</v>
      </c>
    </row>
    <row r="1108" spans="1:23" x14ac:dyDescent="0.25">
      <c r="A1108" t="s">
        <v>38</v>
      </c>
      <c r="B1108">
        <v>6</v>
      </c>
      <c r="C1108">
        <v>21</v>
      </c>
      <c r="D1108">
        <v>2007</v>
      </c>
      <c r="E1108">
        <v>260.3</v>
      </c>
      <c r="F1108">
        <v>2.7</v>
      </c>
      <c r="G1108">
        <v>2.1</v>
      </c>
      <c r="H1108">
        <v>0.6</v>
      </c>
      <c r="I1108">
        <v>22</v>
      </c>
      <c r="J1108">
        <v>43.9</v>
      </c>
      <c r="K1108">
        <v>2128.6</v>
      </c>
      <c r="L1108">
        <v>442</v>
      </c>
      <c r="M1108">
        <v>418</v>
      </c>
      <c r="N1108">
        <v>524</v>
      </c>
      <c r="O1108">
        <v>106</v>
      </c>
      <c r="P1108">
        <v>369</v>
      </c>
      <c r="Q1108">
        <v>536</v>
      </c>
      <c r="R1108">
        <v>167</v>
      </c>
      <c r="S1108">
        <v>256.8</v>
      </c>
      <c r="T1108">
        <v>400</v>
      </c>
      <c r="U1108">
        <v>395</v>
      </c>
      <c r="V1108">
        <v>500</v>
      </c>
      <c r="W1108">
        <v>2.79</v>
      </c>
    </row>
    <row r="1109" spans="1:23" x14ac:dyDescent="0.25">
      <c r="A1109" t="s">
        <v>38</v>
      </c>
      <c r="B1109">
        <v>6</v>
      </c>
      <c r="C1109">
        <v>22</v>
      </c>
      <c r="D1109">
        <v>2008</v>
      </c>
      <c r="E1109">
        <v>263.89999999999998</v>
      </c>
      <c r="F1109">
        <v>3.6</v>
      </c>
      <c r="G1109">
        <v>3</v>
      </c>
      <c r="H1109">
        <v>0.6</v>
      </c>
      <c r="I1109">
        <v>16</v>
      </c>
      <c r="J1109">
        <v>59.3</v>
      </c>
      <c r="K1109">
        <v>2187.9</v>
      </c>
      <c r="L1109">
        <v>418</v>
      </c>
      <c r="M1109">
        <v>394</v>
      </c>
      <c r="N1109">
        <v>540</v>
      </c>
      <c r="O1109">
        <v>146</v>
      </c>
      <c r="P1109">
        <v>347</v>
      </c>
      <c r="Q1109">
        <v>556</v>
      </c>
      <c r="R1109">
        <v>209</v>
      </c>
      <c r="S1109">
        <v>256.8</v>
      </c>
      <c r="T1109">
        <v>400</v>
      </c>
      <c r="U1109">
        <v>395</v>
      </c>
      <c r="V1109">
        <v>500</v>
      </c>
      <c r="W1109">
        <v>2.79</v>
      </c>
    </row>
    <row r="1110" spans="1:23" x14ac:dyDescent="0.25">
      <c r="A1110" t="s">
        <v>38</v>
      </c>
      <c r="B1110">
        <v>6</v>
      </c>
      <c r="C1110">
        <v>23</v>
      </c>
      <c r="D1110">
        <v>2009</v>
      </c>
      <c r="E1110">
        <v>268.10000000000002</v>
      </c>
      <c r="F1110">
        <v>4.2</v>
      </c>
      <c r="G1110">
        <v>3.3</v>
      </c>
      <c r="H1110">
        <v>0.9</v>
      </c>
      <c r="I1110">
        <v>21</v>
      </c>
      <c r="J1110">
        <v>70.2</v>
      </c>
      <c r="K1110">
        <v>2258.1</v>
      </c>
      <c r="L1110">
        <v>435</v>
      </c>
      <c r="M1110">
        <v>406</v>
      </c>
      <c r="N1110">
        <v>543</v>
      </c>
      <c r="O1110">
        <v>137</v>
      </c>
      <c r="P1110">
        <v>337</v>
      </c>
      <c r="Q1110">
        <v>576</v>
      </c>
      <c r="R1110">
        <v>239</v>
      </c>
      <c r="S1110">
        <v>256.8</v>
      </c>
      <c r="T1110">
        <v>400</v>
      </c>
      <c r="U1110">
        <v>395</v>
      </c>
      <c r="V1110">
        <v>500</v>
      </c>
      <c r="W1110">
        <v>2.79</v>
      </c>
    </row>
    <row r="1111" spans="1:23" x14ac:dyDescent="0.25">
      <c r="A1111" t="s">
        <v>38</v>
      </c>
      <c r="B1111">
        <v>6</v>
      </c>
      <c r="C1111">
        <v>24</v>
      </c>
      <c r="D1111">
        <v>2010</v>
      </c>
      <c r="E1111">
        <v>271.39999999999998</v>
      </c>
      <c r="F1111">
        <v>3.3</v>
      </c>
      <c r="G1111">
        <v>3</v>
      </c>
      <c r="H1111">
        <v>0.3</v>
      </c>
      <c r="I1111">
        <v>9</v>
      </c>
      <c r="J1111">
        <v>55.9</v>
      </c>
      <c r="K1111">
        <v>2314</v>
      </c>
      <c r="L1111">
        <v>416</v>
      </c>
      <c r="M1111">
        <v>406</v>
      </c>
      <c r="N1111">
        <v>516</v>
      </c>
      <c r="O1111">
        <v>110</v>
      </c>
      <c r="P1111">
        <v>353</v>
      </c>
      <c r="Q1111">
        <v>516</v>
      </c>
      <c r="R1111">
        <v>163</v>
      </c>
      <c r="S1111">
        <v>256.8</v>
      </c>
      <c r="T1111">
        <v>400</v>
      </c>
      <c r="U1111">
        <v>395</v>
      </c>
      <c r="V1111">
        <v>500</v>
      </c>
      <c r="W1111">
        <v>2.79</v>
      </c>
    </row>
    <row r="1112" spans="1:23" x14ac:dyDescent="0.25">
      <c r="A1112" t="s">
        <v>38</v>
      </c>
      <c r="B1112">
        <v>6</v>
      </c>
      <c r="C1112">
        <v>25</v>
      </c>
      <c r="D1112">
        <v>2011</v>
      </c>
      <c r="E1112">
        <v>274.39999999999998</v>
      </c>
      <c r="F1112">
        <v>3</v>
      </c>
      <c r="G1112">
        <v>2.7</v>
      </c>
      <c r="H1112">
        <v>0.3</v>
      </c>
      <c r="I1112">
        <v>10</v>
      </c>
      <c r="J1112">
        <v>51.4</v>
      </c>
      <c r="K1112">
        <v>2365.5</v>
      </c>
      <c r="L1112">
        <v>436</v>
      </c>
      <c r="M1112">
        <v>428</v>
      </c>
      <c r="N1112">
        <v>512</v>
      </c>
      <c r="O1112">
        <v>84</v>
      </c>
      <c r="P1112">
        <v>390</v>
      </c>
      <c r="Q1112">
        <v>512</v>
      </c>
      <c r="R1112">
        <v>122</v>
      </c>
      <c r="S1112">
        <v>256.8</v>
      </c>
      <c r="T1112">
        <v>400</v>
      </c>
      <c r="U1112">
        <v>395</v>
      </c>
      <c r="V1112">
        <v>500</v>
      </c>
      <c r="W1112">
        <v>2.79</v>
      </c>
    </row>
    <row r="1113" spans="1:23" x14ac:dyDescent="0.25">
      <c r="A1113" t="s">
        <v>38</v>
      </c>
      <c r="B1113">
        <v>6</v>
      </c>
      <c r="C1113">
        <v>26</v>
      </c>
      <c r="D1113">
        <v>2012</v>
      </c>
      <c r="E1113">
        <v>276.8</v>
      </c>
      <c r="F1113">
        <v>2.4</v>
      </c>
      <c r="G1113">
        <v>2.1</v>
      </c>
      <c r="H1113">
        <v>0.3</v>
      </c>
      <c r="I1113">
        <v>12</v>
      </c>
      <c r="J1113">
        <v>41.6</v>
      </c>
      <c r="K1113">
        <v>2407</v>
      </c>
      <c r="L1113">
        <v>431</v>
      </c>
      <c r="M1113">
        <v>416</v>
      </c>
      <c r="N1113">
        <v>535</v>
      </c>
      <c r="O1113">
        <v>119</v>
      </c>
      <c r="P1113">
        <v>366</v>
      </c>
      <c r="Q1113">
        <v>535</v>
      </c>
      <c r="R1113">
        <v>169</v>
      </c>
      <c r="S1113">
        <v>256.8</v>
      </c>
      <c r="T1113">
        <v>400</v>
      </c>
      <c r="U1113">
        <v>395</v>
      </c>
      <c r="V1113">
        <v>500</v>
      </c>
      <c r="W1113">
        <v>2.79</v>
      </c>
    </row>
    <row r="1114" spans="1:23" x14ac:dyDescent="0.25">
      <c r="A1114" t="s">
        <v>38</v>
      </c>
      <c r="B1114">
        <v>7</v>
      </c>
      <c r="C1114">
        <v>2</v>
      </c>
      <c r="D1114">
        <v>1987</v>
      </c>
      <c r="E1114">
        <v>35.4</v>
      </c>
      <c r="F1114">
        <v>35.4</v>
      </c>
      <c r="G1114">
        <v>17.399999999999999</v>
      </c>
      <c r="H1114">
        <v>0</v>
      </c>
      <c r="I1114">
        <v>0</v>
      </c>
      <c r="J1114">
        <v>39.4</v>
      </c>
      <c r="K1114">
        <v>39.4</v>
      </c>
      <c r="L1114">
        <v>352</v>
      </c>
      <c r="M1114">
        <v>352</v>
      </c>
      <c r="P1114">
        <v>286</v>
      </c>
      <c r="Q1114">
        <v>457</v>
      </c>
      <c r="R1114">
        <v>171</v>
      </c>
      <c r="S1114">
        <v>245.7</v>
      </c>
      <c r="T1114">
        <v>401</v>
      </c>
      <c r="U1114">
        <v>390</v>
      </c>
      <c r="V1114">
        <v>500</v>
      </c>
      <c r="W1114">
        <v>2.79</v>
      </c>
    </row>
    <row r="1115" spans="1:23" x14ac:dyDescent="0.25">
      <c r="A1115" t="s">
        <v>38</v>
      </c>
      <c r="B1115">
        <v>7</v>
      </c>
      <c r="C1115">
        <v>3</v>
      </c>
      <c r="D1115">
        <v>1988</v>
      </c>
      <c r="E1115">
        <v>57.3</v>
      </c>
      <c r="F1115">
        <v>21.9</v>
      </c>
      <c r="G1115">
        <v>21.9</v>
      </c>
      <c r="H1115">
        <v>0</v>
      </c>
      <c r="I1115">
        <v>0</v>
      </c>
      <c r="J1115">
        <v>63.8</v>
      </c>
      <c r="K1115">
        <v>103.1</v>
      </c>
      <c r="L1115">
        <v>345</v>
      </c>
      <c r="M1115">
        <v>345</v>
      </c>
      <c r="P1115">
        <v>279</v>
      </c>
      <c r="Q1115">
        <v>459</v>
      </c>
      <c r="R1115">
        <v>180</v>
      </c>
      <c r="S1115">
        <v>245.7</v>
      </c>
      <c r="T1115">
        <v>401</v>
      </c>
      <c r="U1115">
        <v>390</v>
      </c>
      <c r="V1115">
        <v>500</v>
      </c>
      <c r="W1115">
        <v>2.79</v>
      </c>
    </row>
    <row r="1116" spans="1:23" x14ac:dyDescent="0.25">
      <c r="A1116" t="s">
        <v>38</v>
      </c>
      <c r="B1116">
        <v>7</v>
      </c>
      <c r="C1116">
        <v>4</v>
      </c>
      <c r="D1116">
        <v>1989</v>
      </c>
      <c r="E1116">
        <v>74.400000000000006</v>
      </c>
      <c r="F1116">
        <v>17.100000000000001</v>
      </c>
      <c r="G1116">
        <v>17.100000000000001</v>
      </c>
      <c r="H1116">
        <v>0</v>
      </c>
      <c r="I1116">
        <v>0</v>
      </c>
      <c r="J1116">
        <v>70.8</v>
      </c>
      <c r="K1116">
        <v>173.9</v>
      </c>
      <c r="L1116">
        <v>369</v>
      </c>
      <c r="M1116">
        <v>369</v>
      </c>
      <c r="P1116">
        <v>296</v>
      </c>
      <c r="Q1116">
        <v>499</v>
      </c>
      <c r="R1116">
        <v>203</v>
      </c>
      <c r="S1116">
        <v>245.7</v>
      </c>
      <c r="T1116">
        <v>401</v>
      </c>
      <c r="U1116">
        <v>390</v>
      </c>
      <c r="V1116">
        <v>500</v>
      </c>
      <c r="W1116">
        <v>2.79</v>
      </c>
    </row>
    <row r="1117" spans="1:23" x14ac:dyDescent="0.25">
      <c r="A1117" t="s">
        <v>38</v>
      </c>
      <c r="B1117">
        <v>7</v>
      </c>
      <c r="C1117">
        <v>5</v>
      </c>
      <c r="D1117">
        <v>1990</v>
      </c>
      <c r="E1117">
        <v>81.900000000000006</v>
      </c>
      <c r="F1117">
        <v>7.5</v>
      </c>
      <c r="G1117">
        <v>6.6</v>
      </c>
      <c r="H1117">
        <v>0.9</v>
      </c>
      <c r="I1117">
        <v>12</v>
      </c>
      <c r="J1117">
        <v>36.799999999999997</v>
      </c>
      <c r="K1117">
        <v>210.7</v>
      </c>
      <c r="L1117">
        <v>383</v>
      </c>
      <c r="M1117">
        <v>361</v>
      </c>
      <c r="N1117">
        <v>548</v>
      </c>
      <c r="O1117">
        <v>187</v>
      </c>
      <c r="P1117">
        <v>314</v>
      </c>
      <c r="Q1117">
        <v>556</v>
      </c>
      <c r="R1117">
        <v>242</v>
      </c>
      <c r="S1117">
        <v>245.7</v>
      </c>
      <c r="T1117">
        <v>401</v>
      </c>
      <c r="U1117">
        <v>390</v>
      </c>
      <c r="V1117">
        <v>500</v>
      </c>
      <c r="W1117">
        <v>2.79</v>
      </c>
    </row>
    <row r="1118" spans="1:23" x14ac:dyDescent="0.25">
      <c r="A1118" t="s">
        <v>38</v>
      </c>
      <c r="B1118">
        <v>7</v>
      </c>
      <c r="C1118">
        <v>6</v>
      </c>
      <c r="D1118">
        <v>1991</v>
      </c>
      <c r="E1118">
        <v>101.4</v>
      </c>
      <c r="F1118">
        <v>19.5</v>
      </c>
      <c r="G1118">
        <v>18.899999999999999</v>
      </c>
      <c r="H1118">
        <v>0.6</v>
      </c>
      <c r="I1118">
        <v>3</v>
      </c>
      <c r="J1118">
        <v>112.3</v>
      </c>
      <c r="K1118">
        <v>323</v>
      </c>
      <c r="L1118">
        <v>373</v>
      </c>
      <c r="M1118">
        <v>369</v>
      </c>
      <c r="N1118">
        <v>503</v>
      </c>
      <c r="O1118">
        <v>134</v>
      </c>
      <c r="P1118">
        <v>302</v>
      </c>
      <c r="Q1118">
        <v>505</v>
      </c>
      <c r="R1118">
        <v>203</v>
      </c>
      <c r="S1118">
        <v>245.7</v>
      </c>
      <c r="T1118">
        <v>401</v>
      </c>
      <c r="U1118">
        <v>390</v>
      </c>
      <c r="V1118">
        <v>500</v>
      </c>
      <c r="W1118">
        <v>2.79</v>
      </c>
    </row>
    <row r="1119" spans="1:23" x14ac:dyDescent="0.25">
      <c r="A1119" t="s">
        <v>38</v>
      </c>
      <c r="B1119">
        <v>7</v>
      </c>
      <c r="C1119">
        <v>7</v>
      </c>
      <c r="D1119">
        <v>1992</v>
      </c>
      <c r="E1119">
        <v>123</v>
      </c>
      <c r="F1119">
        <v>21.6</v>
      </c>
      <c r="G1119">
        <v>18.600000000000001</v>
      </c>
      <c r="H1119">
        <v>3</v>
      </c>
      <c r="I1119">
        <v>13</v>
      </c>
      <c r="J1119">
        <v>152.30000000000001</v>
      </c>
      <c r="K1119">
        <v>475.3</v>
      </c>
      <c r="L1119">
        <v>390</v>
      </c>
      <c r="M1119">
        <v>369</v>
      </c>
      <c r="N1119">
        <v>518</v>
      </c>
      <c r="O1119">
        <v>149</v>
      </c>
      <c r="P1119">
        <v>315</v>
      </c>
      <c r="Q1119">
        <v>530</v>
      </c>
      <c r="R1119">
        <v>215</v>
      </c>
      <c r="S1119">
        <v>245.7</v>
      </c>
      <c r="T1119">
        <v>401</v>
      </c>
      <c r="U1119">
        <v>390</v>
      </c>
      <c r="V1119">
        <v>500</v>
      </c>
      <c r="W1119">
        <v>2.79</v>
      </c>
    </row>
    <row r="1120" spans="1:23" x14ac:dyDescent="0.25">
      <c r="A1120" t="s">
        <v>38</v>
      </c>
      <c r="B1120">
        <v>7</v>
      </c>
      <c r="C1120">
        <v>8</v>
      </c>
      <c r="D1120">
        <v>1993</v>
      </c>
      <c r="E1120">
        <v>140.1</v>
      </c>
      <c r="F1120">
        <v>17.100000000000001</v>
      </c>
      <c r="G1120">
        <v>15</v>
      </c>
      <c r="H1120">
        <v>2.1</v>
      </c>
      <c r="I1120">
        <v>12</v>
      </c>
      <c r="J1120">
        <v>141.30000000000001</v>
      </c>
      <c r="K1120">
        <v>616.6</v>
      </c>
      <c r="L1120">
        <v>378</v>
      </c>
      <c r="M1120">
        <v>359</v>
      </c>
      <c r="N1120">
        <v>514</v>
      </c>
      <c r="O1120">
        <v>155</v>
      </c>
      <c r="P1120">
        <v>303</v>
      </c>
      <c r="Q1120">
        <v>533</v>
      </c>
      <c r="R1120">
        <v>230</v>
      </c>
      <c r="S1120">
        <v>245.7</v>
      </c>
      <c r="T1120">
        <v>401</v>
      </c>
      <c r="U1120">
        <v>390</v>
      </c>
      <c r="V1120">
        <v>500</v>
      </c>
      <c r="W1120">
        <v>2.79</v>
      </c>
    </row>
    <row r="1121" spans="1:23" x14ac:dyDescent="0.25">
      <c r="A1121" t="s">
        <v>38</v>
      </c>
      <c r="B1121">
        <v>7</v>
      </c>
      <c r="C1121">
        <v>9</v>
      </c>
      <c r="D1121">
        <v>1994</v>
      </c>
      <c r="E1121">
        <v>156</v>
      </c>
      <c r="F1121">
        <v>15.9</v>
      </c>
      <c r="G1121">
        <v>14.4</v>
      </c>
      <c r="H1121">
        <v>1.5</v>
      </c>
      <c r="I1121">
        <v>9</v>
      </c>
      <c r="J1121">
        <v>147.9</v>
      </c>
      <c r="K1121">
        <v>764.5</v>
      </c>
      <c r="L1121">
        <v>396</v>
      </c>
      <c r="M1121">
        <v>383</v>
      </c>
      <c r="N1121">
        <v>520</v>
      </c>
      <c r="O1121">
        <v>137</v>
      </c>
      <c r="P1121">
        <v>316</v>
      </c>
      <c r="Q1121">
        <v>538</v>
      </c>
      <c r="R1121">
        <v>222</v>
      </c>
      <c r="S1121">
        <v>245.7</v>
      </c>
      <c r="T1121">
        <v>401</v>
      </c>
      <c r="U1121">
        <v>390</v>
      </c>
      <c r="V1121">
        <v>500</v>
      </c>
      <c r="W1121">
        <v>2.79</v>
      </c>
    </row>
    <row r="1122" spans="1:23" x14ac:dyDescent="0.25">
      <c r="A1122" t="s">
        <v>38</v>
      </c>
      <c r="B1122">
        <v>7</v>
      </c>
      <c r="C1122">
        <v>10</v>
      </c>
      <c r="D1122">
        <v>1995</v>
      </c>
      <c r="E1122">
        <v>174</v>
      </c>
      <c r="F1122">
        <v>18</v>
      </c>
      <c r="G1122">
        <v>17.399999999999999</v>
      </c>
      <c r="H1122">
        <v>0.6</v>
      </c>
      <c r="I1122">
        <v>3</v>
      </c>
      <c r="J1122">
        <v>186.6</v>
      </c>
      <c r="K1122">
        <v>951.1</v>
      </c>
      <c r="L1122">
        <v>375</v>
      </c>
      <c r="M1122">
        <v>370</v>
      </c>
      <c r="N1122">
        <v>511</v>
      </c>
      <c r="O1122">
        <v>141</v>
      </c>
      <c r="P1122">
        <v>299</v>
      </c>
      <c r="Q1122">
        <v>514</v>
      </c>
      <c r="R1122">
        <v>215</v>
      </c>
      <c r="S1122">
        <v>245.7</v>
      </c>
      <c r="T1122">
        <v>401</v>
      </c>
      <c r="U1122">
        <v>390</v>
      </c>
      <c r="V1122">
        <v>500</v>
      </c>
      <c r="W1122">
        <v>2.79</v>
      </c>
    </row>
    <row r="1123" spans="1:23" x14ac:dyDescent="0.25">
      <c r="A1123" t="s">
        <v>38</v>
      </c>
      <c r="B1123">
        <v>7</v>
      </c>
      <c r="C1123">
        <v>11</v>
      </c>
      <c r="D1123">
        <v>1996</v>
      </c>
      <c r="E1123">
        <v>191.1</v>
      </c>
      <c r="F1123">
        <v>17.100000000000001</v>
      </c>
      <c r="G1123">
        <v>16.8</v>
      </c>
      <c r="H1123">
        <v>0.3</v>
      </c>
      <c r="I1123">
        <v>1</v>
      </c>
      <c r="J1123">
        <v>196.1</v>
      </c>
      <c r="K1123">
        <v>1147.3</v>
      </c>
      <c r="L1123">
        <v>366</v>
      </c>
      <c r="M1123">
        <v>364</v>
      </c>
      <c r="N1123">
        <v>507</v>
      </c>
      <c r="O1123">
        <v>143</v>
      </c>
      <c r="P1123">
        <v>295</v>
      </c>
      <c r="Q1123">
        <v>507</v>
      </c>
      <c r="R1123">
        <v>212</v>
      </c>
      <c r="S1123">
        <v>245.7</v>
      </c>
      <c r="T1123">
        <v>401</v>
      </c>
      <c r="U1123">
        <v>390</v>
      </c>
      <c r="V1123">
        <v>500</v>
      </c>
      <c r="W1123">
        <v>2.79</v>
      </c>
    </row>
    <row r="1124" spans="1:23" x14ac:dyDescent="0.25">
      <c r="A1124" t="s">
        <v>38</v>
      </c>
      <c r="B1124">
        <v>7</v>
      </c>
      <c r="C1124">
        <v>12</v>
      </c>
      <c r="D1124">
        <v>1997</v>
      </c>
      <c r="E1124">
        <v>206.1</v>
      </c>
      <c r="F1124">
        <v>15</v>
      </c>
      <c r="G1124">
        <v>14.4</v>
      </c>
      <c r="H1124">
        <v>0.6</v>
      </c>
      <c r="I1124">
        <v>4</v>
      </c>
      <c r="J1124">
        <v>187.2</v>
      </c>
      <c r="K1124">
        <v>1334.5</v>
      </c>
      <c r="L1124">
        <v>376</v>
      </c>
      <c r="M1124">
        <v>371</v>
      </c>
      <c r="N1124">
        <v>511</v>
      </c>
      <c r="O1124">
        <v>140</v>
      </c>
      <c r="P1124">
        <v>303</v>
      </c>
      <c r="Q1124">
        <v>511</v>
      </c>
      <c r="R1124">
        <v>208</v>
      </c>
      <c r="S1124">
        <v>245.7</v>
      </c>
      <c r="T1124">
        <v>401</v>
      </c>
      <c r="U1124">
        <v>390</v>
      </c>
      <c r="V1124">
        <v>500</v>
      </c>
      <c r="W1124">
        <v>2.79</v>
      </c>
    </row>
    <row r="1125" spans="1:23" x14ac:dyDescent="0.25">
      <c r="A1125" t="s">
        <v>38</v>
      </c>
      <c r="B1125">
        <v>7</v>
      </c>
      <c r="C1125">
        <v>13</v>
      </c>
      <c r="D1125">
        <v>1998</v>
      </c>
      <c r="E1125">
        <v>213</v>
      </c>
      <c r="F1125">
        <v>6.9</v>
      </c>
      <c r="G1125">
        <v>6.6</v>
      </c>
      <c r="H1125">
        <v>0.3</v>
      </c>
      <c r="I1125">
        <v>4</v>
      </c>
      <c r="J1125">
        <v>90.8</v>
      </c>
      <c r="K1125">
        <v>1425.3</v>
      </c>
      <c r="L1125">
        <v>381</v>
      </c>
      <c r="M1125">
        <v>373</v>
      </c>
      <c r="N1125">
        <v>546</v>
      </c>
      <c r="O1125">
        <v>173</v>
      </c>
      <c r="P1125">
        <v>321</v>
      </c>
      <c r="Q1125">
        <v>546</v>
      </c>
      <c r="R1125">
        <v>225</v>
      </c>
      <c r="S1125">
        <v>245.7</v>
      </c>
      <c r="T1125">
        <v>401</v>
      </c>
      <c r="U1125">
        <v>390</v>
      </c>
      <c r="V1125">
        <v>500</v>
      </c>
      <c r="W1125">
        <v>2.79</v>
      </c>
    </row>
    <row r="1126" spans="1:23" x14ac:dyDescent="0.25">
      <c r="A1126" t="s">
        <v>38</v>
      </c>
      <c r="B1126">
        <v>7</v>
      </c>
      <c r="C1126">
        <v>14</v>
      </c>
      <c r="D1126">
        <v>1999</v>
      </c>
      <c r="E1126">
        <v>220.8</v>
      </c>
      <c r="F1126">
        <v>7.8</v>
      </c>
      <c r="G1126">
        <v>7.5</v>
      </c>
      <c r="H1126">
        <v>0.3</v>
      </c>
      <c r="I1126">
        <v>3</v>
      </c>
      <c r="J1126">
        <v>106.3</v>
      </c>
      <c r="K1126">
        <v>1531.6</v>
      </c>
      <c r="L1126">
        <v>400</v>
      </c>
      <c r="M1126">
        <v>393</v>
      </c>
      <c r="N1126">
        <v>563</v>
      </c>
      <c r="O1126">
        <v>170</v>
      </c>
      <c r="P1126">
        <v>341</v>
      </c>
      <c r="Q1126">
        <v>563</v>
      </c>
      <c r="R1126">
        <v>222</v>
      </c>
      <c r="S1126">
        <v>245.7</v>
      </c>
      <c r="T1126">
        <v>401</v>
      </c>
      <c r="U1126">
        <v>390</v>
      </c>
      <c r="V1126">
        <v>500</v>
      </c>
      <c r="W1126">
        <v>2.79</v>
      </c>
    </row>
    <row r="1127" spans="1:23" x14ac:dyDescent="0.25">
      <c r="A1127" t="s">
        <v>38</v>
      </c>
      <c r="B1127">
        <v>7</v>
      </c>
      <c r="C1127">
        <v>15</v>
      </c>
      <c r="D1127">
        <v>2000</v>
      </c>
      <c r="E1127">
        <v>227.7</v>
      </c>
      <c r="F1127">
        <v>6.9</v>
      </c>
      <c r="G1127">
        <v>6</v>
      </c>
      <c r="H1127">
        <v>0.9</v>
      </c>
      <c r="I1127">
        <v>13</v>
      </c>
      <c r="J1127">
        <v>97.2</v>
      </c>
      <c r="K1127">
        <v>1628.8</v>
      </c>
      <c r="L1127">
        <v>412</v>
      </c>
      <c r="M1127">
        <v>392</v>
      </c>
      <c r="N1127">
        <v>548</v>
      </c>
      <c r="O1127">
        <v>156</v>
      </c>
      <c r="P1127">
        <v>345</v>
      </c>
      <c r="Q1127">
        <v>568</v>
      </c>
      <c r="R1127">
        <v>223</v>
      </c>
      <c r="S1127">
        <v>245.7</v>
      </c>
      <c r="T1127">
        <v>401</v>
      </c>
      <c r="U1127">
        <v>390</v>
      </c>
      <c r="V1127">
        <v>500</v>
      </c>
      <c r="W1127">
        <v>2.79</v>
      </c>
    </row>
    <row r="1128" spans="1:23" x14ac:dyDescent="0.25">
      <c r="A1128" t="s">
        <v>38</v>
      </c>
      <c r="B1128">
        <v>7</v>
      </c>
      <c r="C1128">
        <v>16</v>
      </c>
      <c r="D1128">
        <v>2001</v>
      </c>
      <c r="E1128">
        <v>232.8</v>
      </c>
      <c r="F1128">
        <v>5.0999999999999996</v>
      </c>
      <c r="G1128">
        <v>4.8</v>
      </c>
      <c r="H1128">
        <v>0.3</v>
      </c>
      <c r="I1128">
        <v>5</v>
      </c>
      <c r="J1128">
        <v>73.8</v>
      </c>
      <c r="K1128">
        <v>1702.6</v>
      </c>
      <c r="L1128">
        <v>406</v>
      </c>
      <c r="M1128">
        <v>395</v>
      </c>
      <c r="N1128">
        <v>583</v>
      </c>
      <c r="O1128">
        <v>188</v>
      </c>
      <c r="P1128">
        <v>361</v>
      </c>
      <c r="Q1128">
        <v>583</v>
      </c>
      <c r="R1128">
        <v>222</v>
      </c>
      <c r="S1128">
        <v>245.7</v>
      </c>
      <c r="T1128">
        <v>401</v>
      </c>
      <c r="U1128">
        <v>390</v>
      </c>
      <c r="V1128">
        <v>500</v>
      </c>
      <c r="W1128">
        <v>2.79</v>
      </c>
    </row>
    <row r="1129" spans="1:23" x14ac:dyDescent="0.25">
      <c r="A1129" t="s">
        <v>38</v>
      </c>
      <c r="B1129">
        <v>7</v>
      </c>
      <c r="C1129">
        <v>17</v>
      </c>
      <c r="D1129">
        <v>2002</v>
      </c>
      <c r="E1129">
        <v>237</v>
      </c>
      <c r="F1129">
        <v>4.2</v>
      </c>
      <c r="G1129">
        <v>3.6</v>
      </c>
      <c r="H1129">
        <v>0.6</v>
      </c>
      <c r="I1129">
        <v>14</v>
      </c>
      <c r="J1129">
        <v>62</v>
      </c>
      <c r="K1129">
        <v>1764.6</v>
      </c>
      <c r="L1129">
        <v>424</v>
      </c>
      <c r="M1129">
        <v>402</v>
      </c>
      <c r="N1129">
        <v>558</v>
      </c>
      <c r="O1129">
        <v>156</v>
      </c>
      <c r="P1129">
        <v>345</v>
      </c>
      <c r="Q1129">
        <v>589</v>
      </c>
      <c r="R1129">
        <v>244</v>
      </c>
      <c r="S1129">
        <v>245.7</v>
      </c>
      <c r="T1129">
        <v>401</v>
      </c>
      <c r="U1129">
        <v>390</v>
      </c>
      <c r="V1129">
        <v>500</v>
      </c>
      <c r="W1129">
        <v>2.79</v>
      </c>
    </row>
    <row r="1130" spans="1:23" x14ac:dyDescent="0.25">
      <c r="A1130" t="s">
        <v>38</v>
      </c>
      <c r="B1130">
        <v>7</v>
      </c>
      <c r="C1130">
        <v>18</v>
      </c>
      <c r="D1130">
        <v>2003</v>
      </c>
      <c r="E1130">
        <v>241.5</v>
      </c>
      <c r="F1130">
        <v>4.5</v>
      </c>
      <c r="G1130">
        <v>4.2</v>
      </c>
      <c r="H1130">
        <v>0.3</v>
      </c>
      <c r="I1130">
        <v>6</v>
      </c>
      <c r="J1130">
        <v>67.599999999999994</v>
      </c>
      <c r="K1130">
        <v>1832.2</v>
      </c>
      <c r="L1130">
        <v>400</v>
      </c>
      <c r="M1130">
        <v>392</v>
      </c>
      <c r="N1130">
        <v>509</v>
      </c>
      <c r="O1130">
        <v>117</v>
      </c>
      <c r="P1130">
        <v>358</v>
      </c>
      <c r="Q1130">
        <v>509</v>
      </c>
      <c r="R1130">
        <v>151</v>
      </c>
      <c r="S1130">
        <v>245.7</v>
      </c>
      <c r="T1130">
        <v>401</v>
      </c>
      <c r="U1130">
        <v>390</v>
      </c>
      <c r="V1130">
        <v>500</v>
      </c>
      <c r="W1130">
        <v>2.79</v>
      </c>
    </row>
    <row r="1131" spans="1:23" x14ac:dyDescent="0.25">
      <c r="A1131" t="s">
        <v>38</v>
      </c>
      <c r="B1131">
        <v>7</v>
      </c>
      <c r="C1131">
        <v>19</v>
      </c>
      <c r="D1131">
        <v>2004</v>
      </c>
      <c r="E1131">
        <v>245.7</v>
      </c>
      <c r="F1131">
        <v>4.2</v>
      </c>
      <c r="G1131">
        <v>3.6</v>
      </c>
      <c r="H1131">
        <v>0.6</v>
      </c>
      <c r="I1131">
        <v>14</v>
      </c>
      <c r="J1131">
        <v>64.3</v>
      </c>
      <c r="K1131">
        <v>1896.5</v>
      </c>
      <c r="L1131">
        <v>422</v>
      </c>
      <c r="M1131">
        <v>404</v>
      </c>
      <c r="N1131">
        <v>527</v>
      </c>
      <c r="O1131">
        <v>123</v>
      </c>
      <c r="P1131">
        <v>344</v>
      </c>
      <c r="Q1131">
        <v>553</v>
      </c>
      <c r="R1131">
        <v>209</v>
      </c>
      <c r="S1131">
        <v>245.7</v>
      </c>
      <c r="T1131">
        <v>401</v>
      </c>
      <c r="U1131">
        <v>390</v>
      </c>
      <c r="V1131">
        <v>500</v>
      </c>
      <c r="W1131">
        <v>2.79</v>
      </c>
    </row>
    <row r="1132" spans="1:23" x14ac:dyDescent="0.25">
      <c r="A1132" t="s">
        <v>38</v>
      </c>
      <c r="B1132">
        <v>7</v>
      </c>
      <c r="C1132">
        <v>20</v>
      </c>
      <c r="D1132">
        <v>2005</v>
      </c>
      <c r="E1132">
        <v>249</v>
      </c>
      <c r="F1132">
        <v>3.3</v>
      </c>
      <c r="G1132">
        <v>3</v>
      </c>
      <c r="H1132">
        <v>0.3</v>
      </c>
      <c r="I1132">
        <v>9</v>
      </c>
      <c r="J1132">
        <v>51.3</v>
      </c>
      <c r="K1132">
        <v>1947.8</v>
      </c>
      <c r="L1132">
        <v>417</v>
      </c>
      <c r="M1132">
        <v>405</v>
      </c>
      <c r="N1132">
        <v>535</v>
      </c>
      <c r="O1132">
        <v>130</v>
      </c>
      <c r="P1132">
        <v>344</v>
      </c>
      <c r="Q1132">
        <v>535</v>
      </c>
      <c r="R1132">
        <v>191</v>
      </c>
      <c r="S1132">
        <v>245.7</v>
      </c>
      <c r="T1132">
        <v>401</v>
      </c>
      <c r="U1132">
        <v>390</v>
      </c>
      <c r="V1132">
        <v>500</v>
      </c>
      <c r="W1132">
        <v>2.79</v>
      </c>
    </row>
    <row r="1133" spans="1:23" x14ac:dyDescent="0.25">
      <c r="A1133" t="s">
        <v>38</v>
      </c>
      <c r="B1133">
        <v>7</v>
      </c>
      <c r="C1133">
        <v>21</v>
      </c>
      <c r="D1133">
        <v>2006</v>
      </c>
      <c r="E1133">
        <v>251.1</v>
      </c>
      <c r="F1133">
        <v>2.1</v>
      </c>
      <c r="G1133">
        <v>1.8</v>
      </c>
      <c r="H1133">
        <v>0.3</v>
      </c>
      <c r="I1133">
        <v>14</v>
      </c>
      <c r="J1133">
        <v>33</v>
      </c>
      <c r="K1133">
        <v>1980.8</v>
      </c>
      <c r="L1133">
        <v>422</v>
      </c>
      <c r="M1133">
        <v>399</v>
      </c>
      <c r="N1133">
        <v>563</v>
      </c>
      <c r="O1133">
        <v>164</v>
      </c>
      <c r="P1133">
        <v>335</v>
      </c>
      <c r="Q1133">
        <v>563</v>
      </c>
      <c r="R1133">
        <v>228</v>
      </c>
      <c r="S1133">
        <v>245.7</v>
      </c>
      <c r="T1133">
        <v>401</v>
      </c>
      <c r="U1133">
        <v>390</v>
      </c>
      <c r="V1133">
        <v>500</v>
      </c>
      <c r="W1133">
        <v>2.79</v>
      </c>
    </row>
    <row r="1134" spans="1:23" x14ac:dyDescent="0.25">
      <c r="A1134" t="s">
        <v>38</v>
      </c>
      <c r="B1134">
        <v>7</v>
      </c>
      <c r="C1134">
        <v>22</v>
      </c>
      <c r="D1134">
        <v>2007</v>
      </c>
      <c r="E1134">
        <v>253.8</v>
      </c>
      <c r="F1134">
        <v>2.7</v>
      </c>
      <c r="G1134">
        <v>1.8</v>
      </c>
      <c r="H1134">
        <v>0.9</v>
      </c>
      <c r="I1134">
        <v>33</v>
      </c>
      <c r="J1134">
        <v>42.8</v>
      </c>
      <c r="K1134">
        <v>2023.6</v>
      </c>
      <c r="L1134">
        <v>447</v>
      </c>
      <c r="M1134">
        <v>413</v>
      </c>
      <c r="N1134">
        <v>516</v>
      </c>
      <c r="O1134">
        <v>103</v>
      </c>
      <c r="P1134">
        <v>341</v>
      </c>
      <c r="Q1134">
        <v>539</v>
      </c>
      <c r="R1134">
        <v>198</v>
      </c>
      <c r="S1134">
        <v>245.7</v>
      </c>
      <c r="T1134">
        <v>401</v>
      </c>
      <c r="U1134">
        <v>390</v>
      </c>
      <c r="V1134">
        <v>500</v>
      </c>
      <c r="W1134">
        <v>2.79</v>
      </c>
    </row>
    <row r="1135" spans="1:23" x14ac:dyDescent="0.25">
      <c r="A1135" t="s">
        <v>38</v>
      </c>
      <c r="B1135">
        <v>7</v>
      </c>
      <c r="C1135">
        <v>23</v>
      </c>
      <c r="D1135">
        <v>2008</v>
      </c>
      <c r="E1135">
        <v>257.39999999999998</v>
      </c>
      <c r="F1135">
        <v>3.6</v>
      </c>
      <c r="G1135">
        <v>3</v>
      </c>
      <c r="H1135">
        <v>0.6</v>
      </c>
      <c r="I1135">
        <v>16</v>
      </c>
      <c r="J1135">
        <v>57.8</v>
      </c>
      <c r="K1135">
        <v>2081.5</v>
      </c>
      <c r="L1135">
        <v>423</v>
      </c>
      <c r="M1135">
        <v>398</v>
      </c>
      <c r="N1135">
        <v>547</v>
      </c>
      <c r="O1135">
        <v>149</v>
      </c>
      <c r="P1135">
        <v>351</v>
      </c>
      <c r="Q1135">
        <v>567</v>
      </c>
      <c r="R1135">
        <v>216</v>
      </c>
      <c r="S1135">
        <v>245.7</v>
      </c>
      <c r="T1135">
        <v>401</v>
      </c>
      <c r="U1135">
        <v>390</v>
      </c>
      <c r="V1135">
        <v>500</v>
      </c>
      <c r="W1135">
        <v>2.79</v>
      </c>
    </row>
    <row r="1136" spans="1:23" x14ac:dyDescent="0.25">
      <c r="A1136" t="s">
        <v>38</v>
      </c>
      <c r="B1136">
        <v>7</v>
      </c>
      <c r="C1136">
        <v>24</v>
      </c>
      <c r="D1136">
        <v>2009</v>
      </c>
      <c r="E1136">
        <v>259.8</v>
      </c>
      <c r="F1136">
        <v>2.4</v>
      </c>
      <c r="G1136">
        <v>2.4</v>
      </c>
      <c r="H1136">
        <v>0</v>
      </c>
      <c r="I1136">
        <v>0</v>
      </c>
      <c r="J1136">
        <v>39</v>
      </c>
      <c r="K1136">
        <v>2120.5</v>
      </c>
      <c r="L1136">
        <v>394</v>
      </c>
      <c r="M1136">
        <v>394</v>
      </c>
      <c r="P1136">
        <v>337</v>
      </c>
      <c r="Q1136">
        <v>488</v>
      </c>
      <c r="R1136">
        <v>151</v>
      </c>
      <c r="S1136">
        <v>245.7</v>
      </c>
      <c r="T1136">
        <v>401</v>
      </c>
      <c r="U1136">
        <v>390</v>
      </c>
      <c r="V1136">
        <v>500</v>
      </c>
      <c r="W1136">
        <v>2.79</v>
      </c>
    </row>
    <row r="1137" spans="1:23" x14ac:dyDescent="0.25">
      <c r="A1137" t="s">
        <v>38</v>
      </c>
      <c r="B1137">
        <v>7</v>
      </c>
      <c r="C1137">
        <v>25</v>
      </c>
      <c r="D1137">
        <v>2010</v>
      </c>
      <c r="E1137">
        <v>261.60000000000002</v>
      </c>
      <c r="F1137">
        <v>1.8</v>
      </c>
      <c r="G1137">
        <v>1.2</v>
      </c>
      <c r="H1137">
        <v>0.6</v>
      </c>
      <c r="I1137">
        <v>33</v>
      </c>
      <c r="J1137">
        <v>29.5</v>
      </c>
      <c r="K1137">
        <v>2149.9</v>
      </c>
      <c r="L1137">
        <v>451</v>
      </c>
      <c r="M1137">
        <v>404</v>
      </c>
      <c r="N1137">
        <v>546</v>
      </c>
      <c r="O1137">
        <v>142</v>
      </c>
      <c r="P1137">
        <v>380</v>
      </c>
      <c r="Q1137">
        <v>551</v>
      </c>
      <c r="R1137">
        <v>171</v>
      </c>
      <c r="S1137">
        <v>245.7</v>
      </c>
      <c r="T1137">
        <v>401</v>
      </c>
      <c r="U1137">
        <v>390</v>
      </c>
      <c r="V1137">
        <v>500</v>
      </c>
      <c r="W1137">
        <v>2.79</v>
      </c>
    </row>
    <row r="1138" spans="1:23" x14ac:dyDescent="0.25">
      <c r="A1138" t="s">
        <v>38</v>
      </c>
      <c r="B1138">
        <v>7</v>
      </c>
      <c r="C1138">
        <v>26</v>
      </c>
      <c r="D1138">
        <v>2011</v>
      </c>
      <c r="E1138">
        <v>263.10000000000002</v>
      </c>
      <c r="F1138">
        <v>1.5</v>
      </c>
      <c r="G1138">
        <v>0.9</v>
      </c>
      <c r="H1138">
        <v>0.6</v>
      </c>
      <c r="I1138">
        <v>40</v>
      </c>
      <c r="J1138">
        <v>24.7</v>
      </c>
      <c r="K1138">
        <v>2174.6999999999998</v>
      </c>
      <c r="L1138">
        <v>435</v>
      </c>
      <c r="M1138">
        <v>380</v>
      </c>
      <c r="N1138">
        <v>519</v>
      </c>
      <c r="O1138">
        <v>139</v>
      </c>
      <c r="P1138">
        <v>352</v>
      </c>
      <c r="Q1138">
        <v>528</v>
      </c>
      <c r="R1138">
        <v>176</v>
      </c>
      <c r="S1138">
        <v>245.7</v>
      </c>
      <c r="T1138">
        <v>401</v>
      </c>
      <c r="U1138">
        <v>390</v>
      </c>
      <c r="V1138">
        <v>500</v>
      </c>
      <c r="W1138">
        <v>2.79</v>
      </c>
    </row>
    <row r="1139" spans="1:23" x14ac:dyDescent="0.25">
      <c r="A1139" t="s">
        <v>38</v>
      </c>
      <c r="B1139">
        <v>7</v>
      </c>
      <c r="C1139">
        <v>27</v>
      </c>
      <c r="D1139">
        <v>2012</v>
      </c>
      <c r="E1139">
        <v>263.7</v>
      </c>
      <c r="F1139">
        <v>0.6</v>
      </c>
      <c r="G1139">
        <v>0.3</v>
      </c>
      <c r="H1139">
        <v>0.3</v>
      </c>
      <c r="I1139">
        <v>49</v>
      </c>
      <c r="J1139">
        <v>9.9</v>
      </c>
      <c r="K1139">
        <v>2184.6</v>
      </c>
      <c r="L1139">
        <v>497</v>
      </c>
      <c r="M1139">
        <v>484</v>
      </c>
      <c r="N1139">
        <v>511</v>
      </c>
      <c r="O1139">
        <v>27</v>
      </c>
      <c r="P1139">
        <v>484</v>
      </c>
      <c r="Q1139">
        <v>511</v>
      </c>
      <c r="R1139">
        <v>27</v>
      </c>
      <c r="S1139">
        <v>245.7</v>
      </c>
      <c r="T1139">
        <v>401</v>
      </c>
      <c r="U1139">
        <v>390</v>
      </c>
      <c r="V1139">
        <v>500</v>
      </c>
      <c r="W1139">
        <v>2.79</v>
      </c>
    </row>
    <row r="1140" spans="1:23" x14ac:dyDescent="0.25">
      <c r="A1140" t="s">
        <v>38</v>
      </c>
      <c r="B1140">
        <v>8</v>
      </c>
      <c r="C1140">
        <v>2</v>
      </c>
      <c r="D1140">
        <v>1987</v>
      </c>
      <c r="E1140">
        <v>23.9</v>
      </c>
      <c r="F1140">
        <v>23.9</v>
      </c>
      <c r="G1140">
        <v>18.899999999999999</v>
      </c>
      <c r="H1140">
        <v>0</v>
      </c>
      <c r="I1140">
        <v>0</v>
      </c>
      <c r="J1140">
        <v>17.899999999999999</v>
      </c>
      <c r="K1140">
        <v>17.899999999999999</v>
      </c>
      <c r="L1140">
        <v>341</v>
      </c>
      <c r="M1140">
        <v>341</v>
      </c>
      <c r="P1140">
        <v>272</v>
      </c>
      <c r="Q1140">
        <v>465</v>
      </c>
      <c r="R1140">
        <v>193</v>
      </c>
      <c r="S1140">
        <v>249</v>
      </c>
      <c r="T1140">
        <v>395</v>
      </c>
      <c r="U1140">
        <v>365</v>
      </c>
      <c r="V1140">
        <v>500</v>
      </c>
      <c r="W1140">
        <v>2.79</v>
      </c>
    </row>
    <row r="1141" spans="1:23" x14ac:dyDescent="0.25">
      <c r="A1141" t="s">
        <v>38</v>
      </c>
      <c r="B1141">
        <v>8</v>
      </c>
      <c r="C1141">
        <v>3</v>
      </c>
      <c r="D1141">
        <v>1988</v>
      </c>
      <c r="E1141">
        <v>52.7</v>
      </c>
      <c r="F1141">
        <v>28.8</v>
      </c>
      <c r="G1141">
        <v>28.8</v>
      </c>
      <c r="H1141">
        <v>0</v>
      </c>
      <c r="I1141">
        <v>0</v>
      </c>
      <c r="J1141">
        <v>69.3</v>
      </c>
      <c r="K1141">
        <v>87.3</v>
      </c>
      <c r="L1141">
        <v>321</v>
      </c>
      <c r="M1141">
        <v>321</v>
      </c>
      <c r="P1141">
        <v>247</v>
      </c>
      <c r="Q1141">
        <v>429</v>
      </c>
      <c r="R1141">
        <v>182</v>
      </c>
      <c r="S1141">
        <v>249</v>
      </c>
      <c r="T1141">
        <v>395</v>
      </c>
      <c r="U1141">
        <v>365</v>
      </c>
      <c r="V1141">
        <v>500</v>
      </c>
      <c r="W1141">
        <v>2.79</v>
      </c>
    </row>
    <row r="1142" spans="1:23" x14ac:dyDescent="0.25">
      <c r="A1142" t="s">
        <v>38</v>
      </c>
      <c r="B1142">
        <v>8</v>
      </c>
      <c r="C1142">
        <v>4</v>
      </c>
      <c r="D1142">
        <v>1989</v>
      </c>
      <c r="E1142">
        <v>82.7</v>
      </c>
      <c r="F1142">
        <v>30</v>
      </c>
      <c r="G1142">
        <v>30</v>
      </c>
      <c r="H1142">
        <v>0</v>
      </c>
      <c r="I1142">
        <v>0</v>
      </c>
      <c r="J1142">
        <v>127.6</v>
      </c>
      <c r="K1142">
        <v>214.9</v>
      </c>
      <c r="L1142">
        <v>317</v>
      </c>
      <c r="M1142">
        <v>317</v>
      </c>
      <c r="P1142">
        <v>228</v>
      </c>
      <c r="Q1142">
        <v>458</v>
      </c>
      <c r="R1142">
        <v>230</v>
      </c>
      <c r="S1142">
        <v>249</v>
      </c>
      <c r="T1142">
        <v>395</v>
      </c>
      <c r="U1142">
        <v>365</v>
      </c>
      <c r="V1142">
        <v>500</v>
      </c>
      <c r="W1142">
        <v>2.79</v>
      </c>
    </row>
    <row r="1143" spans="1:23" x14ac:dyDescent="0.25">
      <c r="A1143" t="s">
        <v>38</v>
      </c>
      <c r="B1143">
        <v>8</v>
      </c>
      <c r="C1143">
        <v>5</v>
      </c>
      <c r="D1143">
        <v>1990</v>
      </c>
      <c r="E1143">
        <v>105.2</v>
      </c>
      <c r="F1143">
        <v>22.5</v>
      </c>
      <c r="G1143">
        <v>22.5</v>
      </c>
      <c r="H1143">
        <v>0</v>
      </c>
      <c r="I1143">
        <v>0</v>
      </c>
      <c r="J1143">
        <v>132.80000000000001</v>
      </c>
      <c r="K1143">
        <v>347.7</v>
      </c>
      <c r="L1143">
        <v>321</v>
      </c>
      <c r="M1143">
        <v>321</v>
      </c>
      <c r="P1143">
        <v>244</v>
      </c>
      <c r="Q1143">
        <v>461</v>
      </c>
      <c r="R1143">
        <v>217</v>
      </c>
      <c r="S1143">
        <v>249</v>
      </c>
      <c r="T1143">
        <v>395</v>
      </c>
      <c r="U1143">
        <v>365</v>
      </c>
      <c r="V1143">
        <v>500</v>
      </c>
      <c r="W1143">
        <v>2.79</v>
      </c>
    </row>
    <row r="1144" spans="1:23" x14ac:dyDescent="0.25">
      <c r="A1144" t="s">
        <v>38</v>
      </c>
      <c r="B1144">
        <v>8</v>
      </c>
      <c r="C1144">
        <v>6</v>
      </c>
      <c r="D1144">
        <v>1991</v>
      </c>
      <c r="E1144">
        <v>114.2</v>
      </c>
      <c r="F1144">
        <v>9</v>
      </c>
      <c r="G1144">
        <v>8.6999999999999993</v>
      </c>
      <c r="H1144">
        <v>0.3</v>
      </c>
      <c r="I1144">
        <v>3</v>
      </c>
      <c r="J1144">
        <v>62</v>
      </c>
      <c r="K1144">
        <v>409.7</v>
      </c>
      <c r="L1144">
        <v>355</v>
      </c>
      <c r="M1144">
        <v>349</v>
      </c>
      <c r="N1144">
        <v>511</v>
      </c>
      <c r="O1144">
        <v>162</v>
      </c>
      <c r="P1144">
        <v>270</v>
      </c>
      <c r="Q1144">
        <v>511</v>
      </c>
      <c r="R1144">
        <v>241</v>
      </c>
      <c r="S1144">
        <v>249</v>
      </c>
      <c r="T1144">
        <v>395</v>
      </c>
      <c r="U1144">
        <v>365</v>
      </c>
      <c r="V1144">
        <v>500</v>
      </c>
      <c r="W1144">
        <v>2.79</v>
      </c>
    </row>
    <row r="1145" spans="1:23" x14ac:dyDescent="0.25">
      <c r="A1145" t="s">
        <v>38</v>
      </c>
      <c r="B1145">
        <v>8</v>
      </c>
      <c r="C1145">
        <v>7</v>
      </c>
      <c r="D1145">
        <v>1992</v>
      </c>
      <c r="E1145">
        <v>140.30000000000001</v>
      </c>
      <c r="F1145">
        <v>26.1</v>
      </c>
      <c r="G1145">
        <v>26.1</v>
      </c>
      <c r="H1145">
        <v>0</v>
      </c>
      <c r="I1145">
        <v>0</v>
      </c>
      <c r="J1145">
        <v>208.7</v>
      </c>
      <c r="K1145">
        <v>618.4</v>
      </c>
      <c r="L1145">
        <v>344</v>
      </c>
      <c r="M1145">
        <v>344</v>
      </c>
      <c r="P1145">
        <v>276</v>
      </c>
      <c r="Q1145">
        <v>478</v>
      </c>
      <c r="R1145">
        <v>202</v>
      </c>
      <c r="S1145">
        <v>249</v>
      </c>
      <c r="T1145">
        <v>395</v>
      </c>
      <c r="U1145">
        <v>365</v>
      </c>
      <c r="V1145">
        <v>500</v>
      </c>
      <c r="W1145">
        <v>2.79</v>
      </c>
    </row>
    <row r="1146" spans="1:23" x14ac:dyDescent="0.25">
      <c r="A1146" t="s">
        <v>38</v>
      </c>
      <c r="B1146">
        <v>8</v>
      </c>
      <c r="C1146">
        <v>8</v>
      </c>
      <c r="D1146">
        <v>1993</v>
      </c>
      <c r="E1146">
        <v>166.4</v>
      </c>
      <c r="F1146">
        <v>26.1</v>
      </c>
      <c r="G1146">
        <v>26.1</v>
      </c>
      <c r="H1146">
        <v>0</v>
      </c>
      <c r="I1146">
        <v>0</v>
      </c>
      <c r="J1146">
        <v>251.5</v>
      </c>
      <c r="K1146">
        <v>869.9</v>
      </c>
      <c r="L1146">
        <v>354</v>
      </c>
      <c r="M1146">
        <v>354</v>
      </c>
      <c r="P1146">
        <v>274</v>
      </c>
      <c r="Q1146">
        <v>487</v>
      </c>
      <c r="R1146">
        <v>213</v>
      </c>
      <c r="S1146">
        <v>249</v>
      </c>
      <c r="T1146">
        <v>395</v>
      </c>
      <c r="U1146">
        <v>365</v>
      </c>
      <c r="V1146">
        <v>500</v>
      </c>
      <c r="W1146">
        <v>2.79</v>
      </c>
    </row>
    <row r="1147" spans="1:23" x14ac:dyDescent="0.25">
      <c r="A1147" t="s">
        <v>38</v>
      </c>
      <c r="B1147">
        <v>8</v>
      </c>
      <c r="C1147">
        <v>9</v>
      </c>
      <c r="D1147">
        <v>1994</v>
      </c>
      <c r="E1147">
        <v>188.6</v>
      </c>
      <c r="F1147">
        <v>22.2</v>
      </c>
      <c r="G1147">
        <v>21.3</v>
      </c>
      <c r="H1147">
        <v>0.9</v>
      </c>
      <c r="I1147">
        <v>4</v>
      </c>
      <c r="J1147">
        <v>247.6</v>
      </c>
      <c r="K1147">
        <v>1117.5</v>
      </c>
      <c r="L1147">
        <v>342</v>
      </c>
      <c r="M1147">
        <v>335</v>
      </c>
      <c r="N1147">
        <v>513</v>
      </c>
      <c r="O1147">
        <v>178</v>
      </c>
      <c r="P1147">
        <v>255</v>
      </c>
      <c r="Q1147">
        <v>522</v>
      </c>
      <c r="R1147">
        <v>267</v>
      </c>
      <c r="S1147">
        <v>249</v>
      </c>
      <c r="T1147">
        <v>395</v>
      </c>
      <c r="U1147">
        <v>365</v>
      </c>
      <c r="V1147">
        <v>500</v>
      </c>
      <c r="W1147">
        <v>2.79</v>
      </c>
    </row>
    <row r="1148" spans="1:23" x14ac:dyDescent="0.25">
      <c r="A1148" t="s">
        <v>38</v>
      </c>
      <c r="B1148">
        <v>8</v>
      </c>
      <c r="C1148">
        <v>10</v>
      </c>
      <c r="D1148">
        <v>1995</v>
      </c>
      <c r="E1148">
        <v>202.4</v>
      </c>
      <c r="F1148">
        <v>13.8</v>
      </c>
      <c r="G1148">
        <v>12.6</v>
      </c>
      <c r="H1148">
        <v>1.2</v>
      </c>
      <c r="I1148">
        <v>8</v>
      </c>
      <c r="J1148">
        <v>169.5</v>
      </c>
      <c r="K1148">
        <v>1287</v>
      </c>
      <c r="L1148">
        <v>371</v>
      </c>
      <c r="M1148">
        <v>358</v>
      </c>
      <c r="N1148">
        <v>516</v>
      </c>
      <c r="O1148">
        <v>158</v>
      </c>
      <c r="P1148">
        <v>260</v>
      </c>
      <c r="Q1148">
        <v>534</v>
      </c>
      <c r="R1148">
        <v>274</v>
      </c>
      <c r="S1148">
        <v>249</v>
      </c>
      <c r="T1148">
        <v>395</v>
      </c>
      <c r="U1148">
        <v>365</v>
      </c>
      <c r="V1148">
        <v>500</v>
      </c>
      <c r="W1148">
        <v>2.79</v>
      </c>
    </row>
    <row r="1149" spans="1:23" x14ac:dyDescent="0.25">
      <c r="A1149" t="s">
        <v>38</v>
      </c>
      <c r="B1149">
        <v>8</v>
      </c>
      <c r="C1149">
        <v>11</v>
      </c>
      <c r="D1149">
        <v>1996</v>
      </c>
      <c r="E1149">
        <v>211.4</v>
      </c>
      <c r="F1149">
        <v>9</v>
      </c>
      <c r="G1149">
        <v>9</v>
      </c>
      <c r="H1149">
        <v>0</v>
      </c>
      <c r="I1149">
        <v>0</v>
      </c>
      <c r="J1149">
        <v>117</v>
      </c>
      <c r="K1149">
        <v>1404</v>
      </c>
      <c r="L1149">
        <v>335</v>
      </c>
      <c r="M1149">
        <v>335</v>
      </c>
      <c r="P1149">
        <v>260</v>
      </c>
      <c r="Q1149">
        <v>493</v>
      </c>
      <c r="R1149">
        <v>233</v>
      </c>
      <c r="S1149">
        <v>249</v>
      </c>
      <c r="T1149">
        <v>395</v>
      </c>
      <c r="U1149">
        <v>365</v>
      </c>
      <c r="V1149">
        <v>500</v>
      </c>
      <c r="W1149">
        <v>2.79</v>
      </c>
    </row>
    <row r="1150" spans="1:23" x14ac:dyDescent="0.25">
      <c r="A1150" t="s">
        <v>38</v>
      </c>
      <c r="B1150">
        <v>8</v>
      </c>
      <c r="C1150">
        <v>12</v>
      </c>
      <c r="D1150">
        <v>1997</v>
      </c>
      <c r="E1150">
        <v>216.8</v>
      </c>
      <c r="F1150">
        <v>5.4</v>
      </c>
      <c r="G1150">
        <v>5.4</v>
      </c>
      <c r="H1150">
        <v>0</v>
      </c>
      <c r="I1150">
        <v>0</v>
      </c>
      <c r="J1150">
        <v>72.599999999999994</v>
      </c>
      <c r="K1150">
        <v>1476.6</v>
      </c>
      <c r="L1150">
        <v>342</v>
      </c>
      <c r="M1150">
        <v>342</v>
      </c>
      <c r="P1150">
        <v>278</v>
      </c>
      <c r="Q1150">
        <v>459</v>
      </c>
      <c r="R1150">
        <v>181</v>
      </c>
      <c r="S1150">
        <v>249</v>
      </c>
      <c r="T1150">
        <v>395</v>
      </c>
      <c r="U1150">
        <v>365</v>
      </c>
      <c r="V1150">
        <v>500</v>
      </c>
      <c r="W1150">
        <v>2.79</v>
      </c>
    </row>
    <row r="1151" spans="1:23" x14ac:dyDescent="0.25">
      <c r="A1151" t="s">
        <v>38</v>
      </c>
      <c r="B1151">
        <v>8</v>
      </c>
      <c r="C1151">
        <v>13</v>
      </c>
      <c r="D1151">
        <v>1998</v>
      </c>
      <c r="E1151">
        <v>220.7</v>
      </c>
      <c r="F1151">
        <v>3.9</v>
      </c>
      <c r="G1151">
        <v>3.9</v>
      </c>
      <c r="H1151">
        <v>0</v>
      </c>
      <c r="I1151">
        <v>0</v>
      </c>
      <c r="J1151">
        <v>53.6</v>
      </c>
      <c r="K1151">
        <v>1530.2</v>
      </c>
      <c r="L1151">
        <v>365</v>
      </c>
      <c r="M1151">
        <v>365</v>
      </c>
      <c r="P1151">
        <v>334</v>
      </c>
      <c r="Q1151">
        <v>467</v>
      </c>
      <c r="R1151">
        <v>133</v>
      </c>
      <c r="S1151">
        <v>249</v>
      </c>
      <c r="T1151">
        <v>395</v>
      </c>
      <c r="U1151">
        <v>365</v>
      </c>
      <c r="V1151">
        <v>500</v>
      </c>
      <c r="W1151">
        <v>2.79</v>
      </c>
    </row>
    <row r="1152" spans="1:23" x14ac:dyDescent="0.25">
      <c r="A1152" t="s">
        <v>38</v>
      </c>
      <c r="B1152">
        <v>8</v>
      </c>
      <c r="C1152">
        <v>14</v>
      </c>
      <c r="D1152">
        <v>1999</v>
      </c>
      <c r="E1152">
        <v>225.2</v>
      </c>
      <c r="F1152">
        <v>4.5</v>
      </c>
      <c r="G1152">
        <v>4.5</v>
      </c>
      <c r="H1152">
        <v>0</v>
      </c>
      <c r="I1152">
        <v>0</v>
      </c>
      <c r="J1152">
        <v>63</v>
      </c>
      <c r="K1152">
        <v>1593.3</v>
      </c>
      <c r="L1152">
        <v>368</v>
      </c>
      <c r="M1152">
        <v>368</v>
      </c>
      <c r="P1152">
        <v>322</v>
      </c>
      <c r="Q1152">
        <v>465</v>
      </c>
      <c r="R1152">
        <v>143</v>
      </c>
      <c r="S1152">
        <v>249</v>
      </c>
      <c r="T1152">
        <v>395</v>
      </c>
      <c r="U1152">
        <v>365</v>
      </c>
      <c r="V1152">
        <v>500</v>
      </c>
      <c r="W1152">
        <v>2.79</v>
      </c>
    </row>
    <row r="1153" spans="1:23" x14ac:dyDescent="0.25">
      <c r="A1153" t="s">
        <v>38</v>
      </c>
      <c r="B1153">
        <v>8</v>
      </c>
      <c r="C1153">
        <v>15</v>
      </c>
      <c r="D1153">
        <v>2000</v>
      </c>
      <c r="E1153">
        <v>229.4</v>
      </c>
      <c r="F1153">
        <v>4.2</v>
      </c>
      <c r="G1153">
        <v>3.9</v>
      </c>
      <c r="H1153">
        <v>0.3</v>
      </c>
      <c r="I1153">
        <v>7</v>
      </c>
      <c r="J1153">
        <v>60</v>
      </c>
      <c r="K1153">
        <v>1653.2</v>
      </c>
      <c r="L1153">
        <v>388</v>
      </c>
      <c r="M1153">
        <v>378</v>
      </c>
      <c r="N1153">
        <v>516</v>
      </c>
      <c r="O1153">
        <v>138</v>
      </c>
      <c r="P1153">
        <v>331</v>
      </c>
      <c r="Q1153">
        <v>516</v>
      </c>
      <c r="R1153">
        <v>185</v>
      </c>
      <c r="S1153">
        <v>249</v>
      </c>
      <c r="T1153">
        <v>395</v>
      </c>
      <c r="U1153">
        <v>365</v>
      </c>
      <c r="V1153">
        <v>500</v>
      </c>
      <c r="W1153">
        <v>2.79</v>
      </c>
    </row>
    <row r="1154" spans="1:23" x14ac:dyDescent="0.25">
      <c r="A1154" t="s">
        <v>38</v>
      </c>
      <c r="B1154">
        <v>8</v>
      </c>
      <c r="C1154">
        <v>16</v>
      </c>
      <c r="D1154">
        <v>2001</v>
      </c>
      <c r="E1154">
        <v>232.4</v>
      </c>
      <c r="F1154">
        <v>3</v>
      </c>
      <c r="G1154">
        <v>3</v>
      </c>
      <c r="H1154">
        <v>0</v>
      </c>
      <c r="I1154">
        <v>0</v>
      </c>
      <c r="J1154">
        <v>43.5</v>
      </c>
      <c r="K1154">
        <v>1696.8</v>
      </c>
      <c r="L1154">
        <v>431</v>
      </c>
      <c r="M1154">
        <v>431</v>
      </c>
      <c r="P1154">
        <v>373</v>
      </c>
      <c r="Q1154">
        <v>491</v>
      </c>
      <c r="R1154">
        <v>118</v>
      </c>
      <c r="S1154">
        <v>249</v>
      </c>
      <c r="T1154">
        <v>395</v>
      </c>
      <c r="U1154">
        <v>365</v>
      </c>
      <c r="V1154">
        <v>500</v>
      </c>
      <c r="W1154">
        <v>2.79</v>
      </c>
    </row>
    <row r="1155" spans="1:23" x14ac:dyDescent="0.25">
      <c r="A1155" t="s">
        <v>38</v>
      </c>
      <c r="B1155">
        <v>8</v>
      </c>
      <c r="C1155">
        <v>17</v>
      </c>
      <c r="D1155">
        <v>2002</v>
      </c>
      <c r="E1155">
        <v>234.8</v>
      </c>
      <c r="F1155">
        <v>2.4</v>
      </c>
      <c r="G1155">
        <v>2.1</v>
      </c>
      <c r="H1155">
        <v>0.3</v>
      </c>
      <c r="I1155">
        <v>12</v>
      </c>
      <c r="J1155">
        <v>35.200000000000003</v>
      </c>
      <c r="K1155">
        <v>1732</v>
      </c>
      <c r="L1155">
        <v>446</v>
      </c>
      <c r="M1155">
        <v>431</v>
      </c>
      <c r="N1155">
        <v>550</v>
      </c>
      <c r="O1155">
        <v>119</v>
      </c>
      <c r="P1155">
        <v>393</v>
      </c>
      <c r="Q1155">
        <v>550</v>
      </c>
      <c r="R1155">
        <v>157</v>
      </c>
      <c r="S1155">
        <v>249</v>
      </c>
      <c r="T1155">
        <v>395</v>
      </c>
      <c r="U1155">
        <v>365</v>
      </c>
      <c r="V1155">
        <v>500</v>
      </c>
      <c r="W1155">
        <v>2.79</v>
      </c>
    </row>
    <row r="1156" spans="1:23" x14ac:dyDescent="0.25">
      <c r="A1156" t="s">
        <v>38</v>
      </c>
      <c r="B1156">
        <v>8</v>
      </c>
      <c r="C1156">
        <v>18</v>
      </c>
      <c r="D1156">
        <v>2003</v>
      </c>
      <c r="E1156">
        <v>238.1</v>
      </c>
      <c r="F1156">
        <v>3.3</v>
      </c>
      <c r="G1156">
        <v>2.7</v>
      </c>
      <c r="H1156">
        <v>0.6</v>
      </c>
      <c r="I1156">
        <v>18</v>
      </c>
      <c r="J1156">
        <v>49</v>
      </c>
      <c r="K1156">
        <v>1781</v>
      </c>
      <c r="L1156">
        <v>438</v>
      </c>
      <c r="M1156">
        <v>421</v>
      </c>
      <c r="N1156">
        <v>515</v>
      </c>
      <c r="O1156">
        <v>94</v>
      </c>
      <c r="P1156">
        <v>357</v>
      </c>
      <c r="Q1156">
        <v>519</v>
      </c>
      <c r="R1156">
        <v>162</v>
      </c>
      <c r="S1156">
        <v>249</v>
      </c>
      <c r="T1156">
        <v>395</v>
      </c>
      <c r="U1156">
        <v>365</v>
      </c>
      <c r="V1156">
        <v>500</v>
      </c>
      <c r="W1156">
        <v>2.79</v>
      </c>
    </row>
    <row r="1157" spans="1:23" x14ac:dyDescent="0.25">
      <c r="A1157" t="s">
        <v>38</v>
      </c>
      <c r="B1157">
        <v>8</v>
      </c>
      <c r="C1157">
        <v>19</v>
      </c>
      <c r="D1157">
        <v>2004</v>
      </c>
      <c r="E1157">
        <v>240.2</v>
      </c>
      <c r="F1157">
        <v>2.1</v>
      </c>
      <c r="G1157">
        <v>1.8</v>
      </c>
      <c r="H1157">
        <v>0.3</v>
      </c>
      <c r="I1157">
        <v>14</v>
      </c>
      <c r="J1157">
        <v>31.6</v>
      </c>
      <c r="K1157">
        <v>1812.6</v>
      </c>
      <c r="L1157">
        <v>445</v>
      </c>
      <c r="M1157">
        <v>425</v>
      </c>
      <c r="N1157">
        <v>561</v>
      </c>
      <c r="O1157">
        <v>136</v>
      </c>
      <c r="P1157">
        <v>376</v>
      </c>
      <c r="Q1157">
        <v>561</v>
      </c>
      <c r="R1157">
        <v>185</v>
      </c>
      <c r="S1157">
        <v>249</v>
      </c>
      <c r="T1157">
        <v>395</v>
      </c>
      <c r="U1157">
        <v>365</v>
      </c>
      <c r="V1157">
        <v>500</v>
      </c>
      <c r="W1157">
        <v>2.79</v>
      </c>
    </row>
    <row r="1158" spans="1:23" x14ac:dyDescent="0.25">
      <c r="A1158" t="s">
        <v>38</v>
      </c>
      <c r="B1158">
        <v>8</v>
      </c>
      <c r="C1158">
        <v>20</v>
      </c>
      <c r="D1158">
        <v>2005</v>
      </c>
      <c r="E1158">
        <v>242.3</v>
      </c>
      <c r="F1158">
        <v>2.1</v>
      </c>
      <c r="G1158">
        <v>1.5</v>
      </c>
      <c r="H1158">
        <v>0.6</v>
      </c>
      <c r="I1158">
        <v>28</v>
      </c>
      <c r="J1158">
        <v>31.8</v>
      </c>
      <c r="K1158">
        <v>1844.4</v>
      </c>
      <c r="L1158">
        <v>471</v>
      </c>
      <c r="M1158">
        <v>444</v>
      </c>
      <c r="N1158">
        <v>537</v>
      </c>
      <c r="O1158">
        <v>93</v>
      </c>
      <c r="P1158">
        <v>404</v>
      </c>
      <c r="Q1158">
        <v>572</v>
      </c>
      <c r="R1158">
        <v>168</v>
      </c>
      <c r="S1158">
        <v>249</v>
      </c>
      <c r="T1158">
        <v>395</v>
      </c>
      <c r="U1158">
        <v>365</v>
      </c>
      <c r="V1158">
        <v>500</v>
      </c>
      <c r="W1158">
        <v>2.79</v>
      </c>
    </row>
    <row r="1159" spans="1:23" x14ac:dyDescent="0.25">
      <c r="A1159" t="s">
        <v>38</v>
      </c>
      <c r="B1159">
        <v>8</v>
      </c>
      <c r="C1159">
        <v>21</v>
      </c>
      <c r="D1159">
        <v>2006</v>
      </c>
      <c r="E1159">
        <v>244.1</v>
      </c>
      <c r="F1159">
        <v>1.8</v>
      </c>
      <c r="G1159">
        <v>1.5</v>
      </c>
      <c r="H1159">
        <v>0.3</v>
      </c>
      <c r="I1159">
        <v>16</v>
      </c>
      <c r="J1159">
        <v>27.5</v>
      </c>
      <c r="K1159">
        <v>1871.9</v>
      </c>
      <c r="L1159">
        <v>461</v>
      </c>
      <c r="M1159">
        <v>443</v>
      </c>
      <c r="N1159">
        <v>552</v>
      </c>
      <c r="O1159">
        <v>109</v>
      </c>
      <c r="P1159">
        <v>390</v>
      </c>
      <c r="Q1159">
        <v>552</v>
      </c>
      <c r="R1159">
        <v>162</v>
      </c>
      <c r="S1159">
        <v>249</v>
      </c>
      <c r="T1159">
        <v>395</v>
      </c>
      <c r="U1159">
        <v>365</v>
      </c>
      <c r="V1159">
        <v>500</v>
      </c>
      <c r="W1159">
        <v>2.79</v>
      </c>
    </row>
    <row r="1160" spans="1:23" x14ac:dyDescent="0.25">
      <c r="A1160" t="s">
        <v>38</v>
      </c>
      <c r="B1160">
        <v>8</v>
      </c>
      <c r="C1160">
        <v>22</v>
      </c>
      <c r="D1160">
        <v>2007</v>
      </c>
      <c r="E1160">
        <v>245.6</v>
      </c>
      <c r="F1160">
        <v>1.5</v>
      </c>
      <c r="G1160">
        <v>1.2</v>
      </c>
      <c r="H1160">
        <v>0.3</v>
      </c>
      <c r="I1160">
        <v>20</v>
      </c>
      <c r="J1160">
        <v>23.1</v>
      </c>
      <c r="K1160">
        <v>1895</v>
      </c>
      <c r="L1160">
        <v>468</v>
      </c>
      <c r="M1160">
        <v>454</v>
      </c>
      <c r="N1160">
        <v>524</v>
      </c>
      <c r="O1160">
        <v>70</v>
      </c>
      <c r="P1160">
        <v>408</v>
      </c>
      <c r="Q1160">
        <v>524</v>
      </c>
      <c r="R1160">
        <v>116</v>
      </c>
      <c r="S1160">
        <v>249</v>
      </c>
      <c r="T1160">
        <v>395</v>
      </c>
      <c r="U1160">
        <v>365</v>
      </c>
      <c r="V1160">
        <v>500</v>
      </c>
      <c r="W1160">
        <v>2.79</v>
      </c>
    </row>
    <row r="1161" spans="1:23" x14ac:dyDescent="0.25">
      <c r="A1161" t="s">
        <v>38</v>
      </c>
      <c r="B1161">
        <v>8</v>
      </c>
      <c r="C1161">
        <v>23</v>
      </c>
      <c r="D1161">
        <v>2008</v>
      </c>
      <c r="E1161">
        <v>247.7</v>
      </c>
      <c r="F1161">
        <v>2.1</v>
      </c>
      <c r="G1161">
        <v>1.5</v>
      </c>
      <c r="H1161">
        <v>0.6</v>
      </c>
      <c r="I1161">
        <v>28</v>
      </c>
      <c r="J1161">
        <v>32.5</v>
      </c>
      <c r="K1161">
        <v>1927.5</v>
      </c>
      <c r="L1161">
        <v>456</v>
      </c>
      <c r="M1161">
        <v>429</v>
      </c>
      <c r="N1161">
        <v>524</v>
      </c>
      <c r="O1161">
        <v>95</v>
      </c>
      <c r="P1161">
        <v>412</v>
      </c>
      <c r="Q1161">
        <v>542</v>
      </c>
      <c r="R1161">
        <v>130</v>
      </c>
      <c r="S1161">
        <v>249</v>
      </c>
      <c r="T1161">
        <v>395</v>
      </c>
      <c r="U1161">
        <v>365</v>
      </c>
      <c r="V1161">
        <v>500</v>
      </c>
      <c r="W1161">
        <v>2.79</v>
      </c>
    </row>
    <row r="1162" spans="1:23" x14ac:dyDescent="0.25">
      <c r="A1162" t="s">
        <v>38</v>
      </c>
      <c r="B1162">
        <v>8</v>
      </c>
      <c r="C1162">
        <v>24</v>
      </c>
      <c r="D1162">
        <v>2009</v>
      </c>
      <c r="E1162">
        <v>249.5</v>
      </c>
      <c r="F1162">
        <v>1.8</v>
      </c>
      <c r="G1162">
        <v>1.5</v>
      </c>
      <c r="H1162">
        <v>0.3</v>
      </c>
      <c r="I1162">
        <v>16</v>
      </c>
      <c r="J1162">
        <v>28.1</v>
      </c>
      <c r="K1162">
        <v>1955.6</v>
      </c>
      <c r="L1162">
        <v>468</v>
      </c>
      <c r="M1162">
        <v>453</v>
      </c>
      <c r="N1162">
        <v>545</v>
      </c>
      <c r="O1162">
        <v>92</v>
      </c>
      <c r="P1162">
        <v>414</v>
      </c>
      <c r="Q1162">
        <v>545</v>
      </c>
      <c r="R1162">
        <v>131</v>
      </c>
      <c r="S1162">
        <v>249</v>
      </c>
      <c r="T1162">
        <v>395</v>
      </c>
      <c r="U1162">
        <v>365</v>
      </c>
      <c r="V1162">
        <v>500</v>
      </c>
      <c r="W1162">
        <v>2.79</v>
      </c>
    </row>
    <row r="1163" spans="1:23" x14ac:dyDescent="0.25">
      <c r="A1163" t="s">
        <v>38</v>
      </c>
      <c r="B1163">
        <v>8</v>
      </c>
      <c r="C1163">
        <v>25</v>
      </c>
      <c r="D1163">
        <v>2010</v>
      </c>
      <c r="E1163">
        <v>251.6</v>
      </c>
      <c r="F1163">
        <v>2.1</v>
      </c>
      <c r="G1163">
        <v>2.1</v>
      </c>
      <c r="H1163">
        <v>0</v>
      </c>
      <c r="I1163">
        <v>0</v>
      </c>
      <c r="J1163">
        <v>33.1</v>
      </c>
      <c r="K1163">
        <v>1988.7</v>
      </c>
      <c r="L1163">
        <v>437</v>
      </c>
      <c r="M1163">
        <v>437</v>
      </c>
      <c r="P1163">
        <v>395</v>
      </c>
      <c r="Q1163">
        <v>496</v>
      </c>
      <c r="R1163">
        <v>101</v>
      </c>
      <c r="S1163">
        <v>249</v>
      </c>
      <c r="T1163">
        <v>395</v>
      </c>
      <c r="U1163">
        <v>365</v>
      </c>
      <c r="V1163">
        <v>500</v>
      </c>
      <c r="W1163">
        <v>2.79</v>
      </c>
    </row>
    <row r="1164" spans="1:23" x14ac:dyDescent="0.25">
      <c r="A1164" t="s">
        <v>38</v>
      </c>
      <c r="B1164">
        <v>8</v>
      </c>
      <c r="C1164">
        <v>26</v>
      </c>
      <c r="D1164">
        <v>2011</v>
      </c>
      <c r="E1164">
        <v>252.8</v>
      </c>
      <c r="F1164">
        <v>1.2</v>
      </c>
      <c r="G1164">
        <v>1.2</v>
      </c>
      <c r="H1164">
        <v>0</v>
      </c>
      <c r="I1164">
        <v>0</v>
      </c>
      <c r="J1164">
        <v>19</v>
      </c>
      <c r="K1164">
        <v>2007.7</v>
      </c>
      <c r="L1164">
        <v>445</v>
      </c>
      <c r="M1164">
        <v>445</v>
      </c>
      <c r="P1164">
        <v>418</v>
      </c>
      <c r="Q1164">
        <v>481</v>
      </c>
      <c r="R1164">
        <v>63</v>
      </c>
      <c r="S1164">
        <v>249</v>
      </c>
      <c r="T1164">
        <v>395</v>
      </c>
      <c r="U1164">
        <v>365</v>
      </c>
      <c r="V1164">
        <v>500</v>
      </c>
      <c r="W1164">
        <v>2.79</v>
      </c>
    </row>
    <row r="1165" spans="1:23" x14ac:dyDescent="0.25">
      <c r="A1165" t="s">
        <v>38</v>
      </c>
      <c r="B1165">
        <v>8</v>
      </c>
      <c r="C1165">
        <v>27</v>
      </c>
      <c r="D1165">
        <v>2012</v>
      </c>
      <c r="E1165">
        <v>254</v>
      </c>
      <c r="F1165">
        <v>1.2</v>
      </c>
      <c r="G1165">
        <v>1.2</v>
      </c>
      <c r="H1165">
        <v>0</v>
      </c>
      <c r="I1165">
        <v>0</v>
      </c>
      <c r="J1165">
        <v>19.100000000000001</v>
      </c>
      <c r="K1165">
        <v>2026.8</v>
      </c>
      <c r="L1165">
        <v>456</v>
      </c>
      <c r="M1165">
        <v>456</v>
      </c>
      <c r="P1165">
        <v>427</v>
      </c>
      <c r="Q1165">
        <v>499</v>
      </c>
      <c r="R1165">
        <v>72</v>
      </c>
      <c r="S1165">
        <v>249</v>
      </c>
      <c r="T1165">
        <v>395</v>
      </c>
      <c r="U1165">
        <v>365</v>
      </c>
      <c r="V1165">
        <v>500</v>
      </c>
      <c r="W1165">
        <v>2.79</v>
      </c>
    </row>
    <row r="1166" spans="1:23" x14ac:dyDescent="0.25">
      <c r="A1166" t="s">
        <v>38</v>
      </c>
      <c r="B1166">
        <v>10</v>
      </c>
      <c r="C1166">
        <v>3</v>
      </c>
      <c r="D1166">
        <v>1988</v>
      </c>
      <c r="E1166">
        <v>34.5</v>
      </c>
      <c r="F1166">
        <v>34.5</v>
      </c>
      <c r="G1166">
        <v>19.5</v>
      </c>
      <c r="H1166">
        <v>0</v>
      </c>
      <c r="I1166">
        <v>0</v>
      </c>
      <c r="J1166">
        <v>37.4</v>
      </c>
      <c r="K1166">
        <v>37.4</v>
      </c>
      <c r="L1166">
        <v>369</v>
      </c>
      <c r="M1166">
        <v>369</v>
      </c>
      <c r="P1166">
        <v>206</v>
      </c>
      <c r="Q1166">
        <v>485</v>
      </c>
      <c r="R1166">
        <v>279</v>
      </c>
      <c r="S1166">
        <v>289.5</v>
      </c>
      <c r="T1166">
        <v>393</v>
      </c>
      <c r="U1166">
        <v>393</v>
      </c>
      <c r="V1166">
        <v>500</v>
      </c>
      <c r="W1166">
        <v>2.79</v>
      </c>
    </row>
    <row r="1167" spans="1:23" x14ac:dyDescent="0.25">
      <c r="A1167" t="s">
        <v>38</v>
      </c>
      <c r="B1167">
        <v>10</v>
      </c>
      <c r="C1167">
        <v>4</v>
      </c>
      <c r="D1167">
        <v>1989</v>
      </c>
      <c r="E1167">
        <v>52.5</v>
      </c>
      <c r="F1167">
        <v>18</v>
      </c>
      <c r="G1167">
        <v>18</v>
      </c>
      <c r="H1167">
        <v>0</v>
      </c>
      <c r="I1167">
        <v>0</v>
      </c>
      <c r="J1167">
        <v>49.2</v>
      </c>
      <c r="K1167">
        <v>86.6</v>
      </c>
      <c r="L1167">
        <v>358</v>
      </c>
      <c r="M1167">
        <v>358</v>
      </c>
      <c r="P1167">
        <v>301</v>
      </c>
      <c r="Q1167">
        <v>460</v>
      </c>
      <c r="R1167">
        <v>159</v>
      </c>
      <c r="S1167">
        <v>289.5</v>
      </c>
      <c r="T1167">
        <v>393</v>
      </c>
      <c r="U1167">
        <v>393</v>
      </c>
      <c r="V1167">
        <v>500</v>
      </c>
      <c r="W1167">
        <v>2.79</v>
      </c>
    </row>
    <row r="1168" spans="1:23" x14ac:dyDescent="0.25">
      <c r="A1168" t="s">
        <v>38</v>
      </c>
      <c r="B1168">
        <v>10</v>
      </c>
      <c r="C1168">
        <v>5</v>
      </c>
      <c r="D1168">
        <v>1990</v>
      </c>
      <c r="E1168">
        <v>66.900000000000006</v>
      </c>
      <c r="F1168">
        <v>14.4</v>
      </c>
      <c r="G1168">
        <v>13.2</v>
      </c>
      <c r="H1168">
        <v>1.2</v>
      </c>
      <c r="I1168">
        <v>8</v>
      </c>
      <c r="J1168">
        <v>54</v>
      </c>
      <c r="K1168">
        <v>140.6</v>
      </c>
      <c r="L1168">
        <v>360</v>
      </c>
      <c r="M1168">
        <v>347</v>
      </c>
      <c r="N1168">
        <v>507</v>
      </c>
      <c r="O1168">
        <v>160</v>
      </c>
      <c r="P1168">
        <v>271</v>
      </c>
      <c r="Q1168">
        <v>515</v>
      </c>
      <c r="R1168">
        <v>244</v>
      </c>
      <c r="S1168">
        <v>289.5</v>
      </c>
      <c r="T1168">
        <v>393</v>
      </c>
      <c r="U1168">
        <v>393</v>
      </c>
      <c r="V1168">
        <v>500</v>
      </c>
      <c r="W1168">
        <v>2.79</v>
      </c>
    </row>
    <row r="1169" spans="1:23" x14ac:dyDescent="0.25">
      <c r="A1169" t="s">
        <v>38</v>
      </c>
      <c r="B1169">
        <v>10</v>
      </c>
      <c r="C1169">
        <v>6</v>
      </c>
      <c r="D1169">
        <v>1991</v>
      </c>
      <c r="E1169">
        <v>88.5</v>
      </c>
      <c r="F1169">
        <v>21.6</v>
      </c>
      <c r="G1169">
        <v>20.399999999999999</v>
      </c>
      <c r="H1169">
        <v>1.2</v>
      </c>
      <c r="I1169">
        <v>5</v>
      </c>
      <c r="J1169">
        <v>105.5</v>
      </c>
      <c r="K1169">
        <v>246.1</v>
      </c>
      <c r="L1169">
        <v>391</v>
      </c>
      <c r="M1169">
        <v>384</v>
      </c>
      <c r="N1169">
        <v>516</v>
      </c>
      <c r="O1169">
        <v>132</v>
      </c>
      <c r="P1169">
        <v>313</v>
      </c>
      <c r="Q1169">
        <v>520</v>
      </c>
      <c r="R1169">
        <v>207</v>
      </c>
      <c r="S1169">
        <v>289.5</v>
      </c>
      <c r="T1169">
        <v>393</v>
      </c>
      <c r="U1169">
        <v>393</v>
      </c>
      <c r="V1169">
        <v>500</v>
      </c>
      <c r="W1169">
        <v>2.79</v>
      </c>
    </row>
    <row r="1170" spans="1:23" x14ac:dyDescent="0.25">
      <c r="A1170" t="s">
        <v>38</v>
      </c>
      <c r="B1170">
        <v>10</v>
      </c>
      <c r="C1170">
        <v>7</v>
      </c>
      <c r="D1170">
        <v>1992</v>
      </c>
      <c r="E1170">
        <v>111.3</v>
      </c>
      <c r="F1170">
        <v>22.8</v>
      </c>
      <c r="G1170">
        <v>21.3</v>
      </c>
      <c r="H1170">
        <v>1.5</v>
      </c>
      <c r="I1170">
        <v>6</v>
      </c>
      <c r="J1170">
        <v>143.1</v>
      </c>
      <c r="K1170">
        <v>389.2</v>
      </c>
      <c r="L1170">
        <v>390</v>
      </c>
      <c r="M1170">
        <v>381</v>
      </c>
      <c r="N1170">
        <v>511</v>
      </c>
      <c r="O1170">
        <v>130</v>
      </c>
      <c r="P1170">
        <v>335</v>
      </c>
      <c r="Q1170">
        <v>526</v>
      </c>
      <c r="R1170">
        <v>191</v>
      </c>
      <c r="S1170">
        <v>289.5</v>
      </c>
      <c r="T1170">
        <v>393</v>
      </c>
      <c r="U1170">
        <v>393</v>
      </c>
      <c r="V1170">
        <v>500</v>
      </c>
      <c r="W1170">
        <v>2.79</v>
      </c>
    </row>
    <row r="1171" spans="1:23" x14ac:dyDescent="0.25">
      <c r="A1171" t="s">
        <v>38</v>
      </c>
      <c r="B1171">
        <v>10</v>
      </c>
      <c r="C1171">
        <v>8</v>
      </c>
      <c r="D1171">
        <v>1993</v>
      </c>
      <c r="E1171">
        <v>129.9</v>
      </c>
      <c r="F1171">
        <v>18.600000000000001</v>
      </c>
      <c r="G1171">
        <v>17.7</v>
      </c>
      <c r="H1171">
        <v>0.9</v>
      </c>
      <c r="I1171">
        <v>4</v>
      </c>
      <c r="J1171">
        <v>140.9</v>
      </c>
      <c r="K1171">
        <v>530.1</v>
      </c>
      <c r="L1171">
        <v>390</v>
      </c>
      <c r="M1171">
        <v>384</v>
      </c>
      <c r="N1171">
        <v>505</v>
      </c>
      <c r="O1171">
        <v>121</v>
      </c>
      <c r="P1171">
        <v>338</v>
      </c>
      <c r="Q1171">
        <v>508</v>
      </c>
      <c r="R1171">
        <v>170</v>
      </c>
      <c r="S1171">
        <v>289.5</v>
      </c>
      <c r="T1171">
        <v>393</v>
      </c>
      <c r="U1171">
        <v>393</v>
      </c>
      <c r="V1171">
        <v>500</v>
      </c>
      <c r="W1171">
        <v>2.79</v>
      </c>
    </row>
    <row r="1172" spans="1:23" x14ac:dyDescent="0.25">
      <c r="A1172" t="s">
        <v>38</v>
      </c>
      <c r="B1172">
        <v>10</v>
      </c>
      <c r="C1172">
        <v>9</v>
      </c>
      <c r="D1172">
        <v>1994</v>
      </c>
      <c r="E1172">
        <v>147</v>
      </c>
      <c r="F1172">
        <v>17.100000000000001</v>
      </c>
      <c r="G1172">
        <v>16.5</v>
      </c>
      <c r="H1172">
        <v>0.6</v>
      </c>
      <c r="I1172">
        <v>3</v>
      </c>
      <c r="J1172">
        <v>148.80000000000001</v>
      </c>
      <c r="K1172">
        <v>678.9</v>
      </c>
      <c r="L1172">
        <v>391</v>
      </c>
      <c r="M1172">
        <v>387</v>
      </c>
      <c r="N1172">
        <v>509</v>
      </c>
      <c r="O1172">
        <v>122</v>
      </c>
      <c r="P1172">
        <v>322</v>
      </c>
      <c r="Q1172">
        <v>518</v>
      </c>
      <c r="R1172">
        <v>196</v>
      </c>
      <c r="S1172">
        <v>289.5</v>
      </c>
      <c r="T1172">
        <v>393</v>
      </c>
      <c r="U1172">
        <v>393</v>
      </c>
      <c r="V1172">
        <v>500</v>
      </c>
      <c r="W1172">
        <v>2.79</v>
      </c>
    </row>
    <row r="1173" spans="1:23" x14ac:dyDescent="0.25">
      <c r="A1173" t="s">
        <v>38</v>
      </c>
      <c r="B1173">
        <v>10</v>
      </c>
      <c r="C1173">
        <v>10</v>
      </c>
      <c r="D1173">
        <v>1995</v>
      </c>
      <c r="E1173">
        <v>166.2</v>
      </c>
      <c r="F1173">
        <v>19.2</v>
      </c>
      <c r="G1173">
        <v>18.899999999999999</v>
      </c>
      <c r="H1173">
        <v>0.3</v>
      </c>
      <c r="I1173">
        <v>1</v>
      </c>
      <c r="J1173">
        <v>188.9</v>
      </c>
      <c r="K1173">
        <v>867.8</v>
      </c>
      <c r="L1173">
        <v>372</v>
      </c>
      <c r="M1173">
        <v>369</v>
      </c>
      <c r="N1173">
        <v>521</v>
      </c>
      <c r="O1173">
        <v>152</v>
      </c>
      <c r="P1173">
        <v>319</v>
      </c>
      <c r="Q1173">
        <v>521</v>
      </c>
      <c r="R1173">
        <v>202</v>
      </c>
      <c r="S1173">
        <v>289.5</v>
      </c>
      <c r="T1173">
        <v>393</v>
      </c>
      <c r="U1173">
        <v>393</v>
      </c>
      <c r="V1173">
        <v>500</v>
      </c>
      <c r="W1173">
        <v>2.79</v>
      </c>
    </row>
    <row r="1174" spans="1:23" x14ac:dyDescent="0.25">
      <c r="A1174" t="s">
        <v>38</v>
      </c>
      <c r="B1174">
        <v>10</v>
      </c>
      <c r="C1174">
        <v>11</v>
      </c>
      <c r="D1174">
        <v>1996</v>
      </c>
      <c r="E1174">
        <v>179.7</v>
      </c>
      <c r="F1174">
        <v>13.5</v>
      </c>
      <c r="G1174">
        <v>12.9</v>
      </c>
      <c r="H1174">
        <v>0.6</v>
      </c>
      <c r="I1174">
        <v>4</v>
      </c>
      <c r="J1174">
        <v>146.69999999999999</v>
      </c>
      <c r="K1174">
        <v>1014.5</v>
      </c>
      <c r="L1174">
        <v>373</v>
      </c>
      <c r="M1174">
        <v>367</v>
      </c>
      <c r="N1174">
        <v>516</v>
      </c>
      <c r="O1174">
        <v>149</v>
      </c>
      <c r="P1174">
        <v>292</v>
      </c>
      <c r="Q1174">
        <v>521</v>
      </c>
      <c r="R1174">
        <v>229</v>
      </c>
      <c r="S1174">
        <v>289.5</v>
      </c>
      <c r="T1174">
        <v>393</v>
      </c>
      <c r="U1174">
        <v>393</v>
      </c>
      <c r="V1174">
        <v>500</v>
      </c>
      <c r="W1174">
        <v>2.79</v>
      </c>
    </row>
    <row r="1175" spans="1:23" x14ac:dyDescent="0.25">
      <c r="A1175" t="s">
        <v>38</v>
      </c>
      <c r="B1175">
        <v>10</v>
      </c>
      <c r="C1175">
        <v>12</v>
      </c>
      <c r="D1175">
        <v>1997</v>
      </c>
      <c r="E1175">
        <v>196.2</v>
      </c>
      <c r="F1175">
        <v>16.5</v>
      </c>
      <c r="G1175">
        <v>16.5</v>
      </c>
      <c r="H1175">
        <v>0</v>
      </c>
      <c r="I1175">
        <v>0</v>
      </c>
      <c r="J1175">
        <v>194.9</v>
      </c>
      <c r="K1175">
        <v>1209.3</v>
      </c>
      <c r="L1175">
        <v>380</v>
      </c>
      <c r="M1175">
        <v>380</v>
      </c>
      <c r="P1175">
        <v>317</v>
      </c>
      <c r="Q1175">
        <v>499</v>
      </c>
      <c r="R1175">
        <v>182</v>
      </c>
      <c r="S1175">
        <v>289.5</v>
      </c>
      <c r="T1175">
        <v>393</v>
      </c>
      <c r="U1175">
        <v>393</v>
      </c>
      <c r="V1175">
        <v>500</v>
      </c>
      <c r="W1175">
        <v>2.79</v>
      </c>
    </row>
    <row r="1176" spans="1:23" x14ac:dyDescent="0.25">
      <c r="A1176" t="s">
        <v>38</v>
      </c>
      <c r="B1176">
        <v>10</v>
      </c>
      <c r="C1176">
        <v>13</v>
      </c>
      <c r="D1176">
        <v>1998</v>
      </c>
      <c r="E1176">
        <v>204.6</v>
      </c>
      <c r="F1176">
        <v>8.4</v>
      </c>
      <c r="G1176">
        <v>6.9</v>
      </c>
      <c r="H1176">
        <v>1.5</v>
      </c>
      <c r="I1176">
        <v>17</v>
      </c>
      <c r="J1176">
        <v>105.8</v>
      </c>
      <c r="K1176">
        <v>1315.1</v>
      </c>
      <c r="L1176">
        <v>410</v>
      </c>
      <c r="M1176">
        <v>387</v>
      </c>
      <c r="N1176">
        <v>514</v>
      </c>
      <c r="O1176">
        <v>127</v>
      </c>
      <c r="P1176">
        <v>309</v>
      </c>
      <c r="Q1176">
        <v>529</v>
      </c>
      <c r="R1176">
        <v>220</v>
      </c>
      <c r="S1176">
        <v>289.5</v>
      </c>
      <c r="T1176">
        <v>393</v>
      </c>
      <c r="U1176">
        <v>393</v>
      </c>
      <c r="V1176">
        <v>500</v>
      </c>
      <c r="W1176">
        <v>2.79</v>
      </c>
    </row>
    <row r="1177" spans="1:23" x14ac:dyDescent="0.25">
      <c r="A1177" t="s">
        <v>38</v>
      </c>
      <c r="B1177">
        <v>10</v>
      </c>
      <c r="C1177">
        <v>14</v>
      </c>
      <c r="D1177">
        <v>1999</v>
      </c>
      <c r="E1177">
        <v>216.6</v>
      </c>
      <c r="F1177">
        <v>12</v>
      </c>
      <c r="G1177">
        <v>11.1</v>
      </c>
      <c r="H1177">
        <v>0.9</v>
      </c>
      <c r="I1177">
        <v>7</v>
      </c>
      <c r="J1177">
        <v>158.80000000000001</v>
      </c>
      <c r="K1177">
        <v>1473.9</v>
      </c>
      <c r="L1177">
        <v>397</v>
      </c>
      <c r="M1177">
        <v>387</v>
      </c>
      <c r="N1177">
        <v>522</v>
      </c>
      <c r="O1177">
        <v>135</v>
      </c>
      <c r="P1177">
        <v>339</v>
      </c>
      <c r="Q1177">
        <v>537</v>
      </c>
      <c r="R1177">
        <v>198</v>
      </c>
      <c r="S1177">
        <v>289.5</v>
      </c>
      <c r="T1177">
        <v>393</v>
      </c>
      <c r="U1177">
        <v>393</v>
      </c>
      <c r="V1177">
        <v>500</v>
      </c>
      <c r="W1177">
        <v>2.79</v>
      </c>
    </row>
    <row r="1178" spans="1:23" x14ac:dyDescent="0.25">
      <c r="A1178" t="s">
        <v>38</v>
      </c>
      <c r="B1178">
        <v>10</v>
      </c>
      <c r="C1178">
        <v>15</v>
      </c>
      <c r="D1178">
        <v>2000</v>
      </c>
      <c r="E1178">
        <v>226.2</v>
      </c>
      <c r="F1178">
        <v>9.6</v>
      </c>
      <c r="G1178">
        <v>8.4</v>
      </c>
      <c r="H1178">
        <v>1.2</v>
      </c>
      <c r="I1178">
        <v>12</v>
      </c>
      <c r="J1178">
        <v>133.5</v>
      </c>
      <c r="K1178">
        <v>1607.4</v>
      </c>
      <c r="L1178">
        <v>396</v>
      </c>
      <c r="M1178">
        <v>379</v>
      </c>
      <c r="N1178">
        <v>520</v>
      </c>
      <c r="O1178">
        <v>141</v>
      </c>
      <c r="P1178">
        <v>312</v>
      </c>
      <c r="Q1178">
        <v>550</v>
      </c>
      <c r="R1178">
        <v>238</v>
      </c>
      <c r="S1178">
        <v>289.5</v>
      </c>
      <c r="T1178">
        <v>393</v>
      </c>
      <c r="U1178">
        <v>393</v>
      </c>
      <c r="V1178">
        <v>500</v>
      </c>
      <c r="W1178">
        <v>2.79</v>
      </c>
    </row>
    <row r="1179" spans="1:23" x14ac:dyDescent="0.25">
      <c r="A1179" t="s">
        <v>38</v>
      </c>
      <c r="B1179">
        <v>10</v>
      </c>
      <c r="C1179">
        <v>16</v>
      </c>
      <c r="D1179">
        <v>2001</v>
      </c>
      <c r="E1179">
        <v>234.9</v>
      </c>
      <c r="F1179">
        <v>8.6999999999999993</v>
      </c>
      <c r="G1179">
        <v>7.2</v>
      </c>
      <c r="H1179">
        <v>1.5</v>
      </c>
      <c r="I1179">
        <v>17</v>
      </c>
      <c r="J1179">
        <v>126</v>
      </c>
      <c r="K1179">
        <v>1733.5</v>
      </c>
      <c r="L1179">
        <v>399</v>
      </c>
      <c r="M1179">
        <v>373</v>
      </c>
      <c r="N1179">
        <v>521</v>
      </c>
      <c r="O1179">
        <v>148</v>
      </c>
      <c r="P1179">
        <v>322</v>
      </c>
      <c r="Q1179">
        <v>552</v>
      </c>
      <c r="R1179">
        <v>230</v>
      </c>
      <c r="S1179">
        <v>289.5</v>
      </c>
      <c r="T1179">
        <v>393</v>
      </c>
      <c r="U1179">
        <v>393</v>
      </c>
      <c r="V1179">
        <v>500</v>
      </c>
      <c r="W1179">
        <v>2.79</v>
      </c>
    </row>
    <row r="1180" spans="1:23" x14ac:dyDescent="0.25">
      <c r="A1180" t="s">
        <v>38</v>
      </c>
      <c r="B1180">
        <v>10</v>
      </c>
      <c r="C1180">
        <v>17</v>
      </c>
      <c r="D1180">
        <v>2002</v>
      </c>
      <c r="E1180">
        <v>242.4</v>
      </c>
      <c r="F1180">
        <v>7.5</v>
      </c>
      <c r="G1180">
        <v>6.3</v>
      </c>
      <c r="H1180">
        <v>1.2</v>
      </c>
      <c r="I1180">
        <v>16</v>
      </c>
      <c r="J1180">
        <v>112.5</v>
      </c>
      <c r="K1180">
        <v>1845.9</v>
      </c>
      <c r="L1180">
        <v>391</v>
      </c>
      <c r="M1180">
        <v>361</v>
      </c>
      <c r="N1180">
        <v>546</v>
      </c>
      <c r="O1180">
        <v>185</v>
      </c>
      <c r="P1180">
        <v>304</v>
      </c>
      <c r="Q1180">
        <v>606</v>
      </c>
      <c r="R1180">
        <v>302</v>
      </c>
      <c r="S1180">
        <v>289.5</v>
      </c>
      <c r="T1180">
        <v>393</v>
      </c>
      <c r="U1180">
        <v>393</v>
      </c>
      <c r="V1180">
        <v>500</v>
      </c>
      <c r="W1180">
        <v>2.79</v>
      </c>
    </row>
    <row r="1181" spans="1:23" x14ac:dyDescent="0.25">
      <c r="A1181" t="s">
        <v>38</v>
      </c>
      <c r="B1181">
        <v>10</v>
      </c>
      <c r="C1181">
        <v>18</v>
      </c>
      <c r="D1181">
        <v>2003</v>
      </c>
      <c r="E1181">
        <v>250.8</v>
      </c>
      <c r="F1181">
        <v>8.4</v>
      </c>
      <c r="G1181">
        <v>7.8</v>
      </c>
      <c r="H1181">
        <v>0.6</v>
      </c>
      <c r="I1181">
        <v>7</v>
      </c>
      <c r="J1181">
        <v>130.19999999999999</v>
      </c>
      <c r="K1181">
        <v>1976.1</v>
      </c>
      <c r="L1181">
        <v>379</v>
      </c>
      <c r="M1181">
        <v>369</v>
      </c>
      <c r="N1181">
        <v>506</v>
      </c>
      <c r="O1181">
        <v>137</v>
      </c>
      <c r="P1181">
        <v>305</v>
      </c>
      <c r="Q1181">
        <v>512</v>
      </c>
      <c r="R1181">
        <v>207</v>
      </c>
      <c r="S1181">
        <v>289.5</v>
      </c>
      <c r="T1181">
        <v>393</v>
      </c>
      <c r="U1181">
        <v>393</v>
      </c>
      <c r="V1181">
        <v>500</v>
      </c>
      <c r="W1181">
        <v>2.79</v>
      </c>
    </row>
    <row r="1182" spans="1:23" x14ac:dyDescent="0.25">
      <c r="A1182" t="s">
        <v>38</v>
      </c>
      <c r="B1182">
        <v>10</v>
      </c>
      <c r="C1182">
        <v>19</v>
      </c>
      <c r="D1182">
        <v>2004</v>
      </c>
      <c r="E1182">
        <v>260.10000000000002</v>
      </c>
      <c r="F1182">
        <v>9.3000000000000007</v>
      </c>
      <c r="G1182">
        <v>6.9</v>
      </c>
      <c r="H1182">
        <v>2.4</v>
      </c>
      <c r="I1182">
        <v>25</v>
      </c>
      <c r="J1182">
        <v>149.30000000000001</v>
      </c>
      <c r="K1182">
        <v>2125.4</v>
      </c>
      <c r="L1182">
        <v>424</v>
      </c>
      <c r="M1182">
        <v>389</v>
      </c>
      <c r="N1182">
        <v>526</v>
      </c>
      <c r="O1182">
        <v>137</v>
      </c>
      <c r="P1182">
        <v>327</v>
      </c>
      <c r="Q1182">
        <v>552</v>
      </c>
      <c r="R1182">
        <v>225</v>
      </c>
      <c r="S1182">
        <v>289.5</v>
      </c>
      <c r="T1182">
        <v>393</v>
      </c>
      <c r="U1182">
        <v>393</v>
      </c>
      <c r="V1182">
        <v>500</v>
      </c>
      <c r="W1182">
        <v>2.79</v>
      </c>
    </row>
    <row r="1183" spans="1:23" x14ac:dyDescent="0.25">
      <c r="A1183" t="s">
        <v>38</v>
      </c>
      <c r="B1183">
        <v>10</v>
      </c>
      <c r="C1183">
        <v>20</v>
      </c>
      <c r="D1183">
        <v>2005</v>
      </c>
      <c r="E1183">
        <v>267.3</v>
      </c>
      <c r="F1183">
        <v>7.2</v>
      </c>
      <c r="G1183">
        <v>6.6</v>
      </c>
      <c r="H1183">
        <v>0.6</v>
      </c>
      <c r="I1183">
        <v>8</v>
      </c>
      <c r="J1183">
        <v>119.3</v>
      </c>
      <c r="K1183">
        <v>2244.6</v>
      </c>
      <c r="L1183">
        <v>404</v>
      </c>
      <c r="M1183">
        <v>391</v>
      </c>
      <c r="N1183">
        <v>537</v>
      </c>
      <c r="O1183">
        <v>146</v>
      </c>
      <c r="P1183">
        <v>346</v>
      </c>
      <c r="Q1183">
        <v>565</v>
      </c>
      <c r="R1183">
        <v>219</v>
      </c>
      <c r="S1183">
        <v>289.5</v>
      </c>
      <c r="T1183">
        <v>393</v>
      </c>
      <c r="U1183">
        <v>393</v>
      </c>
      <c r="V1183">
        <v>500</v>
      </c>
      <c r="W1183">
        <v>2.79</v>
      </c>
    </row>
    <row r="1184" spans="1:23" x14ac:dyDescent="0.25">
      <c r="A1184" t="s">
        <v>38</v>
      </c>
      <c r="B1184">
        <v>10</v>
      </c>
      <c r="C1184">
        <v>21</v>
      </c>
      <c r="D1184">
        <v>2006</v>
      </c>
      <c r="E1184">
        <v>272.7</v>
      </c>
      <c r="F1184">
        <v>5.4</v>
      </c>
      <c r="G1184">
        <v>4.5</v>
      </c>
      <c r="H1184">
        <v>0.9</v>
      </c>
      <c r="I1184">
        <v>16</v>
      </c>
      <c r="J1184">
        <v>91.6</v>
      </c>
      <c r="K1184">
        <v>2336.3000000000002</v>
      </c>
      <c r="L1184">
        <v>403</v>
      </c>
      <c r="M1184">
        <v>374</v>
      </c>
      <c r="N1184">
        <v>547</v>
      </c>
      <c r="O1184">
        <v>173</v>
      </c>
      <c r="P1184">
        <v>325</v>
      </c>
      <c r="Q1184">
        <v>558</v>
      </c>
      <c r="R1184">
        <v>233</v>
      </c>
      <c r="S1184">
        <v>289.5</v>
      </c>
      <c r="T1184">
        <v>393</v>
      </c>
      <c r="U1184">
        <v>393</v>
      </c>
      <c r="V1184">
        <v>500</v>
      </c>
      <c r="W1184">
        <v>2.79</v>
      </c>
    </row>
    <row r="1185" spans="1:23" x14ac:dyDescent="0.25">
      <c r="A1185" t="s">
        <v>38</v>
      </c>
      <c r="B1185">
        <v>10</v>
      </c>
      <c r="C1185">
        <v>22</v>
      </c>
      <c r="D1185">
        <v>2007</v>
      </c>
      <c r="E1185">
        <v>278.7</v>
      </c>
      <c r="F1185">
        <v>6</v>
      </c>
      <c r="G1185">
        <v>5.4</v>
      </c>
      <c r="H1185">
        <v>0.6</v>
      </c>
      <c r="I1185">
        <v>10</v>
      </c>
      <c r="J1185">
        <v>103.9</v>
      </c>
      <c r="K1185">
        <v>2440.1999999999998</v>
      </c>
      <c r="L1185">
        <v>409</v>
      </c>
      <c r="M1185">
        <v>393</v>
      </c>
      <c r="N1185">
        <v>555</v>
      </c>
      <c r="O1185">
        <v>162</v>
      </c>
      <c r="P1185">
        <v>311</v>
      </c>
      <c r="Q1185">
        <v>579</v>
      </c>
      <c r="R1185">
        <v>268</v>
      </c>
      <c r="S1185">
        <v>289.5</v>
      </c>
      <c r="T1185">
        <v>393</v>
      </c>
      <c r="U1185">
        <v>393</v>
      </c>
      <c r="V1185">
        <v>500</v>
      </c>
      <c r="W1185">
        <v>2.79</v>
      </c>
    </row>
    <row r="1186" spans="1:23" x14ac:dyDescent="0.25">
      <c r="A1186" t="s">
        <v>38</v>
      </c>
      <c r="B1186">
        <v>10</v>
      </c>
      <c r="C1186">
        <v>23</v>
      </c>
      <c r="D1186">
        <v>2008</v>
      </c>
      <c r="E1186">
        <v>284.7</v>
      </c>
      <c r="F1186">
        <v>6</v>
      </c>
      <c r="G1186">
        <v>5.7</v>
      </c>
      <c r="H1186">
        <v>0.3</v>
      </c>
      <c r="I1186">
        <v>5</v>
      </c>
      <c r="J1186">
        <v>106.2</v>
      </c>
      <c r="K1186">
        <v>2546.4</v>
      </c>
      <c r="L1186">
        <v>379</v>
      </c>
      <c r="M1186">
        <v>370</v>
      </c>
      <c r="N1186">
        <v>550</v>
      </c>
      <c r="O1186">
        <v>180</v>
      </c>
      <c r="P1186">
        <v>319</v>
      </c>
      <c r="Q1186">
        <v>550</v>
      </c>
      <c r="R1186">
        <v>231</v>
      </c>
      <c r="S1186">
        <v>289.5</v>
      </c>
      <c r="T1186">
        <v>393</v>
      </c>
      <c r="U1186">
        <v>393</v>
      </c>
      <c r="V1186">
        <v>500</v>
      </c>
      <c r="W1186">
        <v>2.79</v>
      </c>
    </row>
    <row r="1187" spans="1:23" x14ac:dyDescent="0.25">
      <c r="A1187" t="s">
        <v>38</v>
      </c>
      <c r="B1187">
        <v>10</v>
      </c>
      <c r="C1187">
        <v>24</v>
      </c>
      <c r="D1187">
        <v>2009</v>
      </c>
      <c r="E1187">
        <v>289.5</v>
      </c>
      <c r="F1187">
        <v>4.8</v>
      </c>
      <c r="G1187">
        <v>3.9</v>
      </c>
      <c r="H1187">
        <v>0.9</v>
      </c>
      <c r="I1187">
        <v>18</v>
      </c>
      <c r="J1187">
        <v>86.6</v>
      </c>
      <c r="K1187">
        <v>2633</v>
      </c>
      <c r="L1187">
        <v>415</v>
      </c>
      <c r="M1187">
        <v>379</v>
      </c>
      <c r="N1187">
        <v>570</v>
      </c>
      <c r="O1187">
        <v>191</v>
      </c>
      <c r="P1187">
        <v>324</v>
      </c>
      <c r="Q1187">
        <v>599</v>
      </c>
      <c r="R1187">
        <v>275</v>
      </c>
      <c r="S1187">
        <v>289.5</v>
      </c>
      <c r="T1187">
        <v>393</v>
      </c>
      <c r="U1187">
        <v>393</v>
      </c>
      <c r="V1187">
        <v>500</v>
      </c>
      <c r="W1187">
        <v>2.79</v>
      </c>
    </row>
    <row r="1188" spans="1:23" x14ac:dyDescent="0.25">
      <c r="A1188" t="s">
        <v>38</v>
      </c>
      <c r="B1188">
        <v>10</v>
      </c>
      <c r="C1188">
        <v>25</v>
      </c>
      <c r="D1188">
        <v>2010</v>
      </c>
      <c r="E1188">
        <v>295.5</v>
      </c>
      <c r="F1188">
        <v>6</v>
      </c>
      <c r="G1188">
        <v>4.8</v>
      </c>
      <c r="H1188">
        <v>1.2</v>
      </c>
      <c r="I1188">
        <v>20</v>
      </c>
      <c r="J1188">
        <v>110.3</v>
      </c>
      <c r="K1188">
        <v>2743.2</v>
      </c>
      <c r="L1188">
        <v>426</v>
      </c>
      <c r="M1188">
        <v>394</v>
      </c>
      <c r="N1188">
        <v>552</v>
      </c>
      <c r="O1188">
        <v>158</v>
      </c>
      <c r="P1188">
        <v>325</v>
      </c>
      <c r="Q1188">
        <v>587</v>
      </c>
      <c r="R1188">
        <v>262</v>
      </c>
      <c r="S1188">
        <v>289.5</v>
      </c>
      <c r="T1188">
        <v>393</v>
      </c>
      <c r="U1188">
        <v>393</v>
      </c>
      <c r="V1188">
        <v>500</v>
      </c>
      <c r="W1188">
        <v>2.79</v>
      </c>
    </row>
    <row r="1189" spans="1:23" x14ac:dyDescent="0.25">
      <c r="A1189" t="s">
        <v>38</v>
      </c>
      <c r="B1189">
        <v>10</v>
      </c>
      <c r="C1189">
        <v>26</v>
      </c>
      <c r="D1189">
        <v>2011</v>
      </c>
      <c r="E1189">
        <v>301.2</v>
      </c>
      <c r="F1189">
        <v>5.7</v>
      </c>
      <c r="G1189">
        <v>4.5</v>
      </c>
      <c r="H1189">
        <v>1.2</v>
      </c>
      <c r="I1189">
        <v>21</v>
      </c>
      <c r="J1189">
        <v>106.9</v>
      </c>
      <c r="K1189">
        <v>2850.1</v>
      </c>
      <c r="L1189">
        <v>422</v>
      </c>
      <c r="M1189">
        <v>390</v>
      </c>
      <c r="N1189">
        <v>542</v>
      </c>
      <c r="O1189">
        <v>152</v>
      </c>
      <c r="P1189">
        <v>347</v>
      </c>
      <c r="Q1189">
        <v>587</v>
      </c>
      <c r="R1189">
        <v>240</v>
      </c>
      <c r="S1189">
        <v>289.5</v>
      </c>
      <c r="T1189">
        <v>393</v>
      </c>
      <c r="U1189">
        <v>393</v>
      </c>
      <c r="V1189">
        <v>500</v>
      </c>
      <c r="W1189">
        <v>2.79</v>
      </c>
    </row>
    <row r="1190" spans="1:23" x14ac:dyDescent="0.25">
      <c r="A1190" t="s">
        <v>38</v>
      </c>
      <c r="B1190">
        <v>10</v>
      </c>
      <c r="C1190">
        <v>27</v>
      </c>
      <c r="D1190">
        <v>2012</v>
      </c>
      <c r="E1190">
        <v>304.2</v>
      </c>
      <c r="F1190">
        <v>3</v>
      </c>
      <c r="G1190">
        <v>2.7</v>
      </c>
      <c r="H1190">
        <v>0.3</v>
      </c>
      <c r="I1190">
        <v>10</v>
      </c>
      <c r="J1190">
        <v>57.1</v>
      </c>
      <c r="K1190">
        <v>2907.2</v>
      </c>
      <c r="L1190">
        <v>405</v>
      </c>
      <c r="M1190">
        <v>392</v>
      </c>
      <c r="N1190">
        <v>522</v>
      </c>
      <c r="O1190">
        <v>130</v>
      </c>
      <c r="P1190">
        <v>347</v>
      </c>
      <c r="Q1190">
        <v>522</v>
      </c>
      <c r="R1190">
        <v>175</v>
      </c>
      <c r="S1190">
        <v>289.5</v>
      </c>
      <c r="T1190">
        <v>393</v>
      </c>
      <c r="U1190">
        <v>393</v>
      </c>
      <c r="V1190">
        <v>500</v>
      </c>
      <c r="W1190">
        <v>2.79</v>
      </c>
    </row>
    <row r="1191" spans="1:23" x14ac:dyDescent="0.25">
      <c r="A1191" t="s">
        <v>38</v>
      </c>
      <c r="B1191">
        <v>11</v>
      </c>
      <c r="C1191">
        <v>2</v>
      </c>
      <c r="D1191">
        <v>1987</v>
      </c>
      <c r="E1191">
        <v>39.200000000000003</v>
      </c>
      <c r="F1191">
        <v>39.200000000000003</v>
      </c>
      <c r="G1191">
        <v>19.2</v>
      </c>
      <c r="H1191">
        <v>0</v>
      </c>
      <c r="I1191">
        <v>0</v>
      </c>
      <c r="J1191">
        <v>48.3</v>
      </c>
      <c r="K1191">
        <v>48.3</v>
      </c>
      <c r="L1191">
        <v>317</v>
      </c>
      <c r="M1191">
        <v>317</v>
      </c>
      <c r="P1191">
        <v>256</v>
      </c>
      <c r="Q1191">
        <v>437</v>
      </c>
      <c r="R1191">
        <v>181</v>
      </c>
      <c r="S1191">
        <v>331.8</v>
      </c>
      <c r="T1191">
        <v>389</v>
      </c>
      <c r="U1191">
        <v>385</v>
      </c>
      <c r="V1191">
        <v>500</v>
      </c>
      <c r="W1191">
        <v>2.79</v>
      </c>
    </row>
    <row r="1192" spans="1:23" x14ac:dyDescent="0.25">
      <c r="A1192" t="s">
        <v>38</v>
      </c>
      <c r="B1192">
        <v>11</v>
      </c>
      <c r="C1192">
        <v>3</v>
      </c>
      <c r="D1192">
        <v>1988</v>
      </c>
      <c r="E1192">
        <v>61.4</v>
      </c>
      <c r="F1192">
        <v>22.2</v>
      </c>
      <c r="G1192">
        <v>22.2</v>
      </c>
      <c r="H1192">
        <v>0</v>
      </c>
      <c r="I1192">
        <v>0</v>
      </c>
      <c r="J1192">
        <v>70.2</v>
      </c>
      <c r="K1192">
        <v>118.4</v>
      </c>
      <c r="L1192">
        <v>345</v>
      </c>
      <c r="M1192">
        <v>345</v>
      </c>
      <c r="P1192">
        <v>276</v>
      </c>
      <c r="Q1192">
        <v>458</v>
      </c>
      <c r="R1192">
        <v>182</v>
      </c>
      <c r="S1192">
        <v>331.8</v>
      </c>
      <c r="T1192">
        <v>389</v>
      </c>
      <c r="U1192">
        <v>385</v>
      </c>
      <c r="V1192">
        <v>500</v>
      </c>
      <c r="W1192">
        <v>2.79</v>
      </c>
    </row>
    <row r="1193" spans="1:23" x14ac:dyDescent="0.25">
      <c r="A1193" t="s">
        <v>38</v>
      </c>
      <c r="B1193">
        <v>11</v>
      </c>
      <c r="C1193">
        <v>4</v>
      </c>
      <c r="D1193">
        <v>1989</v>
      </c>
      <c r="E1193">
        <v>83</v>
      </c>
      <c r="F1193">
        <v>21.6</v>
      </c>
      <c r="G1193">
        <v>21.6</v>
      </c>
      <c r="H1193">
        <v>0</v>
      </c>
      <c r="I1193">
        <v>0</v>
      </c>
      <c r="J1193">
        <v>98</v>
      </c>
      <c r="K1193">
        <v>216.4</v>
      </c>
      <c r="L1193">
        <v>351</v>
      </c>
      <c r="M1193">
        <v>351</v>
      </c>
      <c r="P1193">
        <v>281</v>
      </c>
      <c r="Q1193">
        <v>486</v>
      </c>
      <c r="R1193">
        <v>205</v>
      </c>
      <c r="S1193">
        <v>331.8</v>
      </c>
      <c r="T1193">
        <v>389</v>
      </c>
      <c r="U1193">
        <v>385</v>
      </c>
      <c r="V1193">
        <v>500</v>
      </c>
      <c r="W1193">
        <v>2.79</v>
      </c>
    </row>
    <row r="1194" spans="1:23" x14ac:dyDescent="0.25">
      <c r="A1194" t="s">
        <v>38</v>
      </c>
      <c r="B1194">
        <v>11</v>
      </c>
      <c r="C1194">
        <v>5</v>
      </c>
      <c r="D1194">
        <v>1990</v>
      </c>
      <c r="E1194">
        <v>94.7</v>
      </c>
      <c r="F1194">
        <v>11.7</v>
      </c>
      <c r="G1194">
        <v>10.8</v>
      </c>
      <c r="H1194">
        <v>0.9</v>
      </c>
      <c r="I1194">
        <v>7</v>
      </c>
      <c r="J1194">
        <v>65.3</v>
      </c>
      <c r="K1194">
        <v>281.7</v>
      </c>
      <c r="L1194">
        <v>354</v>
      </c>
      <c r="M1194">
        <v>340</v>
      </c>
      <c r="N1194">
        <v>520</v>
      </c>
      <c r="O1194">
        <v>180</v>
      </c>
      <c r="P1194">
        <v>294</v>
      </c>
      <c r="Q1194">
        <v>533</v>
      </c>
      <c r="R1194">
        <v>239</v>
      </c>
      <c r="S1194">
        <v>331.8</v>
      </c>
      <c r="T1194">
        <v>389</v>
      </c>
      <c r="U1194">
        <v>385</v>
      </c>
      <c r="V1194">
        <v>500</v>
      </c>
      <c r="W1194">
        <v>2.79</v>
      </c>
    </row>
    <row r="1195" spans="1:23" x14ac:dyDescent="0.25">
      <c r="A1195" t="s">
        <v>38</v>
      </c>
      <c r="B1195">
        <v>11</v>
      </c>
      <c r="C1195">
        <v>6</v>
      </c>
      <c r="D1195">
        <v>1991</v>
      </c>
      <c r="E1195">
        <v>117.8</v>
      </c>
      <c r="F1195">
        <v>23.1</v>
      </c>
      <c r="G1195">
        <v>23.1</v>
      </c>
      <c r="H1195">
        <v>0</v>
      </c>
      <c r="I1195">
        <v>0</v>
      </c>
      <c r="J1195">
        <v>154.19999999999999</v>
      </c>
      <c r="K1195">
        <v>436</v>
      </c>
      <c r="L1195">
        <v>354</v>
      </c>
      <c r="M1195">
        <v>354</v>
      </c>
      <c r="P1195">
        <v>281</v>
      </c>
      <c r="Q1195">
        <v>483</v>
      </c>
      <c r="R1195">
        <v>202</v>
      </c>
      <c r="S1195">
        <v>331.8</v>
      </c>
      <c r="T1195">
        <v>389</v>
      </c>
      <c r="U1195">
        <v>385</v>
      </c>
      <c r="V1195">
        <v>500</v>
      </c>
      <c r="W1195">
        <v>2.79</v>
      </c>
    </row>
    <row r="1196" spans="1:23" x14ac:dyDescent="0.25">
      <c r="A1196" t="s">
        <v>38</v>
      </c>
      <c r="B1196">
        <v>11</v>
      </c>
      <c r="C1196">
        <v>7</v>
      </c>
      <c r="D1196">
        <v>1992</v>
      </c>
      <c r="E1196">
        <v>144.19999999999999</v>
      </c>
      <c r="F1196">
        <v>26.4</v>
      </c>
      <c r="G1196">
        <v>26.4</v>
      </c>
      <c r="H1196">
        <v>0</v>
      </c>
      <c r="I1196">
        <v>0</v>
      </c>
      <c r="J1196">
        <v>217.3</v>
      </c>
      <c r="K1196">
        <v>653.29999999999995</v>
      </c>
      <c r="L1196">
        <v>371</v>
      </c>
      <c r="M1196">
        <v>371</v>
      </c>
      <c r="P1196">
        <v>288</v>
      </c>
      <c r="Q1196">
        <v>471</v>
      </c>
      <c r="R1196">
        <v>183</v>
      </c>
      <c r="S1196">
        <v>331.8</v>
      </c>
      <c r="T1196">
        <v>389</v>
      </c>
      <c r="U1196">
        <v>385</v>
      </c>
      <c r="V1196">
        <v>500</v>
      </c>
      <c r="W1196">
        <v>2.79</v>
      </c>
    </row>
    <row r="1197" spans="1:23" x14ac:dyDescent="0.25">
      <c r="A1197" t="s">
        <v>38</v>
      </c>
      <c r="B1197">
        <v>11</v>
      </c>
      <c r="C1197">
        <v>8</v>
      </c>
      <c r="D1197">
        <v>1993</v>
      </c>
      <c r="E1197">
        <v>165.5</v>
      </c>
      <c r="F1197">
        <v>21.3</v>
      </c>
      <c r="G1197">
        <v>21</v>
      </c>
      <c r="H1197">
        <v>0.3</v>
      </c>
      <c r="I1197">
        <v>1</v>
      </c>
      <c r="J1197">
        <v>207.2</v>
      </c>
      <c r="K1197">
        <v>860.5</v>
      </c>
      <c r="L1197">
        <v>362</v>
      </c>
      <c r="M1197">
        <v>360</v>
      </c>
      <c r="N1197">
        <v>502</v>
      </c>
      <c r="O1197">
        <v>142</v>
      </c>
      <c r="P1197">
        <v>295</v>
      </c>
      <c r="Q1197">
        <v>502</v>
      </c>
      <c r="R1197">
        <v>207</v>
      </c>
      <c r="S1197">
        <v>331.8</v>
      </c>
      <c r="T1197">
        <v>389</v>
      </c>
      <c r="U1197">
        <v>385</v>
      </c>
      <c r="V1197">
        <v>500</v>
      </c>
      <c r="W1197">
        <v>2.79</v>
      </c>
    </row>
    <row r="1198" spans="1:23" x14ac:dyDescent="0.25">
      <c r="A1198" t="s">
        <v>38</v>
      </c>
      <c r="B1198">
        <v>11</v>
      </c>
      <c r="C1198">
        <v>9</v>
      </c>
      <c r="D1198">
        <v>1994</v>
      </c>
      <c r="E1198">
        <v>188.6</v>
      </c>
      <c r="F1198">
        <v>23.1</v>
      </c>
      <c r="G1198">
        <v>22.8</v>
      </c>
      <c r="H1198">
        <v>0.3</v>
      </c>
      <c r="I1198">
        <v>1</v>
      </c>
      <c r="J1198">
        <v>257</v>
      </c>
      <c r="K1198">
        <v>1117.5</v>
      </c>
      <c r="L1198">
        <v>377</v>
      </c>
      <c r="M1198">
        <v>375</v>
      </c>
      <c r="N1198">
        <v>509</v>
      </c>
      <c r="O1198">
        <v>134</v>
      </c>
      <c r="P1198">
        <v>271</v>
      </c>
      <c r="Q1198">
        <v>509</v>
      </c>
      <c r="R1198">
        <v>238</v>
      </c>
      <c r="S1198">
        <v>331.8</v>
      </c>
      <c r="T1198">
        <v>389</v>
      </c>
      <c r="U1198">
        <v>385</v>
      </c>
      <c r="V1198">
        <v>500</v>
      </c>
      <c r="W1198">
        <v>2.79</v>
      </c>
    </row>
    <row r="1199" spans="1:23" x14ac:dyDescent="0.25">
      <c r="A1199" t="s">
        <v>38</v>
      </c>
      <c r="B1199">
        <v>11</v>
      </c>
      <c r="C1199">
        <v>10</v>
      </c>
      <c r="D1199">
        <v>1995</v>
      </c>
      <c r="E1199">
        <v>213.8</v>
      </c>
      <c r="F1199">
        <v>25.2</v>
      </c>
      <c r="G1199">
        <v>24</v>
      </c>
      <c r="H1199">
        <v>1.2</v>
      </c>
      <c r="I1199">
        <v>4</v>
      </c>
      <c r="J1199">
        <v>318.60000000000002</v>
      </c>
      <c r="K1199">
        <v>1436</v>
      </c>
      <c r="L1199">
        <v>384</v>
      </c>
      <c r="M1199">
        <v>377</v>
      </c>
      <c r="N1199">
        <v>518</v>
      </c>
      <c r="O1199">
        <v>141</v>
      </c>
      <c r="P1199">
        <v>294</v>
      </c>
      <c r="Q1199">
        <v>526</v>
      </c>
      <c r="R1199">
        <v>232</v>
      </c>
      <c r="S1199">
        <v>331.8</v>
      </c>
      <c r="T1199">
        <v>389</v>
      </c>
      <c r="U1199">
        <v>385</v>
      </c>
      <c r="V1199">
        <v>500</v>
      </c>
      <c r="W1199">
        <v>2.79</v>
      </c>
    </row>
    <row r="1200" spans="1:23" x14ac:dyDescent="0.25">
      <c r="A1200" t="s">
        <v>38</v>
      </c>
      <c r="B1200">
        <v>11</v>
      </c>
      <c r="C1200">
        <v>11</v>
      </c>
      <c r="D1200">
        <v>1996</v>
      </c>
      <c r="E1200">
        <v>234.8</v>
      </c>
      <c r="F1200">
        <v>21</v>
      </c>
      <c r="G1200">
        <v>21</v>
      </c>
      <c r="H1200">
        <v>0</v>
      </c>
      <c r="I1200">
        <v>0</v>
      </c>
      <c r="J1200">
        <v>296</v>
      </c>
      <c r="K1200">
        <v>1732</v>
      </c>
      <c r="L1200">
        <v>359</v>
      </c>
      <c r="M1200">
        <v>359</v>
      </c>
      <c r="P1200">
        <v>287</v>
      </c>
      <c r="Q1200">
        <v>486</v>
      </c>
      <c r="R1200">
        <v>199</v>
      </c>
      <c r="S1200">
        <v>331.8</v>
      </c>
      <c r="T1200">
        <v>389</v>
      </c>
      <c r="U1200">
        <v>385</v>
      </c>
      <c r="V1200">
        <v>500</v>
      </c>
      <c r="W1200">
        <v>2.79</v>
      </c>
    </row>
    <row r="1201" spans="1:23" x14ac:dyDescent="0.25">
      <c r="A1201" t="s">
        <v>38</v>
      </c>
      <c r="B1201">
        <v>11</v>
      </c>
      <c r="C1201">
        <v>12</v>
      </c>
      <c r="D1201">
        <v>1997</v>
      </c>
      <c r="E1201">
        <v>254.3</v>
      </c>
      <c r="F1201">
        <v>19.5</v>
      </c>
      <c r="G1201">
        <v>19.5</v>
      </c>
      <c r="H1201">
        <v>0</v>
      </c>
      <c r="I1201">
        <v>0</v>
      </c>
      <c r="J1201">
        <v>299.60000000000002</v>
      </c>
      <c r="K1201">
        <v>2031.6</v>
      </c>
      <c r="L1201">
        <v>369</v>
      </c>
      <c r="M1201">
        <v>369</v>
      </c>
      <c r="P1201">
        <v>287</v>
      </c>
      <c r="Q1201">
        <v>476</v>
      </c>
      <c r="R1201">
        <v>189</v>
      </c>
      <c r="S1201">
        <v>331.8</v>
      </c>
      <c r="T1201">
        <v>389</v>
      </c>
      <c r="U1201">
        <v>385</v>
      </c>
      <c r="V1201">
        <v>500</v>
      </c>
      <c r="W1201">
        <v>2.79</v>
      </c>
    </row>
    <row r="1202" spans="1:23" x14ac:dyDescent="0.25">
      <c r="A1202" t="s">
        <v>38</v>
      </c>
      <c r="B1202">
        <v>11</v>
      </c>
      <c r="C1202">
        <v>13</v>
      </c>
      <c r="D1202">
        <v>1998</v>
      </c>
      <c r="E1202">
        <v>265.10000000000002</v>
      </c>
      <c r="F1202">
        <v>10.8</v>
      </c>
      <c r="G1202">
        <v>9.9</v>
      </c>
      <c r="H1202">
        <v>0.9</v>
      </c>
      <c r="I1202">
        <v>8</v>
      </c>
      <c r="J1202">
        <v>176.2</v>
      </c>
      <c r="K1202">
        <v>2207.8000000000002</v>
      </c>
      <c r="L1202">
        <v>371</v>
      </c>
      <c r="M1202">
        <v>356</v>
      </c>
      <c r="N1202">
        <v>542</v>
      </c>
      <c r="O1202">
        <v>186</v>
      </c>
      <c r="P1202">
        <v>311</v>
      </c>
      <c r="Q1202">
        <v>571</v>
      </c>
      <c r="R1202">
        <v>260</v>
      </c>
      <c r="S1202">
        <v>331.8</v>
      </c>
      <c r="T1202">
        <v>389</v>
      </c>
      <c r="U1202">
        <v>385</v>
      </c>
      <c r="V1202">
        <v>500</v>
      </c>
      <c r="W1202">
        <v>2.79</v>
      </c>
    </row>
    <row r="1203" spans="1:23" x14ac:dyDescent="0.25">
      <c r="A1203" t="s">
        <v>38</v>
      </c>
      <c r="B1203">
        <v>11</v>
      </c>
      <c r="C1203">
        <v>14</v>
      </c>
      <c r="D1203">
        <v>1999</v>
      </c>
      <c r="E1203">
        <v>275.89999999999998</v>
      </c>
      <c r="F1203">
        <v>10.8</v>
      </c>
      <c r="G1203">
        <v>10.8</v>
      </c>
      <c r="H1203">
        <v>0</v>
      </c>
      <c r="I1203">
        <v>0</v>
      </c>
      <c r="J1203">
        <v>183.6</v>
      </c>
      <c r="K1203">
        <v>2391.4</v>
      </c>
      <c r="L1203">
        <v>386</v>
      </c>
      <c r="M1203">
        <v>386</v>
      </c>
      <c r="P1203">
        <v>327</v>
      </c>
      <c r="Q1203">
        <v>499</v>
      </c>
      <c r="R1203">
        <v>172</v>
      </c>
      <c r="S1203">
        <v>331.8</v>
      </c>
      <c r="T1203">
        <v>389</v>
      </c>
      <c r="U1203">
        <v>385</v>
      </c>
      <c r="V1203">
        <v>500</v>
      </c>
      <c r="W1203">
        <v>2.79</v>
      </c>
    </row>
    <row r="1204" spans="1:23" x14ac:dyDescent="0.25">
      <c r="A1204" t="s">
        <v>38</v>
      </c>
      <c r="B1204">
        <v>11</v>
      </c>
      <c r="C1204">
        <v>15</v>
      </c>
      <c r="D1204">
        <v>2000</v>
      </c>
      <c r="E1204">
        <v>284</v>
      </c>
      <c r="F1204">
        <v>8.1</v>
      </c>
      <c r="G1204">
        <v>7.5</v>
      </c>
      <c r="H1204">
        <v>0.6</v>
      </c>
      <c r="I1204">
        <v>7</v>
      </c>
      <c r="J1204">
        <v>142.5</v>
      </c>
      <c r="K1204">
        <v>2533.9</v>
      </c>
      <c r="L1204">
        <v>388</v>
      </c>
      <c r="M1204">
        <v>374</v>
      </c>
      <c r="N1204">
        <v>560</v>
      </c>
      <c r="O1204">
        <v>186</v>
      </c>
      <c r="P1204">
        <v>334</v>
      </c>
      <c r="Q1204">
        <v>561</v>
      </c>
      <c r="R1204">
        <v>227</v>
      </c>
      <c r="S1204">
        <v>331.8</v>
      </c>
      <c r="T1204">
        <v>389</v>
      </c>
      <c r="U1204">
        <v>385</v>
      </c>
      <c r="V1204">
        <v>500</v>
      </c>
      <c r="W1204">
        <v>2.79</v>
      </c>
    </row>
    <row r="1205" spans="1:23" x14ac:dyDescent="0.25">
      <c r="A1205" t="s">
        <v>38</v>
      </c>
      <c r="B1205">
        <v>11</v>
      </c>
      <c r="C1205">
        <v>16</v>
      </c>
      <c r="D1205">
        <v>2001</v>
      </c>
      <c r="E1205">
        <v>290.60000000000002</v>
      </c>
      <c r="F1205">
        <v>6.6</v>
      </c>
      <c r="G1205">
        <v>5.0999999999999996</v>
      </c>
      <c r="H1205">
        <v>1.5</v>
      </c>
      <c r="I1205">
        <v>22</v>
      </c>
      <c r="J1205">
        <v>119.1</v>
      </c>
      <c r="K1205">
        <v>2653</v>
      </c>
      <c r="L1205">
        <v>405</v>
      </c>
      <c r="M1205">
        <v>367</v>
      </c>
      <c r="N1205">
        <v>533</v>
      </c>
      <c r="O1205">
        <v>166</v>
      </c>
      <c r="P1205">
        <v>329</v>
      </c>
      <c r="Q1205">
        <v>543</v>
      </c>
      <c r="R1205">
        <v>214</v>
      </c>
      <c r="S1205">
        <v>331.8</v>
      </c>
      <c r="T1205">
        <v>389</v>
      </c>
      <c r="U1205">
        <v>385</v>
      </c>
      <c r="V1205">
        <v>500</v>
      </c>
      <c r="W1205">
        <v>2.79</v>
      </c>
    </row>
    <row r="1206" spans="1:23" x14ac:dyDescent="0.25">
      <c r="A1206" t="s">
        <v>38</v>
      </c>
      <c r="B1206">
        <v>11</v>
      </c>
      <c r="C1206">
        <v>17</v>
      </c>
      <c r="D1206">
        <v>2002</v>
      </c>
      <c r="E1206">
        <v>298.10000000000002</v>
      </c>
      <c r="F1206">
        <v>7.5</v>
      </c>
      <c r="G1206">
        <v>6.3</v>
      </c>
      <c r="H1206">
        <v>1.2</v>
      </c>
      <c r="I1206">
        <v>16</v>
      </c>
      <c r="J1206">
        <v>138.69999999999999</v>
      </c>
      <c r="K1206">
        <v>2791.7</v>
      </c>
      <c r="L1206">
        <v>391</v>
      </c>
      <c r="M1206">
        <v>357</v>
      </c>
      <c r="N1206">
        <v>573</v>
      </c>
      <c r="O1206">
        <v>216</v>
      </c>
      <c r="P1206">
        <v>321</v>
      </c>
      <c r="Q1206">
        <v>603</v>
      </c>
      <c r="R1206">
        <v>282</v>
      </c>
      <c r="S1206">
        <v>331.8</v>
      </c>
      <c r="T1206">
        <v>389</v>
      </c>
      <c r="U1206">
        <v>385</v>
      </c>
      <c r="V1206">
        <v>500</v>
      </c>
      <c r="W1206">
        <v>2.79</v>
      </c>
    </row>
    <row r="1207" spans="1:23" x14ac:dyDescent="0.25">
      <c r="A1207" t="s">
        <v>38</v>
      </c>
      <c r="B1207">
        <v>11</v>
      </c>
      <c r="C1207">
        <v>18</v>
      </c>
      <c r="D1207">
        <v>2003</v>
      </c>
      <c r="E1207">
        <v>305.60000000000002</v>
      </c>
      <c r="F1207">
        <v>7.5</v>
      </c>
      <c r="G1207">
        <v>6.6</v>
      </c>
      <c r="H1207">
        <v>0.9</v>
      </c>
      <c r="I1207">
        <v>12</v>
      </c>
      <c r="J1207">
        <v>142.19999999999999</v>
      </c>
      <c r="K1207">
        <v>2934</v>
      </c>
      <c r="L1207">
        <v>387</v>
      </c>
      <c r="M1207">
        <v>364</v>
      </c>
      <c r="N1207">
        <v>556</v>
      </c>
      <c r="O1207">
        <v>192</v>
      </c>
      <c r="P1207">
        <v>324</v>
      </c>
      <c r="Q1207">
        <v>562</v>
      </c>
      <c r="R1207">
        <v>238</v>
      </c>
      <c r="S1207">
        <v>331.8</v>
      </c>
      <c r="T1207">
        <v>389</v>
      </c>
      <c r="U1207">
        <v>385</v>
      </c>
      <c r="V1207">
        <v>500</v>
      </c>
      <c r="W1207">
        <v>2.79</v>
      </c>
    </row>
    <row r="1208" spans="1:23" x14ac:dyDescent="0.25">
      <c r="A1208" t="s">
        <v>38</v>
      </c>
      <c r="B1208">
        <v>11</v>
      </c>
      <c r="C1208">
        <v>19</v>
      </c>
      <c r="D1208">
        <v>2004</v>
      </c>
      <c r="E1208">
        <v>312.2</v>
      </c>
      <c r="F1208">
        <v>6.6</v>
      </c>
      <c r="G1208">
        <v>4.5</v>
      </c>
      <c r="H1208">
        <v>2.1</v>
      </c>
      <c r="I1208">
        <v>31</v>
      </c>
      <c r="J1208">
        <v>128.1</v>
      </c>
      <c r="K1208">
        <v>3062.1</v>
      </c>
      <c r="L1208">
        <v>430</v>
      </c>
      <c r="M1208">
        <v>369</v>
      </c>
      <c r="N1208">
        <v>561</v>
      </c>
      <c r="O1208">
        <v>192</v>
      </c>
      <c r="P1208">
        <v>331</v>
      </c>
      <c r="Q1208">
        <v>594</v>
      </c>
      <c r="R1208">
        <v>263</v>
      </c>
      <c r="S1208">
        <v>331.8</v>
      </c>
      <c r="T1208">
        <v>389</v>
      </c>
      <c r="U1208">
        <v>385</v>
      </c>
      <c r="V1208">
        <v>500</v>
      </c>
      <c r="W1208">
        <v>2.79</v>
      </c>
    </row>
    <row r="1209" spans="1:23" x14ac:dyDescent="0.25">
      <c r="A1209" t="s">
        <v>38</v>
      </c>
      <c r="B1209">
        <v>11</v>
      </c>
      <c r="C1209">
        <v>20</v>
      </c>
      <c r="D1209">
        <v>2005</v>
      </c>
      <c r="E1209">
        <v>319.39999999999998</v>
      </c>
      <c r="F1209">
        <v>7.2</v>
      </c>
      <c r="G1209">
        <v>6</v>
      </c>
      <c r="H1209">
        <v>1.2</v>
      </c>
      <c r="I1209">
        <v>16</v>
      </c>
      <c r="J1209">
        <v>142.9</v>
      </c>
      <c r="K1209">
        <v>3204.9</v>
      </c>
      <c r="L1209">
        <v>404</v>
      </c>
      <c r="M1209">
        <v>377</v>
      </c>
      <c r="N1209">
        <v>541</v>
      </c>
      <c r="O1209">
        <v>164</v>
      </c>
      <c r="P1209">
        <v>333</v>
      </c>
      <c r="Q1209">
        <v>586</v>
      </c>
      <c r="R1209">
        <v>253</v>
      </c>
      <c r="S1209">
        <v>331.8</v>
      </c>
      <c r="T1209">
        <v>389</v>
      </c>
      <c r="U1209">
        <v>385</v>
      </c>
      <c r="V1209">
        <v>500</v>
      </c>
      <c r="W1209">
        <v>2.79</v>
      </c>
    </row>
    <row r="1210" spans="1:23" x14ac:dyDescent="0.25">
      <c r="A1210" t="s">
        <v>38</v>
      </c>
      <c r="B1210">
        <v>11</v>
      </c>
      <c r="C1210">
        <v>21</v>
      </c>
      <c r="D1210">
        <v>2006</v>
      </c>
      <c r="E1210">
        <v>323.89999999999998</v>
      </c>
      <c r="F1210">
        <v>4.5</v>
      </c>
      <c r="G1210">
        <v>3.6</v>
      </c>
      <c r="H1210">
        <v>0.9</v>
      </c>
      <c r="I1210">
        <v>20</v>
      </c>
      <c r="J1210">
        <v>90.9</v>
      </c>
      <c r="K1210">
        <v>3295.9</v>
      </c>
      <c r="L1210">
        <v>423</v>
      </c>
      <c r="M1210">
        <v>383</v>
      </c>
      <c r="N1210">
        <v>581</v>
      </c>
      <c r="O1210">
        <v>198</v>
      </c>
      <c r="P1210">
        <v>349</v>
      </c>
      <c r="Q1210">
        <v>593</v>
      </c>
      <c r="R1210">
        <v>244</v>
      </c>
      <c r="S1210">
        <v>331.8</v>
      </c>
      <c r="T1210">
        <v>389</v>
      </c>
      <c r="U1210">
        <v>385</v>
      </c>
      <c r="V1210">
        <v>500</v>
      </c>
      <c r="W1210">
        <v>2.79</v>
      </c>
    </row>
    <row r="1211" spans="1:23" x14ac:dyDescent="0.25">
      <c r="A1211" t="s">
        <v>38</v>
      </c>
      <c r="B1211">
        <v>11</v>
      </c>
      <c r="C1211">
        <v>22</v>
      </c>
      <c r="D1211">
        <v>2007</v>
      </c>
      <c r="E1211">
        <v>327.8</v>
      </c>
      <c r="F1211">
        <v>3.9</v>
      </c>
      <c r="G1211">
        <v>2.7</v>
      </c>
      <c r="H1211">
        <v>1.2</v>
      </c>
      <c r="I1211">
        <v>30</v>
      </c>
      <c r="J1211">
        <v>79.8</v>
      </c>
      <c r="K1211">
        <v>3375.7</v>
      </c>
      <c r="L1211">
        <v>477</v>
      </c>
      <c r="M1211">
        <v>428</v>
      </c>
      <c r="N1211">
        <v>588</v>
      </c>
      <c r="O1211">
        <v>160</v>
      </c>
      <c r="P1211">
        <v>363</v>
      </c>
      <c r="Q1211">
        <v>649</v>
      </c>
      <c r="R1211">
        <v>286</v>
      </c>
      <c r="S1211">
        <v>331.8</v>
      </c>
      <c r="T1211">
        <v>389</v>
      </c>
      <c r="U1211">
        <v>385</v>
      </c>
      <c r="V1211">
        <v>500</v>
      </c>
      <c r="W1211">
        <v>2.79</v>
      </c>
    </row>
    <row r="1212" spans="1:23" x14ac:dyDescent="0.25">
      <c r="A1212" t="s">
        <v>38</v>
      </c>
      <c r="B1212">
        <v>11</v>
      </c>
      <c r="C1212">
        <v>23</v>
      </c>
      <c r="D1212">
        <v>2008</v>
      </c>
      <c r="E1212">
        <v>332.3</v>
      </c>
      <c r="F1212">
        <v>4.5</v>
      </c>
      <c r="G1212">
        <v>3.9</v>
      </c>
      <c r="H1212">
        <v>0.6</v>
      </c>
      <c r="I1212">
        <v>13</v>
      </c>
      <c r="J1212">
        <v>93.3</v>
      </c>
      <c r="K1212">
        <v>3469.1</v>
      </c>
      <c r="L1212">
        <v>436</v>
      </c>
      <c r="M1212">
        <v>411</v>
      </c>
      <c r="N1212">
        <v>598</v>
      </c>
      <c r="O1212">
        <v>187</v>
      </c>
      <c r="P1212">
        <v>367</v>
      </c>
      <c r="Q1212">
        <v>601</v>
      </c>
      <c r="R1212">
        <v>234</v>
      </c>
      <c r="S1212">
        <v>331.8</v>
      </c>
      <c r="T1212">
        <v>389</v>
      </c>
      <c r="U1212">
        <v>385</v>
      </c>
      <c r="V1212">
        <v>500</v>
      </c>
      <c r="W1212">
        <v>2.79</v>
      </c>
    </row>
    <row r="1213" spans="1:23" x14ac:dyDescent="0.25">
      <c r="A1213" t="s">
        <v>38</v>
      </c>
      <c r="B1213">
        <v>11</v>
      </c>
      <c r="C1213">
        <v>24</v>
      </c>
      <c r="D1213">
        <v>2009</v>
      </c>
      <c r="E1213">
        <v>336.8</v>
      </c>
      <c r="F1213">
        <v>4.5</v>
      </c>
      <c r="G1213">
        <v>3.6</v>
      </c>
      <c r="H1213">
        <v>0.9</v>
      </c>
      <c r="I1213">
        <v>20</v>
      </c>
      <c r="J1213">
        <v>94.6</v>
      </c>
      <c r="K1213">
        <v>3563.6</v>
      </c>
      <c r="L1213">
        <v>435</v>
      </c>
      <c r="M1213">
        <v>401</v>
      </c>
      <c r="N1213">
        <v>570</v>
      </c>
      <c r="O1213">
        <v>169</v>
      </c>
      <c r="P1213">
        <v>356</v>
      </c>
      <c r="Q1213">
        <v>582</v>
      </c>
      <c r="R1213">
        <v>226</v>
      </c>
      <c r="S1213">
        <v>331.8</v>
      </c>
      <c r="T1213">
        <v>389</v>
      </c>
      <c r="U1213">
        <v>385</v>
      </c>
      <c r="V1213">
        <v>500</v>
      </c>
      <c r="W1213">
        <v>2.79</v>
      </c>
    </row>
    <row r="1214" spans="1:23" x14ac:dyDescent="0.25">
      <c r="A1214" t="s">
        <v>38</v>
      </c>
      <c r="B1214">
        <v>11</v>
      </c>
      <c r="C1214">
        <v>25</v>
      </c>
      <c r="D1214">
        <v>2010</v>
      </c>
      <c r="E1214">
        <v>341.9</v>
      </c>
      <c r="F1214">
        <v>5.0999999999999996</v>
      </c>
      <c r="G1214">
        <v>4.5</v>
      </c>
      <c r="H1214">
        <v>0.6</v>
      </c>
      <c r="I1214">
        <v>11</v>
      </c>
      <c r="J1214">
        <v>108.7</v>
      </c>
      <c r="K1214">
        <v>3672.4</v>
      </c>
      <c r="L1214">
        <v>414</v>
      </c>
      <c r="M1214">
        <v>390</v>
      </c>
      <c r="N1214">
        <v>588</v>
      </c>
      <c r="O1214">
        <v>198</v>
      </c>
      <c r="P1214">
        <v>340</v>
      </c>
      <c r="Q1214">
        <v>640</v>
      </c>
      <c r="R1214">
        <v>300</v>
      </c>
      <c r="S1214">
        <v>331.8</v>
      </c>
      <c r="T1214">
        <v>389</v>
      </c>
      <c r="U1214">
        <v>385</v>
      </c>
      <c r="V1214">
        <v>500</v>
      </c>
      <c r="W1214">
        <v>2.79</v>
      </c>
    </row>
    <row r="1215" spans="1:23" x14ac:dyDescent="0.25">
      <c r="A1215" t="s">
        <v>38</v>
      </c>
      <c r="B1215">
        <v>11</v>
      </c>
      <c r="C1215">
        <v>26</v>
      </c>
      <c r="D1215">
        <v>2011</v>
      </c>
      <c r="E1215">
        <v>346.4</v>
      </c>
      <c r="F1215">
        <v>4.5</v>
      </c>
      <c r="G1215">
        <v>3.6</v>
      </c>
      <c r="H1215">
        <v>0.9</v>
      </c>
      <c r="I1215">
        <v>20</v>
      </c>
      <c r="J1215">
        <v>97.3</v>
      </c>
      <c r="K1215">
        <v>3769.7</v>
      </c>
      <c r="L1215">
        <v>428</v>
      </c>
      <c r="M1215">
        <v>387</v>
      </c>
      <c r="N1215">
        <v>593</v>
      </c>
      <c r="O1215">
        <v>206</v>
      </c>
      <c r="P1215">
        <v>356</v>
      </c>
      <c r="Q1215">
        <v>619</v>
      </c>
      <c r="R1215">
        <v>263</v>
      </c>
      <c r="S1215">
        <v>331.8</v>
      </c>
      <c r="T1215">
        <v>389</v>
      </c>
      <c r="U1215">
        <v>385</v>
      </c>
      <c r="V1215">
        <v>500</v>
      </c>
      <c r="W1215">
        <v>2.79</v>
      </c>
    </row>
    <row r="1216" spans="1:23" x14ac:dyDescent="0.25">
      <c r="A1216" t="s">
        <v>38</v>
      </c>
      <c r="B1216">
        <v>11</v>
      </c>
      <c r="C1216">
        <v>27</v>
      </c>
      <c r="D1216">
        <v>2012</v>
      </c>
      <c r="E1216">
        <v>351.8</v>
      </c>
      <c r="F1216">
        <v>5.4</v>
      </c>
      <c r="G1216">
        <v>5.0999999999999996</v>
      </c>
      <c r="H1216">
        <v>0.3</v>
      </c>
      <c r="I1216">
        <v>5</v>
      </c>
      <c r="J1216">
        <v>118.4</v>
      </c>
      <c r="K1216">
        <v>3888.1</v>
      </c>
      <c r="L1216">
        <v>400</v>
      </c>
      <c r="M1216">
        <v>390</v>
      </c>
      <c r="N1216">
        <v>568</v>
      </c>
      <c r="O1216">
        <v>178</v>
      </c>
      <c r="P1216">
        <v>106</v>
      </c>
      <c r="Q1216">
        <v>568</v>
      </c>
      <c r="R1216">
        <v>462</v>
      </c>
      <c r="S1216">
        <v>331.8</v>
      </c>
      <c r="T1216">
        <v>389</v>
      </c>
      <c r="U1216">
        <v>385</v>
      </c>
      <c r="V1216">
        <v>500</v>
      </c>
      <c r="W1216">
        <v>2.79</v>
      </c>
    </row>
    <row r="1217" spans="1:23" x14ac:dyDescent="0.25">
      <c r="A1217" t="s">
        <v>38</v>
      </c>
      <c r="B1217">
        <v>13</v>
      </c>
      <c r="C1217">
        <v>2</v>
      </c>
      <c r="D1217">
        <v>1987</v>
      </c>
      <c r="E1217">
        <v>32</v>
      </c>
      <c r="F1217">
        <v>32</v>
      </c>
      <c r="G1217">
        <v>12</v>
      </c>
      <c r="H1217">
        <v>0</v>
      </c>
      <c r="I1217">
        <v>0</v>
      </c>
      <c r="J1217">
        <v>32.200000000000003</v>
      </c>
      <c r="K1217">
        <v>32.200000000000003</v>
      </c>
      <c r="L1217">
        <v>356</v>
      </c>
      <c r="M1217">
        <v>356</v>
      </c>
      <c r="P1217">
        <v>284</v>
      </c>
      <c r="Q1217">
        <v>495</v>
      </c>
      <c r="R1217">
        <v>211</v>
      </c>
      <c r="S1217">
        <v>286.8</v>
      </c>
      <c r="T1217">
        <v>408</v>
      </c>
      <c r="U1217">
        <v>398</v>
      </c>
      <c r="V1217">
        <v>500</v>
      </c>
      <c r="W1217">
        <v>2.79</v>
      </c>
    </row>
    <row r="1218" spans="1:23" x14ac:dyDescent="0.25">
      <c r="A1218" t="s">
        <v>38</v>
      </c>
      <c r="B1218">
        <v>13</v>
      </c>
      <c r="C1218">
        <v>3</v>
      </c>
      <c r="D1218">
        <v>1988</v>
      </c>
      <c r="E1218">
        <v>52.7</v>
      </c>
      <c r="F1218">
        <v>20.7</v>
      </c>
      <c r="G1218">
        <v>20.7</v>
      </c>
      <c r="H1218">
        <v>0</v>
      </c>
      <c r="I1218">
        <v>0</v>
      </c>
      <c r="J1218">
        <v>55.1</v>
      </c>
      <c r="K1218">
        <v>87.3</v>
      </c>
      <c r="L1218">
        <v>354</v>
      </c>
      <c r="M1218">
        <v>354</v>
      </c>
      <c r="P1218">
        <v>287</v>
      </c>
      <c r="Q1218">
        <v>496</v>
      </c>
      <c r="R1218">
        <v>209</v>
      </c>
      <c r="S1218">
        <v>286.8</v>
      </c>
      <c r="T1218">
        <v>408</v>
      </c>
      <c r="U1218">
        <v>398</v>
      </c>
      <c r="V1218">
        <v>500</v>
      </c>
      <c r="W1218">
        <v>2.79</v>
      </c>
    </row>
    <row r="1219" spans="1:23" x14ac:dyDescent="0.25">
      <c r="A1219" t="s">
        <v>38</v>
      </c>
      <c r="B1219">
        <v>13</v>
      </c>
      <c r="C1219">
        <v>4</v>
      </c>
      <c r="D1219">
        <v>1989</v>
      </c>
      <c r="E1219">
        <v>69.2</v>
      </c>
      <c r="F1219">
        <v>16.5</v>
      </c>
      <c r="G1219">
        <v>15.9</v>
      </c>
      <c r="H1219">
        <v>0.6</v>
      </c>
      <c r="I1219">
        <v>3</v>
      </c>
      <c r="J1219">
        <v>63.2</v>
      </c>
      <c r="K1219">
        <v>150.4</v>
      </c>
      <c r="L1219">
        <v>373</v>
      </c>
      <c r="M1219">
        <v>368</v>
      </c>
      <c r="N1219">
        <v>520</v>
      </c>
      <c r="O1219">
        <v>152</v>
      </c>
      <c r="P1219">
        <v>291</v>
      </c>
      <c r="Q1219">
        <v>537</v>
      </c>
      <c r="R1219">
        <v>246</v>
      </c>
      <c r="S1219">
        <v>286.8</v>
      </c>
      <c r="T1219">
        <v>408</v>
      </c>
      <c r="U1219">
        <v>398</v>
      </c>
      <c r="V1219">
        <v>500</v>
      </c>
      <c r="W1219">
        <v>2.79</v>
      </c>
    </row>
    <row r="1220" spans="1:23" x14ac:dyDescent="0.25">
      <c r="A1220" t="s">
        <v>38</v>
      </c>
      <c r="B1220">
        <v>13</v>
      </c>
      <c r="C1220">
        <v>5</v>
      </c>
      <c r="D1220">
        <v>1990</v>
      </c>
      <c r="E1220">
        <v>79.7</v>
      </c>
      <c r="F1220">
        <v>10.5</v>
      </c>
      <c r="G1220">
        <v>8.4</v>
      </c>
      <c r="H1220">
        <v>2.1</v>
      </c>
      <c r="I1220">
        <v>20</v>
      </c>
      <c r="J1220">
        <v>49.1</v>
      </c>
      <c r="K1220">
        <v>199.6</v>
      </c>
      <c r="L1220">
        <v>410</v>
      </c>
      <c r="M1220">
        <v>381</v>
      </c>
      <c r="N1220">
        <v>526</v>
      </c>
      <c r="O1220">
        <v>145</v>
      </c>
      <c r="P1220">
        <v>310</v>
      </c>
      <c r="Q1220">
        <v>550</v>
      </c>
      <c r="R1220">
        <v>240</v>
      </c>
      <c r="S1220">
        <v>286.8</v>
      </c>
      <c r="T1220">
        <v>408</v>
      </c>
      <c r="U1220">
        <v>398</v>
      </c>
      <c r="V1220">
        <v>500</v>
      </c>
      <c r="W1220">
        <v>2.79</v>
      </c>
    </row>
    <row r="1221" spans="1:23" x14ac:dyDescent="0.25">
      <c r="A1221" t="s">
        <v>38</v>
      </c>
      <c r="B1221">
        <v>13</v>
      </c>
      <c r="C1221">
        <v>6</v>
      </c>
      <c r="D1221">
        <v>1991</v>
      </c>
      <c r="E1221">
        <v>97.7</v>
      </c>
      <c r="F1221">
        <v>18</v>
      </c>
      <c r="G1221">
        <v>17.399999999999999</v>
      </c>
      <c r="H1221">
        <v>0.6</v>
      </c>
      <c r="I1221">
        <v>3</v>
      </c>
      <c r="J1221">
        <v>100.3</v>
      </c>
      <c r="K1221">
        <v>299.89999999999998</v>
      </c>
      <c r="L1221">
        <v>372</v>
      </c>
      <c r="M1221">
        <v>368</v>
      </c>
      <c r="N1221">
        <v>506</v>
      </c>
      <c r="O1221">
        <v>138</v>
      </c>
      <c r="P1221">
        <v>290</v>
      </c>
      <c r="Q1221">
        <v>510</v>
      </c>
      <c r="R1221">
        <v>220</v>
      </c>
      <c r="S1221">
        <v>286.8</v>
      </c>
      <c r="T1221">
        <v>408</v>
      </c>
      <c r="U1221">
        <v>398</v>
      </c>
      <c r="V1221">
        <v>500</v>
      </c>
      <c r="W1221">
        <v>2.79</v>
      </c>
    </row>
    <row r="1222" spans="1:23" x14ac:dyDescent="0.25">
      <c r="A1222" t="s">
        <v>38</v>
      </c>
      <c r="B1222">
        <v>13</v>
      </c>
      <c r="C1222">
        <v>7</v>
      </c>
      <c r="D1222">
        <v>1992</v>
      </c>
      <c r="E1222">
        <v>115.4</v>
      </c>
      <c r="F1222">
        <v>17.7</v>
      </c>
      <c r="G1222">
        <v>15.9</v>
      </c>
      <c r="H1222">
        <v>1.8</v>
      </c>
      <c r="I1222">
        <v>10</v>
      </c>
      <c r="J1222">
        <v>118.5</v>
      </c>
      <c r="K1222">
        <v>418.4</v>
      </c>
      <c r="L1222">
        <v>392</v>
      </c>
      <c r="M1222">
        <v>378</v>
      </c>
      <c r="N1222">
        <v>524</v>
      </c>
      <c r="O1222">
        <v>146</v>
      </c>
      <c r="P1222">
        <v>316</v>
      </c>
      <c r="Q1222">
        <v>538</v>
      </c>
      <c r="R1222">
        <v>222</v>
      </c>
      <c r="S1222">
        <v>286.8</v>
      </c>
      <c r="T1222">
        <v>408</v>
      </c>
      <c r="U1222">
        <v>398</v>
      </c>
      <c r="V1222">
        <v>500</v>
      </c>
      <c r="W1222">
        <v>2.79</v>
      </c>
    </row>
    <row r="1223" spans="1:23" x14ac:dyDescent="0.25">
      <c r="A1223" t="s">
        <v>38</v>
      </c>
      <c r="B1223">
        <v>13</v>
      </c>
      <c r="C1223">
        <v>8</v>
      </c>
      <c r="D1223">
        <v>1993</v>
      </c>
      <c r="E1223">
        <v>135.19999999999999</v>
      </c>
      <c r="F1223">
        <v>19.8</v>
      </c>
      <c r="G1223">
        <v>18.899999999999999</v>
      </c>
      <c r="H1223">
        <v>0.9</v>
      </c>
      <c r="I1223">
        <v>4</v>
      </c>
      <c r="J1223">
        <v>155.9</v>
      </c>
      <c r="K1223">
        <v>574.29999999999995</v>
      </c>
      <c r="L1223">
        <v>376</v>
      </c>
      <c r="M1223">
        <v>369</v>
      </c>
      <c r="N1223">
        <v>519</v>
      </c>
      <c r="O1223">
        <v>150</v>
      </c>
      <c r="P1223">
        <v>285</v>
      </c>
      <c r="Q1223">
        <v>528</v>
      </c>
      <c r="R1223">
        <v>243</v>
      </c>
      <c r="S1223">
        <v>286.8</v>
      </c>
      <c r="T1223">
        <v>408</v>
      </c>
      <c r="U1223">
        <v>398</v>
      </c>
      <c r="V1223">
        <v>500</v>
      </c>
      <c r="W1223">
        <v>2.79</v>
      </c>
    </row>
    <row r="1224" spans="1:23" x14ac:dyDescent="0.25">
      <c r="A1224" t="s">
        <v>38</v>
      </c>
      <c r="B1224">
        <v>13</v>
      </c>
      <c r="C1224">
        <v>9</v>
      </c>
      <c r="D1224">
        <v>1994</v>
      </c>
      <c r="E1224">
        <v>157.1</v>
      </c>
      <c r="F1224">
        <v>21.9</v>
      </c>
      <c r="G1224">
        <v>21.6</v>
      </c>
      <c r="H1224">
        <v>0.3</v>
      </c>
      <c r="I1224">
        <v>1</v>
      </c>
      <c r="J1224">
        <v>201.1</v>
      </c>
      <c r="K1224">
        <v>775.4</v>
      </c>
      <c r="L1224">
        <v>390</v>
      </c>
      <c r="M1224">
        <v>388</v>
      </c>
      <c r="N1224">
        <v>512</v>
      </c>
      <c r="O1224">
        <v>124</v>
      </c>
      <c r="P1224">
        <v>301</v>
      </c>
      <c r="Q1224">
        <v>512</v>
      </c>
      <c r="R1224">
        <v>211</v>
      </c>
      <c r="S1224">
        <v>286.8</v>
      </c>
      <c r="T1224">
        <v>408</v>
      </c>
      <c r="U1224">
        <v>398</v>
      </c>
      <c r="V1224">
        <v>500</v>
      </c>
      <c r="W1224">
        <v>2.79</v>
      </c>
    </row>
    <row r="1225" spans="1:23" x14ac:dyDescent="0.25">
      <c r="A1225" t="s">
        <v>38</v>
      </c>
      <c r="B1225">
        <v>13</v>
      </c>
      <c r="C1225">
        <v>10</v>
      </c>
      <c r="D1225">
        <v>1995</v>
      </c>
      <c r="E1225">
        <v>180.8</v>
      </c>
      <c r="F1225">
        <v>23.7</v>
      </c>
      <c r="G1225">
        <v>21.3</v>
      </c>
      <c r="H1225">
        <v>2.4</v>
      </c>
      <c r="I1225">
        <v>10</v>
      </c>
      <c r="J1225">
        <v>251.6</v>
      </c>
      <c r="K1225">
        <v>1026.9000000000001</v>
      </c>
      <c r="L1225">
        <v>389</v>
      </c>
      <c r="M1225">
        <v>375</v>
      </c>
      <c r="N1225">
        <v>513</v>
      </c>
      <c r="O1225">
        <v>138</v>
      </c>
      <c r="P1225">
        <v>286</v>
      </c>
      <c r="Q1225">
        <v>532</v>
      </c>
      <c r="R1225">
        <v>246</v>
      </c>
      <c r="S1225">
        <v>286.8</v>
      </c>
      <c r="T1225">
        <v>408</v>
      </c>
      <c r="U1225">
        <v>398</v>
      </c>
      <c r="V1225">
        <v>500</v>
      </c>
      <c r="W1225">
        <v>2.79</v>
      </c>
    </row>
    <row r="1226" spans="1:23" x14ac:dyDescent="0.25">
      <c r="A1226" t="s">
        <v>38</v>
      </c>
      <c r="B1226">
        <v>13</v>
      </c>
      <c r="C1226">
        <v>11</v>
      </c>
      <c r="D1226">
        <v>1996</v>
      </c>
      <c r="E1226">
        <v>205.4</v>
      </c>
      <c r="F1226">
        <v>24.6</v>
      </c>
      <c r="G1226">
        <v>22.8</v>
      </c>
      <c r="H1226">
        <v>1.8</v>
      </c>
      <c r="I1226">
        <v>7</v>
      </c>
      <c r="J1226">
        <v>298.5</v>
      </c>
      <c r="K1226">
        <v>1325.4</v>
      </c>
      <c r="L1226">
        <v>378</v>
      </c>
      <c r="M1226">
        <v>367</v>
      </c>
      <c r="N1226">
        <v>522</v>
      </c>
      <c r="O1226">
        <v>155</v>
      </c>
      <c r="P1226">
        <v>292</v>
      </c>
      <c r="Q1226">
        <v>554</v>
      </c>
      <c r="R1226">
        <v>262</v>
      </c>
      <c r="S1226">
        <v>286.8</v>
      </c>
      <c r="T1226">
        <v>408</v>
      </c>
      <c r="U1226">
        <v>398</v>
      </c>
      <c r="V1226">
        <v>500</v>
      </c>
      <c r="W1226">
        <v>2.79</v>
      </c>
    </row>
    <row r="1227" spans="1:23" x14ac:dyDescent="0.25">
      <c r="A1227" t="s">
        <v>38</v>
      </c>
      <c r="B1227">
        <v>13</v>
      </c>
      <c r="C1227">
        <v>12</v>
      </c>
      <c r="D1227">
        <v>1997</v>
      </c>
      <c r="E1227">
        <v>225.8</v>
      </c>
      <c r="F1227">
        <v>20.399999999999999</v>
      </c>
      <c r="G1227">
        <v>18.600000000000001</v>
      </c>
      <c r="H1227">
        <v>1.8</v>
      </c>
      <c r="I1227">
        <v>8</v>
      </c>
      <c r="J1227">
        <v>276.3</v>
      </c>
      <c r="K1227">
        <v>1601.8</v>
      </c>
      <c r="L1227">
        <v>389</v>
      </c>
      <c r="M1227">
        <v>377</v>
      </c>
      <c r="N1227">
        <v>518</v>
      </c>
      <c r="O1227">
        <v>141</v>
      </c>
      <c r="P1227">
        <v>307</v>
      </c>
      <c r="Q1227">
        <v>560</v>
      </c>
      <c r="R1227">
        <v>253</v>
      </c>
      <c r="S1227">
        <v>286.8</v>
      </c>
      <c r="T1227">
        <v>408</v>
      </c>
      <c r="U1227">
        <v>398</v>
      </c>
      <c r="V1227">
        <v>500</v>
      </c>
      <c r="W1227">
        <v>2.79</v>
      </c>
    </row>
    <row r="1228" spans="1:23" x14ac:dyDescent="0.25">
      <c r="A1228" t="s">
        <v>38</v>
      </c>
      <c r="B1228">
        <v>13</v>
      </c>
      <c r="C1228">
        <v>13</v>
      </c>
      <c r="D1228">
        <v>1998</v>
      </c>
      <c r="E1228">
        <v>238.4</v>
      </c>
      <c r="F1228">
        <v>12.6</v>
      </c>
      <c r="G1228">
        <v>9.9</v>
      </c>
      <c r="H1228">
        <v>2.7</v>
      </c>
      <c r="I1228">
        <v>21</v>
      </c>
      <c r="J1228">
        <v>183.7</v>
      </c>
      <c r="K1228">
        <v>1785.5</v>
      </c>
      <c r="L1228">
        <v>404</v>
      </c>
      <c r="M1228">
        <v>372</v>
      </c>
      <c r="N1228">
        <v>522</v>
      </c>
      <c r="O1228">
        <v>150</v>
      </c>
      <c r="P1228">
        <v>326</v>
      </c>
      <c r="Q1228">
        <v>566</v>
      </c>
      <c r="R1228">
        <v>240</v>
      </c>
      <c r="S1228">
        <v>286.8</v>
      </c>
      <c r="T1228">
        <v>408</v>
      </c>
      <c r="U1228">
        <v>398</v>
      </c>
      <c r="V1228">
        <v>500</v>
      </c>
      <c r="W1228">
        <v>2.79</v>
      </c>
    </row>
    <row r="1229" spans="1:23" x14ac:dyDescent="0.25">
      <c r="A1229" t="s">
        <v>38</v>
      </c>
      <c r="B1229">
        <v>13</v>
      </c>
      <c r="C1229">
        <v>14</v>
      </c>
      <c r="D1229">
        <v>1999</v>
      </c>
      <c r="E1229">
        <v>252.5</v>
      </c>
      <c r="F1229">
        <v>14.1</v>
      </c>
      <c r="G1229">
        <v>12.6</v>
      </c>
      <c r="H1229">
        <v>1.5</v>
      </c>
      <c r="I1229">
        <v>10</v>
      </c>
      <c r="J1229">
        <v>217.5</v>
      </c>
      <c r="K1229">
        <v>2003</v>
      </c>
      <c r="L1229">
        <v>390</v>
      </c>
      <c r="M1229">
        <v>374</v>
      </c>
      <c r="N1229">
        <v>521</v>
      </c>
      <c r="O1229">
        <v>147</v>
      </c>
      <c r="P1229">
        <v>325</v>
      </c>
      <c r="Q1229">
        <v>550</v>
      </c>
      <c r="R1229">
        <v>225</v>
      </c>
      <c r="S1229">
        <v>286.8</v>
      </c>
      <c r="T1229">
        <v>408</v>
      </c>
      <c r="U1229">
        <v>398</v>
      </c>
      <c r="V1229">
        <v>500</v>
      </c>
      <c r="W1229">
        <v>2.79</v>
      </c>
    </row>
    <row r="1230" spans="1:23" x14ac:dyDescent="0.25">
      <c r="A1230" t="s">
        <v>38</v>
      </c>
      <c r="B1230">
        <v>13</v>
      </c>
      <c r="C1230">
        <v>15</v>
      </c>
      <c r="D1230">
        <v>2000</v>
      </c>
      <c r="E1230">
        <v>259.7</v>
      </c>
      <c r="F1230">
        <v>7.2</v>
      </c>
      <c r="G1230">
        <v>6.6</v>
      </c>
      <c r="H1230">
        <v>0.6</v>
      </c>
      <c r="I1230">
        <v>8</v>
      </c>
      <c r="J1230">
        <v>115.9</v>
      </c>
      <c r="K1230">
        <v>2118.8000000000002</v>
      </c>
      <c r="L1230">
        <v>393</v>
      </c>
      <c r="M1230">
        <v>380</v>
      </c>
      <c r="N1230">
        <v>541</v>
      </c>
      <c r="O1230">
        <v>161</v>
      </c>
      <c r="P1230">
        <v>328</v>
      </c>
      <c r="Q1230">
        <v>553</v>
      </c>
      <c r="R1230">
        <v>225</v>
      </c>
      <c r="S1230">
        <v>286.8</v>
      </c>
      <c r="T1230">
        <v>408</v>
      </c>
      <c r="U1230">
        <v>398</v>
      </c>
      <c r="V1230">
        <v>500</v>
      </c>
      <c r="W1230">
        <v>2.79</v>
      </c>
    </row>
    <row r="1231" spans="1:23" x14ac:dyDescent="0.25">
      <c r="A1231" t="s">
        <v>38</v>
      </c>
      <c r="B1231">
        <v>13</v>
      </c>
      <c r="C1231">
        <v>16</v>
      </c>
      <c r="D1231">
        <v>2001</v>
      </c>
      <c r="E1231">
        <v>266.89999999999998</v>
      </c>
      <c r="F1231">
        <v>7.2</v>
      </c>
      <c r="G1231">
        <v>6.3</v>
      </c>
      <c r="H1231">
        <v>0.9</v>
      </c>
      <c r="I1231">
        <v>12</v>
      </c>
      <c r="J1231">
        <v>119.1</v>
      </c>
      <c r="K1231">
        <v>2237.9</v>
      </c>
      <c r="L1231">
        <v>388</v>
      </c>
      <c r="M1231">
        <v>366</v>
      </c>
      <c r="N1231">
        <v>536</v>
      </c>
      <c r="O1231">
        <v>170</v>
      </c>
      <c r="P1231">
        <v>315</v>
      </c>
      <c r="Q1231">
        <v>551</v>
      </c>
      <c r="R1231">
        <v>236</v>
      </c>
      <c r="S1231">
        <v>286.8</v>
      </c>
      <c r="T1231">
        <v>408</v>
      </c>
      <c r="U1231">
        <v>398</v>
      </c>
      <c r="V1231">
        <v>500</v>
      </c>
      <c r="W1231">
        <v>2.79</v>
      </c>
    </row>
    <row r="1232" spans="1:23" x14ac:dyDescent="0.25">
      <c r="A1232" t="s">
        <v>38</v>
      </c>
      <c r="B1232">
        <v>13</v>
      </c>
      <c r="C1232">
        <v>17</v>
      </c>
      <c r="D1232">
        <v>2002</v>
      </c>
      <c r="E1232">
        <v>272.3</v>
      </c>
      <c r="F1232">
        <v>5.4</v>
      </c>
      <c r="G1232">
        <v>4.2</v>
      </c>
      <c r="H1232">
        <v>1.2</v>
      </c>
      <c r="I1232">
        <v>22</v>
      </c>
      <c r="J1232">
        <v>91.5</v>
      </c>
      <c r="K1232">
        <v>2329.4</v>
      </c>
      <c r="L1232">
        <v>424</v>
      </c>
      <c r="M1232">
        <v>394</v>
      </c>
      <c r="N1232">
        <v>531</v>
      </c>
      <c r="O1232">
        <v>137</v>
      </c>
      <c r="P1232">
        <v>338</v>
      </c>
      <c r="Q1232">
        <v>587</v>
      </c>
      <c r="R1232">
        <v>249</v>
      </c>
      <c r="S1232">
        <v>286.8</v>
      </c>
      <c r="T1232">
        <v>408</v>
      </c>
      <c r="U1232">
        <v>398</v>
      </c>
      <c r="V1232">
        <v>500</v>
      </c>
      <c r="W1232">
        <v>2.79</v>
      </c>
    </row>
    <row r="1233" spans="1:23" x14ac:dyDescent="0.25">
      <c r="A1233" t="s">
        <v>38</v>
      </c>
      <c r="B1233">
        <v>13</v>
      </c>
      <c r="C1233">
        <v>18</v>
      </c>
      <c r="D1233">
        <v>2003</v>
      </c>
      <c r="E1233">
        <v>278.3</v>
      </c>
      <c r="F1233">
        <v>6</v>
      </c>
      <c r="G1233">
        <v>5.4</v>
      </c>
      <c r="H1233">
        <v>0.6</v>
      </c>
      <c r="I1233">
        <v>10</v>
      </c>
      <c r="J1233">
        <v>103.8</v>
      </c>
      <c r="K1233">
        <v>2433.1999999999998</v>
      </c>
      <c r="L1233">
        <v>428</v>
      </c>
      <c r="M1233">
        <v>413</v>
      </c>
      <c r="N1233">
        <v>566</v>
      </c>
      <c r="O1233">
        <v>153</v>
      </c>
      <c r="P1233">
        <v>366</v>
      </c>
      <c r="Q1233">
        <v>580</v>
      </c>
      <c r="R1233">
        <v>214</v>
      </c>
      <c r="S1233">
        <v>286.8</v>
      </c>
      <c r="T1233">
        <v>408</v>
      </c>
      <c r="U1233">
        <v>398</v>
      </c>
      <c r="V1233">
        <v>500</v>
      </c>
      <c r="W1233">
        <v>2.79</v>
      </c>
    </row>
    <row r="1234" spans="1:23" x14ac:dyDescent="0.25">
      <c r="A1234" t="s">
        <v>38</v>
      </c>
      <c r="B1234">
        <v>13</v>
      </c>
      <c r="C1234">
        <v>19</v>
      </c>
      <c r="D1234">
        <v>2004</v>
      </c>
      <c r="E1234">
        <v>284</v>
      </c>
      <c r="F1234">
        <v>5.7</v>
      </c>
      <c r="G1234">
        <v>4.5</v>
      </c>
      <c r="H1234">
        <v>1.2</v>
      </c>
      <c r="I1234">
        <v>21</v>
      </c>
      <c r="J1234">
        <v>100.7</v>
      </c>
      <c r="K1234">
        <v>2533.9</v>
      </c>
      <c r="L1234">
        <v>429</v>
      </c>
      <c r="M1234">
        <v>397</v>
      </c>
      <c r="N1234">
        <v>549</v>
      </c>
      <c r="O1234">
        <v>152</v>
      </c>
      <c r="P1234">
        <v>356</v>
      </c>
      <c r="Q1234">
        <v>571</v>
      </c>
      <c r="R1234">
        <v>215</v>
      </c>
      <c r="S1234">
        <v>286.8</v>
      </c>
      <c r="T1234">
        <v>408</v>
      </c>
      <c r="U1234">
        <v>398</v>
      </c>
      <c r="V1234">
        <v>500</v>
      </c>
      <c r="W1234">
        <v>2.79</v>
      </c>
    </row>
    <row r="1235" spans="1:23" x14ac:dyDescent="0.25">
      <c r="A1235" t="s">
        <v>38</v>
      </c>
      <c r="B1235">
        <v>13</v>
      </c>
      <c r="C1235">
        <v>20</v>
      </c>
      <c r="D1235">
        <v>2005</v>
      </c>
      <c r="E1235">
        <v>288.2</v>
      </c>
      <c r="F1235">
        <v>4.2</v>
      </c>
      <c r="G1235">
        <v>3.3</v>
      </c>
      <c r="H1235">
        <v>0.9</v>
      </c>
      <c r="I1235">
        <v>21</v>
      </c>
      <c r="J1235">
        <v>75.5</v>
      </c>
      <c r="K1235">
        <v>2609.4</v>
      </c>
      <c r="L1235">
        <v>415</v>
      </c>
      <c r="M1235">
        <v>380</v>
      </c>
      <c r="N1235">
        <v>545</v>
      </c>
      <c r="O1235">
        <v>165</v>
      </c>
      <c r="P1235">
        <v>343</v>
      </c>
      <c r="Q1235">
        <v>562</v>
      </c>
      <c r="R1235">
        <v>219</v>
      </c>
      <c r="S1235">
        <v>286.8</v>
      </c>
      <c r="T1235">
        <v>408</v>
      </c>
      <c r="U1235">
        <v>398</v>
      </c>
      <c r="V1235">
        <v>500</v>
      </c>
      <c r="W1235">
        <v>2.79</v>
      </c>
    </row>
    <row r="1236" spans="1:23" x14ac:dyDescent="0.25">
      <c r="A1236" t="s">
        <v>38</v>
      </c>
      <c r="B1236">
        <v>13</v>
      </c>
      <c r="C1236">
        <v>21</v>
      </c>
      <c r="D1236">
        <v>2006</v>
      </c>
      <c r="E1236">
        <v>290.89999999999998</v>
      </c>
      <c r="F1236">
        <v>2.7</v>
      </c>
      <c r="G1236">
        <v>2.1</v>
      </c>
      <c r="H1236">
        <v>0.6</v>
      </c>
      <c r="I1236">
        <v>22</v>
      </c>
      <c r="J1236">
        <v>49.1</v>
      </c>
      <c r="K1236">
        <v>2658.5</v>
      </c>
      <c r="L1236">
        <v>437</v>
      </c>
      <c r="M1236">
        <v>408</v>
      </c>
      <c r="N1236">
        <v>539</v>
      </c>
      <c r="O1236">
        <v>131</v>
      </c>
      <c r="P1236">
        <v>333</v>
      </c>
      <c r="Q1236">
        <v>546</v>
      </c>
      <c r="R1236">
        <v>213</v>
      </c>
      <c r="S1236">
        <v>286.8</v>
      </c>
      <c r="T1236">
        <v>408</v>
      </c>
      <c r="U1236">
        <v>398</v>
      </c>
      <c r="V1236">
        <v>500</v>
      </c>
      <c r="W1236">
        <v>2.79</v>
      </c>
    </row>
    <row r="1237" spans="1:23" x14ac:dyDescent="0.25">
      <c r="A1237" t="s">
        <v>38</v>
      </c>
      <c r="B1237">
        <v>13</v>
      </c>
      <c r="C1237">
        <v>22</v>
      </c>
      <c r="D1237">
        <v>2007</v>
      </c>
      <c r="E1237">
        <v>293.89999999999998</v>
      </c>
      <c r="F1237">
        <v>3</v>
      </c>
      <c r="G1237">
        <v>1.2</v>
      </c>
      <c r="H1237">
        <v>1.8</v>
      </c>
      <c r="I1237">
        <v>60</v>
      </c>
      <c r="J1237">
        <v>55.1</v>
      </c>
      <c r="K1237">
        <v>2713.6</v>
      </c>
      <c r="L1237">
        <v>474</v>
      </c>
      <c r="M1237">
        <v>391</v>
      </c>
      <c r="N1237">
        <v>529</v>
      </c>
      <c r="O1237">
        <v>138</v>
      </c>
      <c r="P1237">
        <v>344</v>
      </c>
      <c r="Q1237">
        <v>586</v>
      </c>
      <c r="R1237">
        <v>242</v>
      </c>
      <c r="S1237">
        <v>286.8</v>
      </c>
      <c r="T1237">
        <v>408</v>
      </c>
      <c r="U1237">
        <v>398</v>
      </c>
      <c r="V1237">
        <v>500</v>
      </c>
      <c r="W1237">
        <v>2.79</v>
      </c>
    </row>
    <row r="1238" spans="1:23" x14ac:dyDescent="0.25">
      <c r="A1238" t="s">
        <v>38</v>
      </c>
      <c r="B1238">
        <v>13</v>
      </c>
      <c r="C1238">
        <v>23</v>
      </c>
      <c r="D1238">
        <v>2008</v>
      </c>
      <c r="E1238">
        <v>297.2</v>
      </c>
      <c r="F1238">
        <v>3.3</v>
      </c>
      <c r="G1238">
        <v>2.7</v>
      </c>
      <c r="H1238">
        <v>0.6</v>
      </c>
      <c r="I1238">
        <v>18</v>
      </c>
      <c r="J1238">
        <v>61.3</v>
      </c>
      <c r="K1238">
        <v>2774.9</v>
      </c>
      <c r="L1238">
        <v>439</v>
      </c>
      <c r="M1238">
        <v>413</v>
      </c>
      <c r="N1238">
        <v>557</v>
      </c>
      <c r="O1238">
        <v>144</v>
      </c>
      <c r="P1238">
        <v>363</v>
      </c>
      <c r="Q1238">
        <v>577</v>
      </c>
      <c r="R1238">
        <v>214</v>
      </c>
      <c r="S1238">
        <v>286.8</v>
      </c>
      <c r="T1238">
        <v>408</v>
      </c>
      <c r="U1238">
        <v>398</v>
      </c>
      <c r="V1238">
        <v>500</v>
      </c>
      <c r="W1238">
        <v>2.79</v>
      </c>
    </row>
    <row r="1239" spans="1:23" x14ac:dyDescent="0.25">
      <c r="A1239" t="s">
        <v>38</v>
      </c>
      <c r="B1239">
        <v>13</v>
      </c>
      <c r="C1239">
        <v>24</v>
      </c>
      <c r="D1239">
        <v>2009</v>
      </c>
      <c r="E1239">
        <v>300.5</v>
      </c>
      <c r="F1239">
        <v>3.3</v>
      </c>
      <c r="G1239">
        <v>2.4</v>
      </c>
      <c r="H1239">
        <v>0.9</v>
      </c>
      <c r="I1239">
        <v>27</v>
      </c>
      <c r="J1239">
        <v>62</v>
      </c>
      <c r="K1239">
        <v>2836.9</v>
      </c>
      <c r="L1239">
        <v>433</v>
      </c>
      <c r="M1239">
        <v>383</v>
      </c>
      <c r="N1239">
        <v>566</v>
      </c>
      <c r="O1239">
        <v>183</v>
      </c>
      <c r="P1239">
        <v>280</v>
      </c>
      <c r="Q1239">
        <v>594</v>
      </c>
      <c r="R1239">
        <v>314</v>
      </c>
      <c r="S1239">
        <v>286.8</v>
      </c>
      <c r="T1239">
        <v>408</v>
      </c>
      <c r="U1239">
        <v>398</v>
      </c>
      <c r="V1239">
        <v>500</v>
      </c>
      <c r="W1239">
        <v>2.79</v>
      </c>
    </row>
    <row r="1240" spans="1:23" x14ac:dyDescent="0.25">
      <c r="A1240" t="s">
        <v>38</v>
      </c>
      <c r="B1240">
        <v>13</v>
      </c>
      <c r="C1240">
        <v>25</v>
      </c>
      <c r="D1240">
        <v>2010</v>
      </c>
      <c r="E1240">
        <v>303.5</v>
      </c>
      <c r="F1240">
        <v>3</v>
      </c>
      <c r="G1240">
        <v>2.1</v>
      </c>
      <c r="H1240">
        <v>0.9</v>
      </c>
      <c r="I1240">
        <v>30</v>
      </c>
      <c r="J1240">
        <v>56.9</v>
      </c>
      <c r="K1240">
        <v>2893.8</v>
      </c>
      <c r="L1240">
        <v>436</v>
      </c>
      <c r="M1240">
        <v>385</v>
      </c>
      <c r="N1240">
        <v>554</v>
      </c>
      <c r="O1240">
        <v>169</v>
      </c>
      <c r="P1240">
        <v>326</v>
      </c>
      <c r="Q1240">
        <v>598</v>
      </c>
      <c r="R1240">
        <v>272</v>
      </c>
      <c r="S1240">
        <v>286.8</v>
      </c>
      <c r="T1240">
        <v>408</v>
      </c>
      <c r="U1240">
        <v>398</v>
      </c>
      <c r="V1240">
        <v>500</v>
      </c>
      <c r="W1240">
        <v>2.79</v>
      </c>
    </row>
    <row r="1241" spans="1:23" x14ac:dyDescent="0.25">
      <c r="A1241" t="s">
        <v>38</v>
      </c>
      <c r="B1241">
        <v>13</v>
      </c>
      <c r="C1241">
        <v>26</v>
      </c>
      <c r="D1241">
        <v>2011</v>
      </c>
      <c r="E1241">
        <v>305.3</v>
      </c>
      <c r="F1241">
        <v>1.8</v>
      </c>
      <c r="G1241">
        <v>1.2</v>
      </c>
      <c r="H1241">
        <v>0.6</v>
      </c>
      <c r="I1241">
        <v>33</v>
      </c>
      <c r="J1241">
        <v>34.4</v>
      </c>
      <c r="K1241">
        <v>2928.2</v>
      </c>
      <c r="L1241">
        <v>477</v>
      </c>
      <c r="M1241">
        <v>429</v>
      </c>
      <c r="N1241">
        <v>574</v>
      </c>
      <c r="O1241">
        <v>145</v>
      </c>
      <c r="P1241">
        <v>387</v>
      </c>
      <c r="Q1241">
        <v>605</v>
      </c>
      <c r="R1241">
        <v>218</v>
      </c>
      <c r="S1241">
        <v>286.8</v>
      </c>
      <c r="T1241">
        <v>408</v>
      </c>
      <c r="U1241">
        <v>398</v>
      </c>
      <c r="V1241">
        <v>500</v>
      </c>
      <c r="W1241">
        <v>2.79</v>
      </c>
    </row>
    <row r="1242" spans="1:23" x14ac:dyDescent="0.25">
      <c r="A1242" t="s">
        <v>38</v>
      </c>
      <c r="B1242">
        <v>13</v>
      </c>
      <c r="C1242">
        <v>27</v>
      </c>
      <c r="D1242">
        <v>2012</v>
      </c>
      <c r="E1242">
        <v>306.8</v>
      </c>
      <c r="F1242">
        <v>1.5</v>
      </c>
      <c r="G1242">
        <v>1.2</v>
      </c>
      <c r="H1242">
        <v>0.3</v>
      </c>
      <c r="I1242">
        <v>20</v>
      </c>
      <c r="J1242">
        <v>28.8</v>
      </c>
      <c r="K1242">
        <v>2957.1</v>
      </c>
      <c r="L1242">
        <v>463</v>
      </c>
      <c r="M1242">
        <v>433</v>
      </c>
      <c r="N1242">
        <v>584</v>
      </c>
      <c r="O1242">
        <v>151</v>
      </c>
      <c r="P1242">
        <v>376</v>
      </c>
      <c r="Q1242">
        <v>584</v>
      </c>
      <c r="R1242">
        <v>208</v>
      </c>
      <c r="S1242">
        <v>286.8</v>
      </c>
      <c r="T1242">
        <v>408</v>
      </c>
      <c r="U1242">
        <v>398</v>
      </c>
      <c r="V1242">
        <v>500</v>
      </c>
      <c r="W1242">
        <v>2.79</v>
      </c>
    </row>
    <row r="1243" spans="1:23" x14ac:dyDescent="0.25">
      <c r="A1243" t="s">
        <v>38</v>
      </c>
      <c r="B1243">
        <v>14</v>
      </c>
      <c r="C1243">
        <v>5</v>
      </c>
      <c r="D1243">
        <v>1990</v>
      </c>
      <c r="E1243">
        <v>41.5</v>
      </c>
      <c r="F1243">
        <v>41.5</v>
      </c>
      <c r="G1243">
        <v>16.5</v>
      </c>
      <c r="H1243">
        <v>0</v>
      </c>
      <c r="I1243">
        <v>0</v>
      </c>
      <c r="J1243">
        <v>54.1</v>
      </c>
      <c r="K1243">
        <v>54.1</v>
      </c>
      <c r="L1243">
        <v>356</v>
      </c>
      <c r="M1243">
        <v>356</v>
      </c>
      <c r="P1243">
        <v>265</v>
      </c>
      <c r="Q1243">
        <v>465</v>
      </c>
      <c r="R1243">
        <v>200</v>
      </c>
      <c r="S1243">
        <v>173.4</v>
      </c>
      <c r="T1243">
        <v>385</v>
      </c>
      <c r="U1243">
        <v>377</v>
      </c>
      <c r="V1243">
        <v>500</v>
      </c>
      <c r="W1243">
        <v>2.79</v>
      </c>
    </row>
    <row r="1244" spans="1:23" x14ac:dyDescent="0.25">
      <c r="A1244" t="s">
        <v>38</v>
      </c>
      <c r="B1244">
        <v>14</v>
      </c>
      <c r="C1244">
        <v>6</v>
      </c>
      <c r="D1244">
        <v>1991</v>
      </c>
      <c r="E1244">
        <v>58.9</v>
      </c>
      <c r="F1244">
        <v>17.399999999999999</v>
      </c>
      <c r="G1244">
        <v>16.8</v>
      </c>
      <c r="H1244">
        <v>0.6</v>
      </c>
      <c r="I1244">
        <v>3</v>
      </c>
      <c r="J1244">
        <v>54.9</v>
      </c>
      <c r="K1244">
        <v>109</v>
      </c>
      <c r="L1244">
        <v>370</v>
      </c>
      <c r="M1244">
        <v>364</v>
      </c>
      <c r="N1244">
        <v>515</v>
      </c>
      <c r="O1244">
        <v>151</v>
      </c>
      <c r="P1244">
        <v>267</v>
      </c>
      <c r="Q1244">
        <v>520</v>
      </c>
      <c r="R1244">
        <v>253</v>
      </c>
      <c r="S1244">
        <v>173.4</v>
      </c>
      <c r="T1244">
        <v>385</v>
      </c>
      <c r="U1244">
        <v>377</v>
      </c>
      <c r="V1244">
        <v>500</v>
      </c>
      <c r="W1244">
        <v>2.79</v>
      </c>
    </row>
    <row r="1245" spans="1:23" x14ac:dyDescent="0.25">
      <c r="A1245" t="s">
        <v>38</v>
      </c>
      <c r="B1245">
        <v>14</v>
      </c>
      <c r="C1245">
        <v>7</v>
      </c>
      <c r="D1245">
        <v>1992</v>
      </c>
      <c r="E1245">
        <v>79</v>
      </c>
      <c r="F1245">
        <v>20.100000000000001</v>
      </c>
      <c r="G1245">
        <v>18.899999999999999</v>
      </c>
      <c r="H1245">
        <v>1.2</v>
      </c>
      <c r="I1245">
        <v>5</v>
      </c>
      <c r="J1245">
        <v>87.1</v>
      </c>
      <c r="K1245">
        <v>196.1</v>
      </c>
      <c r="L1245">
        <v>379</v>
      </c>
      <c r="M1245">
        <v>370</v>
      </c>
      <c r="N1245">
        <v>511</v>
      </c>
      <c r="O1245">
        <v>141</v>
      </c>
      <c r="P1245">
        <v>305</v>
      </c>
      <c r="Q1245">
        <v>517</v>
      </c>
      <c r="R1245">
        <v>212</v>
      </c>
      <c r="S1245">
        <v>173.4</v>
      </c>
      <c r="T1245">
        <v>385</v>
      </c>
      <c r="U1245">
        <v>377</v>
      </c>
      <c r="V1245">
        <v>500</v>
      </c>
      <c r="W1245">
        <v>2.79</v>
      </c>
    </row>
    <row r="1246" spans="1:23" x14ac:dyDescent="0.25">
      <c r="A1246" t="s">
        <v>38</v>
      </c>
      <c r="B1246">
        <v>14</v>
      </c>
      <c r="C1246">
        <v>8</v>
      </c>
      <c r="D1246">
        <v>1993</v>
      </c>
      <c r="E1246">
        <v>102.7</v>
      </c>
      <c r="F1246">
        <v>23.7</v>
      </c>
      <c r="G1246">
        <v>22.2</v>
      </c>
      <c r="H1246">
        <v>1.5</v>
      </c>
      <c r="I1246">
        <v>6</v>
      </c>
      <c r="J1246">
        <v>135.30000000000001</v>
      </c>
      <c r="K1246">
        <v>331.4</v>
      </c>
      <c r="L1246">
        <v>374</v>
      </c>
      <c r="M1246">
        <v>365</v>
      </c>
      <c r="N1246">
        <v>511</v>
      </c>
      <c r="O1246">
        <v>146</v>
      </c>
      <c r="P1246">
        <v>295</v>
      </c>
      <c r="Q1246">
        <v>524</v>
      </c>
      <c r="R1246">
        <v>229</v>
      </c>
      <c r="S1246">
        <v>173.4</v>
      </c>
      <c r="T1246">
        <v>385</v>
      </c>
      <c r="U1246">
        <v>377</v>
      </c>
      <c r="V1246">
        <v>500</v>
      </c>
      <c r="W1246">
        <v>2.79</v>
      </c>
    </row>
    <row r="1247" spans="1:23" x14ac:dyDescent="0.25">
      <c r="A1247" t="s">
        <v>38</v>
      </c>
      <c r="B1247">
        <v>14</v>
      </c>
      <c r="C1247">
        <v>9</v>
      </c>
      <c r="D1247">
        <v>1994</v>
      </c>
      <c r="E1247">
        <v>122.2</v>
      </c>
      <c r="F1247">
        <v>19.5</v>
      </c>
      <c r="G1247">
        <v>19.5</v>
      </c>
      <c r="H1247">
        <v>0</v>
      </c>
      <c r="I1247">
        <v>0</v>
      </c>
      <c r="J1247">
        <v>137.80000000000001</v>
      </c>
      <c r="K1247">
        <v>469.1</v>
      </c>
      <c r="L1247">
        <v>304</v>
      </c>
      <c r="M1247">
        <v>304</v>
      </c>
      <c r="P1247">
        <v>241</v>
      </c>
      <c r="Q1247">
        <v>440</v>
      </c>
      <c r="R1247">
        <v>199</v>
      </c>
      <c r="S1247">
        <v>173.4</v>
      </c>
      <c r="T1247">
        <v>385</v>
      </c>
      <c r="U1247">
        <v>377</v>
      </c>
      <c r="V1247">
        <v>500</v>
      </c>
      <c r="W1247">
        <v>2.79</v>
      </c>
    </row>
    <row r="1248" spans="1:23" x14ac:dyDescent="0.25">
      <c r="A1248" t="s">
        <v>38</v>
      </c>
      <c r="B1248">
        <v>14</v>
      </c>
      <c r="C1248">
        <v>10</v>
      </c>
      <c r="D1248">
        <v>1995</v>
      </c>
      <c r="E1248">
        <v>128.80000000000001</v>
      </c>
      <c r="F1248">
        <v>6.6</v>
      </c>
      <c r="G1248">
        <v>6.6</v>
      </c>
      <c r="H1248">
        <v>0</v>
      </c>
      <c r="I1248">
        <v>0</v>
      </c>
      <c r="J1248">
        <v>52</v>
      </c>
      <c r="K1248">
        <v>521.20000000000005</v>
      </c>
      <c r="L1248">
        <v>332</v>
      </c>
      <c r="M1248">
        <v>332</v>
      </c>
      <c r="P1248">
        <v>257</v>
      </c>
      <c r="Q1248">
        <v>432</v>
      </c>
      <c r="R1248">
        <v>175</v>
      </c>
      <c r="S1248">
        <v>173.4</v>
      </c>
      <c r="T1248">
        <v>385</v>
      </c>
      <c r="U1248">
        <v>377</v>
      </c>
      <c r="V1248">
        <v>500</v>
      </c>
      <c r="W1248">
        <v>2.79</v>
      </c>
    </row>
    <row r="1249" spans="1:23" x14ac:dyDescent="0.25">
      <c r="A1249" t="s">
        <v>38</v>
      </c>
      <c r="B1249">
        <v>14</v>
      </c>
      <c r="C1249">
        <v>11</v>
      </c>
      <c r="D1249">
        <v>1996</v>
      </c>
      <c r="E1249">
        <v>133</v>
      </c>
      <c r="F1249">
        <v>4.2</v>
      </c>
      <c r="G1249">
        <v>4.2</v>
      </c>
      <c r="H1249">
        <v>0</v>
      </c>
      <c r="I1249">
        <v>0</v>
      </c>
      <c r="J1249">
        <v>34.5</v>
      </c>
      <c r="K1249">
        <v>555.70000000000005</v>
      </c>
      <c r="L1249">
        <v>327</v>
      </c>
      <c r="M1249">
        <v>327</v>
      </c>
      <c r="P1249">
        <v>274</v>
      </c>
      <c r="Q1249">
        <v>448</v>
      </c>
      <c r="R1249">
        <v>174</v>
      </c>
      <c r="S1249">
        <v>173.4</v>
      </c>
      <c r="T1249">
        <v>385</v>
      </c>
      <c r="U1249">
        <v>377</v>
      </c>
      <c r="V1249">
        <v>500</v>
      </c>
      <c r="W1249">
        <v>2.79</v>
      </c>
    </row>
    <row r="1250" spans="1:23" x14ac:dyDescent="0.25">
      <c r="A1250" t="s">
        <v>38</v>
      </c>
      <c r="B1250">
        <v>14</v>
      </c>
      <c r="C1250">
        <v>12</v>
      </c>
      <c r="D1250">
        <v>1997</v>
      </c>
      <c r="E1250">
        <v>137.80000000000001</v>
      </c>
      <c r="F1250">
        <v>4.8</v>
      </c>
      <c r="G1250">
        <v>4.8</v>
      </c>
      <c r="H1250">
        <v>0</v>
      </c>
      <c r="I1250">
        <v>0</v>
      </c>
      <c r="J1250">
        <v>40.799999999999997</v>
      </c>
      <c r="K1250">
        <v>596.6</v>
      </c>
      <c r="L1250">
        <v>351</v>
      </c>
      <c r="M1250">
        <v>351</v>
      </c>
      <c r="P1250">
        <v>292</v>
      </c>
      <c r="Q1250">
        <v>496</v>
      </c>
      <c r="R1250">
        <v>204</v>
      </c>
      <c r="S1250">
        <v>173.4</v>
      </c>
      <c r="T1250">
        <v>385</v>
      </c>
      <c r="U1250">
        <v>377</v>
      </c>
      <c r="V1250">
        <v>500</v>
      </c>
      <c r="W1250">
        <v>2.79</v>
      </c>
    </row>
    <row r="1251" spans="1:23" x14ac:dyDescent="0.25">
      <c r="A1251" t="s">
        <v>38</v>
      </c>
      <c r="B1251">
        <v>14</v>
      </c>
      <c r="C1251">
        <v>13</v>
      </c>
      <c r="D1251">
        <v>1998</v>
      </c>
      <c r="E1251">
        <v>140.5</v>
      </c>
      <c r="F1251">
        <v>2.7</v>
      </c>
      <c r="G1251">
        <v>2.7</v>
      </c>
      <c r="H1251">
        <v>0</v>
      </c>
      <c r="I1251">
        <v>0</v>
      </c>
      <c r="J1251">
        <v>23.6</v>
      </c>
      <c r="K1251">
        <v>620.20000000000005</v>
      </c>
      <c r="L1251">
        <v>359</v>
      </c>
      <c r="M1251">
        <v>359</v>
      </c>
      <c r="P1251">
        <v>318</v>
      </c>
      <c r="Q1251">
        <v>439</v>
      </c>
      <c r="R1251">
        <v>121</v>
      </c>
      <c r="S1251">
        <v>173.4</v>
      </c>
      <c r="T1251">
        <v>385</v>
      </c>
      <c r="U1251">
        <v>377</v>
      </c>
      <c r="V1251">
        <v>500</v>
      </c>
      <c r="W1251">
        <v>2.79</v>
      </c>
    </row>
    <row r="1252" spans="1:23" x14ac:dyDescent="0.25">
      <c r="A1252" t="s">
        <v>38</v>
      </c>
      <c r="B1252">
        <v>14</v>
      </c>
      <c r="C1252">
        <v>14</v>
      </c>
      <c r="D1252">
        <v>1999</v>
      </c>
      <c r="E1252">
        <v>142.9</v>
      </c>
      <c r="F1252">
        <v>2.4</v>
      </c>
      <c r="G1252">
        <v>2.1</v>
      </c>
      <c r="H1252">
        <v>0.3</v>
      </c>
      <c r="I1252">
        <v>12</v>
      </c>
      <c r="J1252">
        <v>21.4</v>
      </c>
      <c r="K1252">
        <v>641.5</v>
      </c>
      <c r="L1252">
        <v>429</v>
      </c>
      <c r="M1252">
        <v>419</v>
      </c>
      <c r="N1252">
        <v>503</v>
      </c>
      <c r="O1252">
        <v>84</v>
      </c>
      <c r="P1252">
        <v>316</v>
      </c>
      <c r="Q1252">
        <v>503</v>
      </c>
      <c r="R1252">
        <v>187</v>
      </c>
      <c r="S1252">
        <v>173.4</v>
      </c>
      <c r="T1252">
        <v>385</v>
      </c>
      <c r="U1252">
        <v>377</v>
      </c>
      <c r="V1252">
        <v>500</v>
      </c>
      <c r="W1252">
        <v>2.79</v>
      </c>
    </row>
    <row r="1253" spans="1:23" x14ac:dyDescent="0.25">
      <c r="A1253" t="s">
        <v>38</v>
      </c>
      <c r="B1253">
        <v>14</v>
      </c>
      <c r="C1253">
        <v>15</v>
      </c>
      <c r="D1253">
        <v>2000</v>
      </c>
      <c r="E1253">
        <v>145.30000000000001</v>
      </c>
      <c r="F1253">
        <v>2.4</v>
      </c>
      <c r="G1253">
        <v>2.1</v>
      </c>
      <c r="H1253">
        <v>0.3</v>
      </c>
      <c r="I1253">
        <v>12</v>
      </c>
      <c r="J1253">
        <v>21.7</v>
      </c>
      <c r="K1253">
        <v>663.3</v>
      </c>
      <c r="L1253">
        <v>416</v>
      </c>
      <c r="M1253">
        <v>400</v>
      </c>
      <c r="N1253">
        <v>525</v>
      </c>
      <c r="O1253">
        <v>125</v>
      </c>
      <c r="P1253">
        <v>336</v>
      </c>
      <c r="Q1253">
        <v>525</v>
      </c>
      <c r="R1253">
        <v>189</v>
      </c>
      <c r="S1253">
        <v>173.4</v>
      </c>
      <c r="T1253">
        <v>385</v>
      </c>
      <c r="U1253">
        <v>377</v>
      </c>
      <c r="V1253">
        <v>500</v>
      </c>
      <c r="W1253">
        <v>2.79</v>
      </c>
    </row>
    <row r="1254" spans="1:23" x14ac:dyDescent="0.25">
      <c r="A1254" t="s">
        <v>38</v>
      </c>
      <c r="B1254">
        <v>14</v>
      </c>
      <c r="C1254">
        <v>16</v>
      </c>
      <c r="D1254">
        <v>2001</v>
      </c>
      <c r="E1254">
        <v>147.69999999999999</v>
      </c>
      <c r="F1254">
        <v>2.4</v>
      </c>
      <c r="G1254">
        <v>1.8</v>
      </c>
      <c r="H1254">
        <v>0.6</v>
      </c>
      <c r="I1254">
        <v>24</v>
      </c>
      <c r="J1254">
        <v>22.1</v>
      </c>
      <c r="K1254">
        <v>685.3</v>
      </c>
      <c r="L1254">
        <v>431</v>
      </c>
      <c r="M1254">
        <v>393</v>
      </c>
      <c r="N1254">
        <v>544</v>
      </c>
      <c r="O1254">
        <v>151</v>
      </c>
      <c r="P1254">
        <v>337</v>
      </c>
      <c r="Q1254">
        <v>579</v>
      </c>
      <c r="R1254">
        <v>242</v>
      </c>
      <c r="S1254">
        <v>173.4</v>
      </c>
      <c r="T1254">
        <v>385</v>
      </c>
      <c r="U1254">
        <v>377</v>
      </c>
      <c r="V1254">
        <v>500</v>
      </c>
      <c r="W1254">
        <v>2.79</v>
      </c>
    </row>
    <row r="1255" spans="1:23" x14ac:dyDescent="0.25">
      <c r="A1255" t="s">
        <v>38</v>
      </c>
      <c r="B1255">
        <v>14</v>
      </c>
      <c r="C1255">
        <v>17</v>
      </c>
      <c r="D1255">
        <v>2002</v>
      </c>
      <c r="E1255">
        <v>151.6</v>
      </c>
      <c r="F1255">
        <v>3.9</v>
      </c>
      <c r="G1255">
        <v>3.3</v>
      </c>
      <c r="H1255">
        <v>0.6</v>
      </c>
      <c r="I1255">
        <v>15</v>
      </c>
      <c r="J1255">
        <v>36.700000000000003</v>
      </c>
      <c r="K1255">
        <v>722</v>
      </c>
      <c r="L1255">
        <v>421</v>
      </c>
      <c r="M1255">
        <v>397</v>
      </c>
      <c r="N1255">
        <v>556</v>
      </c>
      <c r="O1255">
        <v>159</v>
      </c>
      <c r="P1255">
        <v>331</v>
      </c>
      <c r="Q1255">
        <v>580</v>
      </c>
      <c r="R1255">
        <v>249</v>
      </c>
      <c r="S1255">
        <v>173.4</v>
      </c>
      <c r="T1255">
        <v>385</v>
      </c>
      <c r="U1255">
        <v>377</v>
      </c>
      <c r="V1255">
        <v>500</v>
      </c>
      <c r="W1255">
        <v>2.79</v>
      </c>
    </row>
    <row r="1256" spans="1:23" x14ac:dyDescent="0.25">
      <c r="A1256" t="s">
        <v>38</v>
      </c>
      <c r="B1256">
        <v>14</v>
      </c>
      <c r="C1256">
        <v>18</v>
      </c>
      <c r="D1256">
        <v>2003</v>
      </c>
      <c r="E1256">
        <v>158.80000000000001</v>
      </c>
      <c r="F1256">
        <v>7.2</v>
      </c>
      <c r="G1256">
        <v>6.6</v>
      </c>
      <c r="H1256">
        <v>0.6</v>
      </c>
      <c r="I1256">
        <v>8</v>
      </c>
      <c r="J1256">
        <v>70.2</v>
      </c>
      <c r="K1256">
        <v>792.2</v>
      </c>
      <c r="L1256">
        <v>397</v>
      </c>
      <c r="M1256">
        <v>383</v>
      </c>
      <c r="N1256">
        <v>550</v>
      </c>
      <c r="O1256">
        <v>167</v>
      </c>
      <c r="P1256">
        <v>331</v>
      </c>
      <c r="Q1256">
        <v>565</v>
      </c>
      <c r="R1256">
        <v>234</v>
      </c>
      <c r="S1256">
        <v>173.4</v>
      </c>
      <c r="T1256">
        <v>385</v>
      </c>
      <c r="U1256">
        <v>377</v>
      </c>
      <c r="V1256">
        <v>500</v>
      </c>
      <c r="W1256">
        <v>2.79</v>
      </c>
    </row>
    <row r="1257" spans="1:23" x14ac:dyDescent="0.25">
      <c r="A1257" t="s">
        <v>38</v>
      </c>
      <c r="B1257">
        <v>14</v>
      </c>
      <c r="C1257">
        <v>19</v>
      </c>
      <c r="D1257">
        <v>2004</v>
      </c>
      <c r="E1257">
        <v>164.2</v>
      </c>
      <c r="F1257">
        <v>5.4</v>
      </c>
      <c r="G1257">
        <v>4.5</v>
      </c>
      <c r="H1257">
        <v>0.9</v>
      </c>
      <c r="I1257">
        <v>16</v>
      </c>
      <c r="J1257">
        <v>54.8</v>
      </c>
      <c r="K1257">
        <v>847</v>
      </c>
      <c r="L1257">
        <v>399</v>
      </c>
      <c r="M1257">
        <v>368</v>
      </c>
      <c r="N1257">
        <v>555</v>
      </c>
      <c r="O1257">
        <v>187</v>
      </c>
      <c r="P1257">
        <v>321</v>
      </c>
      <c r="Q1257">
        <v>566</v>
      </c>
      <c r="R1257">
        <v>245</v>
      </c>
      <c r="S1257">
        <v>173.4</v>
      </c>
      <c r="T1257">
        <v>385</v>
      </c>
      <c r="U1257">
        <v>377</v>
      </c>
      <c r="V1257">
        <v>500</v>
      </c>
      <c r="W1257">
        <v>2.79</v>
      </c>
    </row>
    <row r="1258" spans="1:23" x14ac:dyDescent="0.25">
      <c r="A1258" t="s">
        <v>38</v>
      </c>
      <c r="B1258">
        <v>14</v>
      </c>
      <c r="C1258">
        <v>20</v>
      </c>
      <c r="D1258">
        <v>2005</v>
      </c>
      <c r="E1258">
        <v>168.4</v>
      </c>
      <c r="F1258">
        <v>4.2</v>
      </c>
      <c r="G1258">
        <v>3.9</v>
      </c>
      <c r="H1258">
        <v>0.3</v>
      </c>
      <c r="I1258">
        <v>7</v>
      </c>
      <c r="J1258">
        <v>43.9</v>
      </c>
      <c r="K1258">
        <v>890.9</v>
      </c>
      <c r="L1258">
        <v>394</v>
      </c>
      <c r="M1258">
        <v>379</v>
      </c>
      <c r="N1258">
        <v>580</v>
      </c>
      <c r="O1258">
        <v>201</v>
      </c>
      <c r="P1258">
        <v>324</v>
      </c>
      <c r="Q1258">
        <v>580</v>
      </c>
      <c r="R1258">
        <v>256</v>
      </c>
      <c r="S1258">
        <v>173.4</v>
      </c>
      <c r="T1258">
        <v>385</v>
      </c>
      <c r="U1258">
        <v>377</v>
      </c>
      <c r="V1258">
        <v>500</v>
      </c>
      <c r="W1258">
        <v>2.79</v>
      </c>
    </row>
    <row r="1259" spans="1:23" x14ac:dyDescent="0.25">
      <c r="A1259" t="s">
        <v>38</v>
      </c>
      <c r="B1259">
        <v>14</v>
      </c>
      <c r="C1259">
        <v>21</v>
      </c>
      <c r="D1259">
        <v>2006</v>
      </c>
      <c r="E1259">
        <v>173.5</v>
      </c>
      <c r="F1259">
        <v>5.0999999999999996</v>
      </c>
      <c r="G1259">
        <v>4.5</v>
      </c>
      <c r="H1259">
        <v>0.6</v>
      </c>
      <c r="I1259">
        <v>11</v>
      </c>
      <c r="J1259">
        <v>54.8</v>
      </c>
      <c r="K1259">
        <v>945.7</v>
      </c>
      <c r="L1259">
        <v>404</v>
      </c>
      <c r="M1259">
        <v>387</v>
      </c>
      <c r="N1259">
        <v>534</v>
      </c>
      <c r="O1259">
        <v>147</v>
      </c>
      <c r="P1259">
        <v>329</v>
      </c>
      <c r="Q1259">
        <v>557</v>
      </c>
      <c r="R1259">
        <v>228</v>
      </c>
      <c r="S1259">
        <v>173.4</v>
      </c>
      <c r="T1259">
        <v>385</v>
      </c>
      <c r="U1259">
        <v>377</v>
      </c>
      <c r="V1259">
        <v>500</v>
      </c>
      <c r="W1259">
        <v>2.79</v>
      </c>
    </row>
    <row r="1260" spans="1:23" x14ac:dyDescent="0.25">
      <c r="A1260" t="s">
        <v>38</v>
      </c>
      <c r="B1260">
        <v>14</v>
      </c>
      <c r="C1260">
        <v>22</v>
      </c>
      <c r="D1260">
        <v>2007</v>
      </c>
      <c r="E1260">
        <v>177.7</v>
      </c>
      <c r="F1260">
        <v>4.2</v>
      </c>
      <c r="G1260">
        <v>3.6</v>
      </c>
      <c r="H1260">
        <v>0.6</v>
      </c>
      <c r="I1260">
        <v>14</v>
      </c>
      <c r="J1260">
        <v>46.3</v>
      </c>
      <c r="K1260">
        <v>992</v>
      </c>
      <c r="L1260">
        <v>413</v>
      </c>
      <c r="M1260">
        <v>388</v>
      </c>
      <c r="N1260">
        <v>559</v>
      </c>
      <c r="O1260">
        <v>171</v>
      </c>
      <c r="P1260">
        <v>330</v>
      </c>
      <c r="Q1260">
        <v>587</v>
      </c>
      <c r="R1260">
        <v>257</v>
      </c>
      <c r="S1260">
        <v>173.4</v>
      </c>
      <c r="T1260">
        <v>385</v>
      </c>
      <c r="U1260">
        <v>377</v>
      </c>
      <c r="V1260">
        <v>500</v>
      </c>
      <c r="W1260">
        <v>2.79</v>
      </c>
    </row>
    <row r="1261" spans="1:23" x14ac:dyDescent="0.25">
      <c r="A1261" t="s">
        <v>38</v>
      </c>
      <c r="B1261">
        <v>14</v>
      </c>
      <c r="C1261">
        <v>23</v>
      </c>
      <c r="D1261">
        <v>2008</v>
      </c>
      <c r="E1261">
        <v>182.5</v>
      </c>
      <c r="F1261">
        <v>4.8</v>
      </c>
      <c r="G1261">
        <v>4.2</v>
      </c>
      <c r="H1261">
        <v>0.6</v>
      </c>
      <c r="I1261">
        <v>12</v>
      </c>
      <c r="J1261">
        <v>54.3</v>
      </c>
      <c r="K1261">
        <v>1046.3</v>
      </c>
      <c r="L1261">
        <v>402</v>
      </c>
      <c r="M1261">
        <v>382</v>
      </c>
      <c r="N1261">
        <v>544</v>
      </c>
      <c r="O1261">
        <v>162</v>
      </c>
      <c r="P1261">
        <v>331</v>
      </c>
      <c r="Q1261">
        <v>551</v>
      </c>
      <c r="R1261">
        <v>220</v>
      </c>
      <c r="S1261">
        <v>173.4</v>
      </c>
      <c r="T1261">
        <v>385</v>
      </c>
      <c r="U1261">
        <v>377</v>
      </c>
      <c r="V1261">
        <v>500</v>
      </c>
      <c r="W1261">
        <v>2.79</v>
      </c>
    </row>
    <row r="1262" spans="1:23" x14ac:dyDescent="0.25">
      <c r="A1262" t="s">
        <v>38</v>
      </c>
      <c r="B1262">
        <v>14</v>
      </c>
      <c r="C1262">
        <v>24</v>
      </c>
      <c r="D1262">
        <v>2009</v>
      </c>
      <c r="E1262">
        <v>187</v>
      </c>
      <c r="F1262">
        <v>4.5</v>
      </c>
      <c r="G1262">
        <v>3.6</v>
      </c>
      <c r="H1262">
        <v>0.9</v>
      </c>
      <c r="I1262">
        <v>20</v>
      </c>
      <c r="J1262">
        <v>52.2</v>
      </c>
      <c r="K1262">
        <v>1098.5999999999999</v>
      </c>
      <c r="L1262">
        <v>404</v>
      </c>
      <c r="M1262">
        <v>368</v>
      </c>
      <c r="N1262">
        <v>547</v>
      </c>
      <c r="O1262">
        <v>179</v>
      </c>
      <c r="P1262">
        <v>314</v>
      </c>
      <c r="Q1262">
        <v>582</v>
      </c>
      <c r="R1262">
        <v>268</v>
      </c>
      <c r="S1262">
        <v>173.4</v>
      </c>
      <c r="T1262">
        <v>385</v>
      </c>
      <c r="U1262">
        <v>377</v>
      </c>
      <c r="V1262">
        <v>500</v>
      </c>
      <c r="W1262">
        <v>2.79</v>
      </c>
    </row>
    <row r="1263" spans="1:23" x14ac:dyDescent="0.25">
      <c r="A1263" t="s">
        <v>38</v>
      </c>
      <c r="B1263">
        <v>14</v>
      </c>
      <c r="C1263">
        <v>25</v>
      </c>
      <c r="D1263">
        <v>2010</v>
      </c>
      <c r="E1263">
        <v>190.9</v>
      </c>
      <c r="F1263">
        <v>3.9</v>
      </c>
      <c r="G1263">
        <v>3.6</v>
      </c>
      <c r="H1263">
        <v>0.3</v>
      </c>
      <c r="I1263">
        <v>7</v>
      </c>
      <c r="J1263">
        <v>46.3</v>
      </c>
      <c r="K1263">
        <v>1144.9000000000001</v>
      </c>
      <c r="L1263">
        <v>398</v>
      </c>
      <c r="M1263">
        <v>381</v>
      </c>
      <c r="N1263">
        <v>594</v>
      </c>
      <c r="O1263">
        <v>213</v>
      </c>
      <c r="P1263">
        <v>324</v>
      </c>
      <c r="Q1263">
        <v>594</v>
      </c>
      <c r="R1263">
        <v>270</v>
      </c>
      <c r="S1263">
        <v>173.4</v>
      </c>
      <c r="T1263">
        <v>385</v>
      </c>
      <c r="U1263">
        <v>377</v>
      </c>
      <c r="V1263">
        <v>500</v>
      </c>
      <c r="W1263">
        <v>2.79</v>
      </c>
    </row>
    <row r="1264" spans="1:23" x14ac:dyDescent="0.25">
      <c r="A1264" t="s">
        <v>38</v>
      </c>
      <c r="B1264">
        <v>14</v>
      </c>
      <c r="C1264">
        <v>26</v>
      </c>
      <c r="D1264">
        <v>2011</v>
      </c>
      <c r="E1264">
        <v>195.1</v>
      </c>
      <c r="F1264">
        <v>4.2</v>
      </c>
      <c r="G1264">
        <v>3.9</v>
      </c>
      <c r="H1264">
        <v>0.3</v>
      </c>
      <c r="I1264">
        <v>7</v>
      </c>
      <c r="J1264">
        <v>50.9</v>
      </c>
      <c r="K1264">
        <v>1195.8</v>
      </c>
      <c r="L1264">
        <v>400</v>
      </c>
      <c r="M1264">
        <v>388</v>
      </c>
      <c r="N1264">
        <v>552</v>
      </c>
      <c r="O1264">
        <v>164</v>
      </c>
      <c r="P1264">
        <v>347</v>
      </c>
      <c r="Q1264">
        <v>552</v>
      </c>
      <c r="R1264">
        <v>205</v>
      </c>
      <c r="S1264">
        <v>173.4</v>
      </c>
      <c r="T1264">
        <v>385</v>
      </c>
      <c r="U1264">
        <v>377</v>
      </c>
      <c r="V1264">
        <v>500</v>
      </c>
      <c r="W1264">
        <v>2.79</v>
      </c>
    </row>
    <row r="1265" spans="1:23" x14ac:dyDescent="0.25">
      <c r="A1265" t="s">
        <v>38</v>
      </c>
      <c r="B1265">
        <v>14</v>
      </c>
      <c r="C1265">
        <v>27</v>
      </c>
      <c r="D1265">
        <v>2012</v>
      </c>
      <c r="E1265">
        <v>198.4</v>
      </c>
      <c r="F1265">
        <v>3.3</v>
      </c>
      <c r="G1265">
        <v>3</v>
      </c>
      <c r="H1265">
        <v>0.3</v>
      </c>
      <c r="I1265">
        <v>9</v>
      </c>
      <c r="J1265">
        <v>40.799999999999997</v>
      </c>
      <c r="K1265">
        <v>1236.5999999999999</v>
      </c>
      <c r="L1265">
        <v>408</v>
      </c>
      <c r="M1265">
        <v>395</v>
      </c>
      <c r="N1265">
        <v>543</v>
      </c>
      <c r="O1265">
        <v>148</v>
      </c>
      <c r="P1265">
        <v>350</v>
      </c>
      <c r="Q1265">
        <v>543</v>
      </c>
      <c r="R1265">
        <v>193</v>
      </c>
      <c r="S1265">
        <v>173.4</v>
      </c>
      <c r="T1265">
        <v>385</v>
      </c>
      <c r="U1265">
        <v>377</v>
      </c>
      <c r="V1265">
        <v>500</v>
      </c>
      <c r="W1265">
        <v>2.79</v>
      </c>
    </row>
    <row r="1266" spans="1:23" x14ac:dyDescent="0.25">
      <c r="A1266" t="s">
        <v>39</v>
      </c>
      <c r="B1266">
        <v>1</v>
      </c>
      <c r="C1266">
        <v>2</v>
      </c>
      <c r="D1266">
        <v>1987</v>
      </c>
      <c r="E1266">
        <v>36.9</v>
      </c>
      <c r="F1266">
        <v>36.9</v>
      </c>
      <c r="G1266">
        <v>16.2</v>
      </c>
      <c r="H1266">
        <v>5.7</v>
      </c>
      <c r="I1266">
        <v>15</v>
      </c>
      <c r="J1266">
        <v>42.8</v>
      </c>
      <c r="K1266">
        <v>42.8</v>
      </c>
      <c r="L1266">
        <v>430</v>
      </c>
      <c r="M1266">
        <v>395</v>
      </c>
      <c r="N1266">
        <v>528</v>
      </c>
      <c r="O1266">
        <v>133</v>
      </c>
      <c r="P1266">
        <v>143</v>
      </c>
      <c r="Q1266">
        <v>569</v>
      </c>
      <c r="R1266">
        <v>426</v>
      </c>
      <c r="S1266">
        <v>215.7</v>
      </c>
      <c r="T1266">
        <v>428</v>
      </c>
      <c r="U1266">
        <v>418</v>
      </c>
      <c r="V1266">
        <v>500</v>
      </c>
      <c r="W1266">
        <v>2.79</v>
      </c>
    </row>
    <row r="1267" spans="1:23" x14ac:dyDescent="0.25">
      <c r="A1267" t="s">
        <v>39</v>
      </c>
      <c r="B1267">
        <v>1</v>
      </c>
      <c r="C1267">
        <v>3</v>
      </c>
      <c r="D1267">
        <v>1988</v>
      </c>
      <c r="E1267">
        <v>50.7</v>
      </c>
      <c r="F1267">
        <v>13.8</v>
      </c>
      <c r="G1267">
        <v>11.1</v>
      </c>
      <c r="H1267">
        <v>2.7</v>
      </c>
      <c r="I1267">
        <v>19</v>
      </c>
      <c r="J1267">
        <v>38</v>
      </c>
      <c r="K1267">
        <v>80.8</v>
      </c>
      <c r="L1267">
        <v>428</v>
      </c>
      <c r="M1267">
        <v>397</v>
      </c>
      <c r="N1267">
        <v>556</v>
      </c>
      <c r="O1267">
        <v>159</v>
      </c>
      <c r="P1267">
        <v>344</v>
      </c>
      <c r="Q1267">
        <v>616</v>
      </c>
      <c r="R1267">
        <v>272</v>
      </c>
      <c r="S1267">
        <v>215.7</v>
      </c>
      <c r="T1267">
        <v>428</v>
      </c>
      <c r="U1267">
        <v>418</v>
      </c>
      <c r="V1267">
        <v>500</v>
      </c>
      <c r="W1267">
        <v>2.79</v>
      </c>
    </row>
    <row r="1268" spans="1:23" x14ac:dyDescent="0.25">
      <c r="A1268" t="s">
        <v>39</v>
      </c>
      <c r="B1268">
        <v>1</v>
      </c>
      <c r="C1268">
        <v>4</v>
      </c>
      <c r="D1268">
        <v>1989</v>
      </c>
      <c r="E1268">
        <v>67.2</v>
      </c>
      <c r="F1268">
        <v>16.5</v>
      </c>
      <c r="G1268">
        <v>15</v>
      </c>
      <c r="H1268">
        <v>1.5</v>
      </c>
      <c r="I1268">
        <v>9</v>
      </c>
      <c r="J1268">
        <v>61.1</v>
      </c>
      <c r="K1268">
        <v>141.9</v>
      </c>
      <c r="L1268">
        <v>402</v>
      </c>
      <c r="M1268">
        <v>389</v>
      </c>
      <c r="N1268">
        <v>535</v>
      </c>
      <c r="O1268">
        <v>146</v>
      </c>
      <c r="P1268">
        <v>334</v>
      </c>
      <c r="Q1268">
        <v>572</v>
      </c>
      <c r="R1268">
        <v>238</v>
      </c>
      <c r="S1268">
        <v>215.7</v>
      </c>
      <c r="T1268">
        <v>428</v>
      </c>
      <c r="U1268">
        <v>418</v>
      </c>
      <c r="V1268">
        <v>500</v>
      </c>
      <c r="W1268">
        <v>2.79</v>
      </c>
    </row>
    <row r="1269" spans="1:23" x14ac:dyDescent="0.25">
      <c r="A1269" t="s">
        <v>39</v>
      </c>
      <c r="B1269">
        <v>1</v>
      </c>
      <c r="C1269">
        <v>5</v>
      </c>
      <c r="D1269">
        <v>1990</v>
      </c>
      <c r="E1269">
        <v>82.8</v>
      </c>
      <c r="F1269">
        <v>15.6</v>
      </c>
      <c r="G1269">
        <v>14.1</v>
      </c>
      <c r="H1269">
        <v>1.5</v>
      </c>
      <c r="I1269">
        <v>9</v>
      </c>
      <c r="J1269">
        <v>73.5</v>
      </c>
      <c r="K1269">
        <v>215.4</v>
      </c>
      <c r="L1269">
        <v>404</v>
      </c>
      <c r="M1269">
        <v>387</v>
      </c>
      <c r="N1269">
        <v>562</v>
      </c>
      <c r="O1269">
        <v>175</v>
      </c>
      <c r="P1269">
        <v>319</v>
      </c>
      <c r="Q1269">
        <v>588</v>
      </c>
      <c r="R1269">
        <v>269</v>
      </c>
      <c r="S1269">
        <v>215.7</v>
      </c>
      <c r="T1269">
        <v>428</v>
      </c>
      <c r="U1269">
        <v>418</v>
      </c>
      <c r="V1269">
        <v>500</v>
      </c>
      <c r="W1269">
        <v>2.79</v>
      </c>
    </row>
    <row r="1270" spans="1:23" x14ac:dyDescent="0.25">
      <c r="A1270" t="s">
        <v>39</v>
      </c>
      <c r="B1270">
        <v>1</v>
      </c>
      <c r="C1270">
        <v>6</v>
      </c>
      <c r="D1270">
        <v>1991</v>
      </c>
      <c r="E1270">
        <v>101.4</v>
      </c>
      <c r="F1270">
        <v>18.600000000000001</v>
      </c>
      <c r="G1270">
        <v>16.2</v>
      </c>
      <c r="H1270">
        <v>2.4</v>
      </c>
      <c r="I1270">
        <v>12</v>
      </c>
      <c r="J1270">
        <v>107.6</v>
      </c>
      <c r="K1270">
        <v>323</v>
      </c>
      <c r="L1270">
        <v>431</v>
      </c>
      <c r="M1270">
        <v>412</v>
      </c>
      <c r="N1270">
        <v>561</v>
      </c>
      <c r="O1270">
        <v>149</v>
      </c>
      <c r="P1270">
        <v>366</v>
      </c>
      <c r="Q1270">
        <v>588</v>
      </c>
      <c r="R1270">
        <v>222</v>
      </c>
      <c r="S1270">
        <v>215.7</v>
      </c>
      <c r="T1270">
        <v>428</v>
      </c>
      <c r="U1270">
        <v>418</v>
      </c>
      <c r="V1270">
        <v>500</v>
      </c>
      <c r="W1270">
        <v>2.79</v>
      </c>
    </row>
    <row r="1271" spans="1:23" x14ac:dyDescent="0.25">
      <c r="A1271" t="s">
        <v>39</v>
      </c>
      <c r="B1271">
        <v>1</v>
      </c>
      <c r="C1271">
        <v>7</v>
      </c>
      <c r="D1271">
        <v>1992</v>
      </c>
      <c r="E1271">
        <v>115.5</v>
      </c>
      <c r="F1271">
        <v>14.1</v>
      </c>
      <c r="G1271">
        <v>12</v>
      </c>
      <c r="H1271">
        <v>2.1</v>
      </c>
      <c r="I1271">
        <v>14</v>
      </c>
      <c r="J1271">
        <v>96.1</v>
      </c>
      <c r="K1271">
        <v>419.1</v>
      </c>
      <c r="L1271">
        <v>441</v>
      </c>
      <c r="M1271">
        <v>424</v>
      </c>
      <c r="N1271">
        <v>538</v>
      </c>
      <c r="O1271">
        <v>114</v>
      </c>
      <c r="P1271">
        <v>347</v>
      </c>
      <c r="Q1271">
        <v>559</v>
      </c>
      <c r="R1271">
        <v>212</v>
      </c>
      <c r="S1271">
        <v>215.7</v>
      </c>
      <c r="T1271">
        <v>428</v>
      </c>
      <c r="U1271">
        <v>418</v>
      </c>
      <c r="V1271">
        <v>500</v>
      </c>
      <c r="W1271">
        <v>2.79</v>
      </c>
    </row>
    <row r="1272" spans="1:23" x14ac:dyDescent="0.25">
      <c r="A1272" t="s">
        <v>39</v>
      </c>
      <c r="B1272">
        <v>1</v>
      </c>
      <c r="C1272">
        <v>8</v>
      </c>
      <c r="D1272">
        <v>1993</v>
      </c>
      <c r="E1272">
        <v>134.69999999999999</v>
      </c>
      <c r="F1272">
        <v>19.2</v>
      </c>
      <c r="G1272">
        <v>16.8</v>
      </c>
      <c r="H1272">
        <v>2.4</v>
      </c>
      <c r="I1272">
        <v>12</v>
      </c>
      <c r="J1272">
        <v>150.9</v>
      </c>
      <c r="K1272">
        <v>570</v>
      </c>
      <c r="L1272">
        <v>423</v>
      </c>
      <c r="M1272">
        <v>408</v>
      </c>
      <c r="N1272">
        <v>526</v>
      </c>
      <c r="O1272">
        <v>118</v>
      </c>
      <c r="P1272">
        <v>346</v>
      </c>
      <c r="Q1272">
        <v>544</v>
      </c>
      <c r="R1272">
        <v>198</v>
      </c>
      <c r="S1272">
        <v>215.7</v>
      </c>
      <c r="T1272">
        <v>428</v>
      </c>
      <c r="U1272">
        <v>418</v>
      </c>
      <c r="V1272">
        <v>500</v>
      </c>
      <c r="W1272">
        <v>2.79</v>
      </c>
    </row>
    <row r="1273" spans="1:23" x14ac:dyDescent="0.25">
      <c r="A1273" t="s">
        <v>39</v>
      </c>
      <c r="B1273">
        <v>1</v>
      </c>
      <c r="C1273">
        <v>9</v>
      </c>
      <c r="D1273">
        <v>1994</v>
      </c>
      <c r="E1273">
        <v>151.19999999999999</v>
      </c>
      <c r="F1273">
        <v>16.5</v>
      </c>
      <c r="G1273">
        <v>14.1</v>
      </c>
      <c r="H1273">
        <v>2.4</v>
      </c>
      <c r="I1273">
        <v>14</v>
      </c>
      <c r="J1273">
        <v>148.19999999999999</v>
      </c>
      <c r="K1273">
        <v>718.2</v>
      </c>
      <c r="L1273">
        <v>429</v>
      </c>
      <c r="M1273">
        <v>411</v>
      </c>
      <c r="N1273">
        <v>531</v>
      </c>
      <c r="O1273">
        <v>120</v>
      </c>
      <c r="P1273">
        <v>344</v>
      </c>
      <c r="Q1273">
        <v>577</v>
      </c>
      <c r="R1273">
        <v>233</v>
      </c>
      <c r="S1273">
        <v>215.7</v>
      </c>
      <c r="T1273">
        <v>428</v>
      </c>
      <c r="U1273">
        <v>418</v>
      </c>
      <c r="V1273">
        <v>500</v>
      </c>
      <c r="W1273">
        <v>2.79</v>
      </c>
    </row>
    <row r="1274" spans="1:23" x14ac:dyDescent="0.25">
      <c r="A1274" t="s">
        <v>39</v>
      </c>
      <c r="B1274">
        <v>1</v>
      </c>
      <c r="C1274">
        <v>10</v>
      </c>
      <c r="D1274">
        <v>1995</v>
      </c>
      <c r="E1274">
        <v>169.8</v>
      </c>
      <c r="F1274">
        <v>18.600000000000001</v>
      </c>
      <c r="G1274">
        <v>17.7</v>
      </c>
      <c r="H1274">
        <v>0.9</v>
      </c>
      <c r="I1274">
        <v>4</v>
      </c>
      <c r="J1274">
        <v>187.6</v>
      </c>
      <c r="K1274">
        <v>905.8</v>
      </c>
      <c r="L1274">
        <v>393</v>
      </c>
      <c r="M1274">
        <v>387</v>
      </c>
      <c r="N1274">
        <v>527</v>
      </c>
      <c r="O1274">
        <v>140</v>
      </c>
      <c r="P1274">
        <v>339</v>
      </c>
      <c r="Q1274">
        <v>551</v>
      </c>
      <c r="R1274">
        <v>212</v>
      </c>
      <c r="S1274">
        <v>215.7</v>
      </c>
      <c r="T1274">
        <v>428</v>
      </c>
      <c r="U1274">
        <v>418</v>
      </c>
      <c r="V1274">
        <v>500</v>
      </c>
      <c r="W1274">
        <v>2.79</v>
      </c>
    </row>
    <row r="1275" spans="1:23" x14ac:dyDescent="0.25">
      <c r="A1275" t="s">
        <v>39</v>
      </c>
      <c r="B1275">
        <v>1</v>
      </c>
      <c r="C1275">
        <v>11</v>
      </c>
      <c r="D1275">
        <v>1996</v>
      </c>
      <c r="E1275">
        <v>181.8</v>
      </c>
      <c r="F1275">
        <v>12</v>
      </c>
      <c r="G1275">
        <v>10.5</v>
      </c>
      <c r="H1275">
        <v>1.5</v>
      </c>
      <c r="I1275">
        <v>12</v>
      </c>
      <c r="J1275">
        <v>132.6</v>
      </c>
      <c r="K1275">
        <v>1038.3</v>
      </c>
      <c r="L1275">
        <v>406</v>
      </c>
      <c r="M1275">
        <v>389</v>
      </c>
      <c r="N1275">
        <v>525</v>
      </c>
      <c r="O1275">
        <v>136</v>
      </c>
      <c r="P1275">
        <v>341</v>
      </c>
      <c r="Q1275">
        <v>549</v>
      </c>
      <c r="R1275">
        <v>208</v>
      </c>
      <c r="S1275">
        <v>215.7</v>
      </c>
      <c r="T1275">
        <v>428</v>
      </c>
      <c r="U1275">
        <v>418</v>
      </c>
      <c r="V1275">
        <v>500</v>
      </c>
      <c r="W1275">
        <v>2.79</v>
      </c>
    </row>
    <row r="1276" spans="1:23" x14ac:dyDescent="0.25">
      <c r="A1276" t="s">
        <v>39</v>
      </c>
      <c r="B1276">
        <v>1</v>
      </c>
      <c r="C1276">
        <v>12</v>
      </c>
      <c r="D1276">
        <v>1997</v>
      </c>
      <c r="E1276">
        <v>193.2</v>
      </c>
      <c r="F1276">
        <v>11.4</v>
      </c>
      <c r="G1276">
        <v>10.5</v>
      </c>
      <c r="H1276">
        <v>0.9</v>
      </c>
      <c r="I1276">
        <v>7</v>
      </c>
      <c r="J1276">
        <v>134.30000000000001</v>
      </c>
      <c r="K1276">
        <v>1172.5999999999999</v>
      </c>
      <c r="L1276">
        <v>390</v>
      </c>
      <c r="M1276">
        <v>379</v>
      </c>
      <c r="N1276">
        <v>529</v>
      </c>
      <c r="O1276">
        <v>150</v>
      </c>
      <c r="P1276">
        <v>337</v>
      </c>
      <c r="Q1276">
        <v>541</v>
      </c>
      <c r="R1276">
        <v>204</v>
      </c>
      <c r="S1276">
        <v>215.7</v>
      </c>
      <c r="T1276">
        <v>428</v>
      </c>
      <c r="U1276">
        <v>418</v>
      </c>
      <c r="V1276">
        <v>500</v>
      </c>
      <c r="W1276">
        <v>2.79</v>
      </c>
    </row>
    <row r="1277" spans="1:23" x14ac:dyDescent="0.25">
      <c r="A1277" t="s">
        <v>39</v>
      </c>
      <c r="B1277">
        <v>1</v>
      </c>
      <c r="C1277">
        <v>13</v>
      </c>
      <c r="D1277">
        <v>1998</v>
      </c>
      <c r="E1277">
        <v>200.7</v>
      </c>
      <c r="F1277">
        <v>7.5</v>
      </c>
      <c r="G1277">
        <v>6.3</v>
      </c>
      <c r="H1277">
        <v>1.2</v>
      </c>
      <c r="I1277">
        <v>16</v>
      </c>
      <c r="J1277">
        <v>92.8</v>
      </c>
      <c r="K1277">
        <v>1265.4000000000001</v>
      </c>
      <c r="L1277">
        <v>426</v>
      </c>
      <c r="M1277">
        <v>401</v>
      </c>
      <c r="N1277">
        <v>558</v>
      </c>
      <c r="O1277">
        <v>157</v>
      </c>
      <c r="P1277">
        <v>333</v>
      </c>
      <c r="Q1277">
        <v>580</v>
      </c>
      <c r="R1277">
        <v>247</v>
      </c>
      <c r="S1277">
        <v>215.7</v>
      </c>
      <c r="T1277">
        <v>428</v>
      </c>
      <c r="U1277">
        <v>418</v>
      </c>
      <c r="V1277">
        <v>500</v>
      </c>
      <c r="W1277">
        <v>2.79</v>
      </c>
    </row>
    <row r="1278" spans="1:23" x14ac:dyDescent="0.25">
      <c r="A1278" t="s">
        <v>39</v>
      </c>
      <c r="B1278">
        <v>1</v>
      </c>
      <c r="C1278">
        <v>14</v>
      </c>
      <c r="D1278">
        <v>1999</v>
      </c>
      <c r="E1278">
        <v>207.9</v>
      </c>
      <c r="F1278">
        <v>7.2</v>
      </c>
      <c r="G1278">
        <v>6.9</v>
      </c>
      <c r="H1278">
        <v>0.3</v>
      </c>
      <c r="I1278">
        <v>4</v>
      </c>
      <c r="J1278">
        <v>92.4</v>
      </c>
      <c r="K1278">
        <v>1357.9</v>
      </c>
      <c r="L1278">
        <v>403</v>
      </c>
      <c r="M1278">
        <v>397</v>
      </c>
      <c r="N1278">
        <v>541</v>
      </c>
      <c r="O1278">
        <v>144</v>
      </c>
      <c r="P1278">
        <v>351</v>
      </c>
      <c r="Q1278">
        <v>541</v>
      </c>
      <c r="R1278">
        <v>190</v>
      </c>
      <c r="S1278">
        <v>215.7</v>
      </c>
      <c r="T1278">
        <v>428</v>
      </c>
      <c r="U1278">
        <v>418</v>
      </c>
      <c r="V1278">
        <v>500</v>
      </c>
      <c r="W1278">
        <v>2.79</v>
      </c>
    </row>
    <row r="1279" spans="1:23" x14ac:dyDescent="0.25">
      <c r="A1279" t="s">
        <v>39</v>
      </c>
      <c r="B1279">
        <v>1</v>
      </c>
      <c r="C1279">
        <v>15</v>
      </c>
      <c r="D1279">
        <v>2000</v>
      </c>
      <c r="E1279">
        <v>214.5</v>
      </c>
      <c r="F1279">
        <v>6.6</v>
      </c>
      <c r="G1279">
        <v>6</v>
      </c>
      <c r="H1279">
        <v>0.6</v>
      </c>
      <c r="I1279">
        <v>9</v>
      </c>
      <c r="J1279">
        <v>87.6</v>
      </c>
      <c r="K1279">
        <v>1445.5</v>
      </c>
      <c r="L1279">
        <v>418</v>
      </c>
      <c r="M1279">
        <v>405</v>
      </c>
      <c r="N1279">
        <v>552</v>
      </c>
      <c r="O1279">
        <v>147</v>
      </c>
      <c r="P1279">
        <v>339</v>
      </c>
      <c r="Q1279">
        <v>571</v>
      </c>
      <c r="R1279">
        <v>232</v>
      </c>
      <c r="S1279">
        <v>215.7</v>
      </c>
      <c r="T1279">
        <v>428</v>
      </c>
      <c r="U1279">
        <v>418</v>
      </c>
      <c r="V1279">
        <v>500</v>
      </c>
      <c r="W1279">
        <v>2.79</v>
      </c>
    </row>
    <row r="1280" spans="1:23" x14ac:dyDescent="0.25">
      <c r="A1280" t="s">
        <v>39</v>
      </c>
      <c r="B1280">
        <v>1</v>
      </c>
      <c r="C1280">
        <v>16</v>
      </c>
      <c r="D1280">
        <v>2001</v>
      </c>
      <c r="E1280">
        <v>217.5</v>
      </c>
      <c r="F1280">
        <v>3</v>
      </c>
      <c r="G1280">
        <v>1.8</v>
      </c>
      <c r="H1280">
        <v>1.2</v>
      </c>
      <c r="I1280">
        <v>40</v>
      </c>
      <c r="J1280">
        <v>40.700000000000003</v>
      </c>
      <c r="K1280">
        <v>1486.2</v>
      </c>
      <c r="L1280">
        <v>471</v>
      </c>
      <c r="M1280">
        <v>410</v>
      </c>
      <c r="N1280">
        <v>562</v>
      </c>
      <c r="O1280">
        <v>152</v>
      </c>
      <c r="P1280">
        <v>375</v>
      </c>
      <c r="Q1280">
        <v>597</v>
      </c>
      <c r="R1280">
        <v>222</v>
      </c>
      <c r="S1280">
        <v>215.7</v>
      </c>
      <c r="T1280">
        <v>428</v>
      </c>
      <c r="U1280">
        <v>418</v>
      </c>
      <c r="V1280">
        <v>500</v>
      </c>
      <c r="W1280">
        <v>2.79</v>
      </c>
    </row>
    <row r="1281" spans="1:23" x14ac:dyDescent="0.25">
      <c r="A1281" t="s">
        <v>39</v>
      </c>
      <c r="B1281">
        <v>1</v>
      </c>
      <c r="C1281">
        <v>17</v>
      </c>
      <c r="D1281">
        <v>2002</v>
      </c>
      <c r="E1281">
        <v>220.2</v>
      </c>
      <c r="F1281">
        <v>2.7</v>
      </c>
      <c r="G1281">
        <v>2.4</v>
      </c>
      <c r="H1281">
        <v>0.3</v>
      </c>
      <c r="I1281">
        <v>11</v>
      </c>
      <c r="J1281">
        <v>37.1</v>
      </c>
      <c r="K1281">
        <v>1523.3</v>
      </c>
      <c r="L1281">
        <v>444</v>
      </c>
      <c r="M1281">
        <v>431</v>
      </c>
      <c r="N1281">
        <v>553</v>
      </c>
      <c r="O1281">
        <v>122</v>
      </c>
      <c r="P1281">
        <v>392</v>
      </c>
      <c r="Q1281">
        <v>553</v>
      </c>
      <c r="R1281">
        <v>161</v>
      </c>
      <c r="S1281">
        <v>215.7</v>
      </c>
      <c r="T1281">
        <v>428</v>
      </c>
      <c r="U1281">
        <v>418</v>
      </c>
      <c r="V1281">
        <v>500</v>
      </c>
      <c r="W1281">
        <v>2.79</v>
      </c>
    </row>
    <row r="1282" spans="1:23" x14ac:dyDescent="0.25">
      <c r="A1282" t="s">
        <v>39</v>
      </c>
      <c r="B1282">
        <v>1</v>
      </c>
      <c r="C1282">
        <v>18</v>
      </c>
      <c r="D1282">
        <v>2003</v>
      </c>
      <c r="E1282">
        <v>222</v>
      </c>
      <c r="F1282">
        <v>1.8</v>
      </c>
      <c r="G1282">
        <v>1.5</v>
      </c>
      <c r="H1282">
        <v>0.3</v>
      </c>
      <c r="I1282">
        <v>16</v>
      </c>
      <c r="J1282">
        <v>25</v>
      </c>
      <c r="K1282">
        <v>1548.3</v>
      </c>
      <c r="L1282">
        <v>429</v>
      </c>
      <c r="M1282">
        <v>392</v>
      </c>
      <c r="N1282">
        <v>615</v>
      </c>
      <c r="O1282">
        <v>223</v>
      </c>
      <c r="P1282">
        <v>364</v>
      </c>
      <c r="Q1282">
        <v>615</v>
      </c>
      <c r="R1282">
        <v>251</v>
      </c>
      <c r="S1282">
        <v>215.7</v>
      </c>
      <c r="T1282">
        <v>428</v>
      </c>
      <c r="U1282">
        <v>418</v>
      </c>
      <c r="V1282">
        <v>500</v>
      </c>
      <c r="W1282">
        <v>2.79</v>
      </c>
    </row>
    <row r="1283" spans="1:23" x14ac:dyDescent="0.25">
      <c r="A1283" t="s">
        <v>39</v>
      </c>
      <c r="B1283">
        <v>1</v>
      </c>
      <c r="C1283">
        <v>19</v>
      </c>
      <c r="D1283">
        <v>2004</v>
      </c>
      <c r="E1283">
        <v>223.8</v>
      </c>
      <c r="F1283">
        <v>1.8</v>
      </c>
      <c r="G1283">
        <v>1.5</v>
      </c>
      <c r="H1283">
        <v>0.3</v>
      </c>
      <c r="I1283">
        <v>16</v>
      </c>
      <c r="J1283">
        <v>25.2</v>
      </c>
      <c r="K1283">
        <v>1573.5</v>
      </c>
      <c r="L1283">
        <v>429</v>
      </c>
      <c r="M1283">
        <v>411</v>
      </c>
      <c r="N1283">
        <v>519</v>
      </c>
      <c r="O1283">
        <v>108</v>
      </c>
      <c r="P1283">
        <v>390</v>
      </c>
      <c r="Q1283">
        <v>519</v>
      </c>
      <c r="R1283">
        <v>129</v>
      </c>
      <c r="S1283">
        <v>215.7</v>
      </c>
      <c r="T1283">
        <v>428</v>
      </c>
      <c r="U1283">
        <v>418</v>
      </c>
      <c r="V1283">
        <v>500</v>
      </c>
      <c r="W1283">
        <v>2.79</v>
      </c>
    </row>
    <row r="1284" spans="1:23" x14ac:dyDescent="0.25">
      <c r="A1284" t="s">
        <v>39</v>
      </c>
      <c r="B1284">
        <v>1</v>
      </c>
      <c r="C1284">
        <v>20</v>
      </c>
      <c r="D1284">
        <v>2005</v>
      </c>
      <c r="E1284">
        <v>224.4</v>
      </c>
      <c r="F1284">
        <v>0.6</v>
      </c>
      <c r="G1284">
        <v>0</v>
      </c>
      <c r="H1284">
        <v>0.6</v>
      </c>
      <c r="I1284">
        <v>99</v>
      </c>
      <c r="J1284">
        <v>8.4</v>
      </c>
      <c r="K1284">
        <v>1582</v>
      </c>
      <c r="L1284">
        <v>540</v>
      </c>
      <c r="M1284">
        <v>0</v>
      </c>
      <c r="N1284">
        <v>540</v>
      </c>
      <c r="O1284">
        <v>540</v>
      </c>
      <c r="P1284">
        <v>535</v>
      </c>
      <c r="Q1284">
        <v>546</v>
      </c>
      <c r="R1284">
        <v>11</v>
      </c>
      <c r="S1284">
        <v>215.7</v>
      </c>
      <c r="T1284">
        <v>428</v>
      </c>
      <c r="U1284">
        <v>418</v>
      </c>
      <c r="V1284">
        <v>500</v>
      </c>
      <c r="W1284">
        <v>2.79</v>
      </c>
    </row>
    <row r="1285" spans="1:23" x14ac:dyDescent="0.25">
      <c r="A1285" t="s">
        <v>39</v>
      </c>
      <c r="B1285">
        <v>1</v>
      </c>
      <c r="C1285">
        <v>21</v>
      </c>
      <c r="D1285">
        <v>2006</v>
      </c>
      <c r="E1285">
        <v>225.3</v>
      </c>
      <c r="F1285">
        <v>0.9</v>
      </c>
      <c r="G1285">
        <v>0.6</v>
      </c>
      <c r="H1285">
        <v>0.3</v>
      </c>
      <c r="I1285">
        <v>33</v>
      </c>
      <c r="J1285">
        <v>12.7</v>
      </c>
      <c r="K1285">
        <v>1594.7</v>
      </c>
      <c r="L1285">
        <v>497</v>
      </c>
      <c r="M1285">
        <v>470</v>
      </c>
      <c r="N1285">
        <v>551</v>
      </c>
      <c r="O1285">
        <v>81</v>
      </c>
      <c r="P1285">
        <v>450</v>
      </c>
      <c r="Q1285">
        <v>551</v>
      </c>
      <c r="R1285">
        <v>101</v>
      </c>
      <c r="S1285">
        <v>215.7</v>
      </c>
      <c r="T1285">
        <v>428</v>
      </c>
      <c r="U1285">
        <v>418</v>
      </c>
      <c r="V1285">
        <v>500</v>
      </c>
      <c r="W1285">
        <v>2.79</v>
      </c>
    </row>
    <row r="1286" spans="1:23" x14ac:dyDescent="0.25">
      <c r="A1286" t="s">
        <v>39</v>
      </c>
      <c r="B1286">
        <v>1</v>
      </c>
      <c r="C1286">
        <v>22</v>
      </c>
      <c r="D1286">
        <v>2007</v>
      </c>
      <c r="E1286">
        <v>226.5</v>
      </c>
      <c r="F1286">
        <v>1.2</v>
      </c>
      <c r="G1286">
        <v>1.2</v>
      </c>
      <c r="H1286">
        <v>0</v>
      </c>
      <c r="I1286">
        <v>0</v>
      </c>
      <c r="J1286">
        <v>17</v>
      </c>
      <c r="K1286">
        <v>1611.7</v>
      </c>
      <c r="L1286">
        <v>422</v>
      </c>
      <c r="M1286">
        <v>422</v>
      </c>
      <c r="P1286">
        <v>349</v>
      </c>
      <c r="Q1286">
        <v>478</v>
      </c>
      <c r="R1286">
        <v>129</v>
      </c>
      <c r="S1286">
        <v>215.7</v>
      </c>
      <c r="T1286">
        <v>428</v>
      </c>
      <c r="U1286">
        <v>418</v>
      </c>
      <c r="V1286">
        <v>500</v>
      </c>
      <c r="W1286">
        <v>2.79</v>
      </c>
    </row>
    <row r="1287" spans="1:23" x14ac:dyDescent="0.25">
      <c r="A1287" t="s">
        <v>39</v>
      </c>
      <c r="B1287">
        <v>1</v>
      </c>
      <c r="C1287">
        <v>23</v>
      </c>
      <c r="D1287">
        <v>2008</v>
      </c>
      <c r="E1287">
        <v>227.7</v>
      </c>
      <c r="F1287">
        <v>1.2</v>
      </c>
      <c r="G1287">
        <v>0.9</v>
      </c>
      <c r="H1287">
        <v>0.3</v>
      </c>
      <c r="I1287">
        <v>25</v>
      </c>
      <c r="J1287">
        <v>17.100000000000001</v>
      </c>
      <c r="K1287">
        <v>1628.8</v>
      </c>
      <c r="L1287">
        <v>488</v>
      </c>
      <c r="M1287">
        <v>452</v>
      </c>
      <c r="N1287">
        <v>595</v>
      </c>
      <c r="O1287">
        <v>143</v>
      </c>
      <c r="P1287">
        <v>404</v>
      </c>
      <c r="Q1287">
        <v>595</v>
      </c>
      <c r="R1287">
        <v>191</v>
      </c>
      <c r="S1287">
        <v>215.7</v>
      </c>
      <c r="T1287">
        <v>428</v>
      </c>
      <c r="U1287">
        <v>418</v>
      </c>
      <c r="V1287">
        <v>500</v>
      </c>
      <c r="W1287">
        <v>2.79</v>
      </c>
    </row>
    <row r="1288" spans="1:23" x14ac:dyDescent="0.25">
      <c r="A1288" t="s">
        <v>39</v>
      </c>
      <c r="B1288">
        <v>1</v>
      </c>
      <c r="C1288">
        <v>24</v>
      </c>
      <c r="D1288">
        <v>2009</v>
      </c>
      <c r="E1288">
        <v>228.3</v>
      </c>
      <c r="F1288">
        <v>0.6</v>
      </c>
      <c r="G1288">
        <v>0.6</v>
      </c>
      <c r="H1288">
        <v>0</v>
      </c>
      <c r="I1288">
        <v>0</v>
      </c>
      <c r="J1288">
        <v>8.6</v>
      </c>
      <c r="K1288">
        <v>1637.4</v>
      </c>
      <c r="L1288">
        <v>373</v>
      </c>
      <c r="M1288">
        <v>373</v>
      </c>
      <c r="P1288">
        <v>368</v>
      </c>
      <c r="Q1288">
        <v>378</v>
      </c>
      <c r="R1288">
        <v>10</v>
      </c>
      <c r="S1288">
        <v>215.7</v>
      </c>
      <c r="T1288">
        <v>428</v>
      </c>
      <c r="U1288">
        <v>418</v>
      </c>
      <c r="V1288">
        <v>500</v>
      </c>
      <c r="W1288">
        <v>2.79</v>
      </c>
    </row>
    <row r="1289" spans="1:23" x14ac:dyDescent="0.25">
      <c r="A1289" t="s">
        <v>39</v>
      </c>
      <c r="B1289">
        <v>1</v>
      </c>
      <c r="C1289">
        <v>25</v>
      </c>
      <c r="D1289">
        <v>2010</v>
      </c>
      <c r="E1289">
        <v>229.2</v>
      </c>
      <c r="F1289">
        <v>0.9</v>
      </c>
      <c r="G1289">
        <v>0.6</v>
      </c>
      <c r="H1289">
        <v>0.3</v>
      </c>
      <c r="I1289">
        <v>33</v>
      </c>
      <c r="J1289">
        <v>12.9</v>
      </c>
      <c r="K1289">
        <v>1650.4</v>
      </c>
      <c r="L1289">
        <v>473</v>
      </c>
      <c r="M1289">
        <v>425</v>
      </c>
      <c r="N1289">
        <v>568</v>
      </c>
      <c r="O1289">
        <v>143</v>
      </c>
      <c r="P1289">
        <v>401</v>
      </c>
      <c r="Q1289">
        <v>568</v>
      </c>
      <c r="R1289">
        <v>167</v>
      </c>
      <c r="S1289">
        <v>215.7</v>
      </c>
      <c r="T1289">
        <v>428</v>
      </c>
      <c r="U1289">
        <v>418</v>
      </c>
      <c r="V1289">
        <v>500</v>
      </c>
      <c r="W1289">
        <v>2.79</v>
      </c>
    </row>
    <row r="1290" spans="1:23" x14ac:dyDescent="0.25">
      <c r="A1290" t="s">
        <v>39</v>
      </c>
      <c r="B1290">
        <v>1</v>
      </c>
      <c r="C1290">
        <v>26</v>
      </c>
      <c r="D1290">
        <v>2011</v>
      </c>
      <c r="E1290">
        <v>230.1</v>
      </c>
      <c r="F1290">
        <v>0.9</v>
      </c>
      <c r="G1290">
        <v>0.6</v>
      </c>
      <c r="H1290">
        <v>0.3</v>
      </c>
      <c r="I1290">
        <v>33</v>
      </c>
      <c r="J1290">
        <v>13</v>
      </c>
      <c r="K1290">
        <v>1663.3</v>
      </c>
      <c r="L1290">
        <v>427</v>
      </c>
      <c r="M1290">
        <v>386</v>
      </c>
      <c r="N1290">
        <v>510</v>
      </c>
      <c r="O1290">
        <v>124</v>
      </c>
      <c r="P1290">
        <v>368</v>
      </c>
      <c r="Q1290">
        <v>510</v>
      </c>
      <c r="R1290">
        <v>142</v>
      </c>
      <c r="S1290">
        <v>215.7</v>
      </c>
      <c r="T1290">
        <v>428</v>
      </c>
      <c r="U1290">
        <v>418</v>
      </c>
      <c r="V1290">
        <v>500</v>
      </c>
      <c r="W1290">
        <v>2.79</v>
      </c>
    </row>
    <row r="1291" spans="1:23" x14ac:dyDescent="0.25">
      <c r="A1291" t="s">
        <v>39</v>
      </c>
      <c r="B1291">
        <v>1</v>
      </c>
      <c r="C1291">
        <v>27</v>
      </c>
      <c r="D1291">
        <v>2012</v>
      </c>
      <c r="E1291">
        <v>230.7</v>
      </c>
      <c r="F1291">
        <v>0.6</v>
      </c>
      <c r="G1291">
        <v>0.3</v>
      </c>
      <c r="H1291">
        <v>0.3</v>
      </c>
      <c r="I1291">
        <v>49</v>
      </c>
      <c r="J1291">
        <v>8.6999999999999993</v>
      </c>
      <c r="K1291">
        <v>1672</v>
      </c>
      <c r="L1291">
        <v>313</v>
      </c>
      <c r="M1291">
        <v>117</v>
      </c>
      <c r="N1291">
        <v>509</v>
      </c>
      <c r="O1291">
        <v>392</v>
      </c>
      <c r="P1291">
        <v>117</v>
      </c>
      <c r="Q1291">
        <v>509</v>
      </c>
      <c r="R1291">
        <v>392</v>
      </c>
      <c r="S1291">
        <v>215.7</v>
      </c>
      <c r="T1291">
        <v>428</v>
      </c>
      <c r="U1291">
        <v>418</v>
      </c>
      <c r="V1291">
        <v>500</v>
      </c>
      <c r="W1291">
        <v>2.79</v>
      </c>
    </row>
    <row r="1292" spans="1:23" x14ac:dyDescent="0.25">
      <c r="A1292" t="s">
        <v>39</v>
      </c>
      <c r="B1292">
        <v>2</v>
      </c>
      <c r="C1292">
        <v>3</v>
      </c>
      <c r="D1292">
        <v>1988</v>
      </c>
      <c r="E1292">
        <v>37.9</v>
      </c>
      <c r="F1292">
        <v>37.9</v>
      </c>
      <c r="G1292">
        <v>12.6</v>
      </c>
      <c r="H1292">
        <v>0.3</v>
      </c>
      <c r="I1292">
        <v>0</v>
      </c>
      <c r="J1292">
        <v>45.1</v>
      </c>
      <c r="K1292">
        <v>45.1</v>
      </c>
      <c r="L1292">
        <v>385</v>
      </c>
      <c r="M1292">
        <v>382</v>
      </c>
      <c r="N1292">
        <v>503</v>
      </c>
      <c r="O1292">
        <v>121</v>
      </c>
      <c r="P1292">
        <v>154</v>
      </c>
      <c r="Q1292">
        <v>503</v>
      </c>
      <c r="R1292">
        <v>349</v>
      </c>
      <c r="S1292">
        <v>237</v>
      </c>
      <c r="T1292">
        <v>407</v>
      </c>
      <c r="U1292">
        <v>410</v>
      </c>
      <c r="V1292">
        <v>500</v>
      </c>
      <c r="W1292">
        <v>2.79</v>
      </c>
    </row>
    <row r="1293" spans="1:23" x14ac:dyDescent="0.25">
      <c r="A1293" t="s">
        <v>39</v>
      </c>
      <c r="B1293">
        <v>2</v>
      </c>
      <c r="C1293">
        <v>4</v>
      </c>
      <c r="D1293">
        <v>1989</v>
      </c>
      <c r="E1293">
        <v>61</v>
      </c>
      <c r="F1293">
        <v>23.1</v>
      </c>
      <c r="G1293">
        <v>22.2</v>
      </c>
      <c r="H1293">
        <v>0.9</v>
      </c>
      <c r="I1293">
        <v>3</v>
      </c>
      <c r="J1293">
        <v>71.8</v>
      </c>
      <c r="K1293">
        <v>116.9</v>
      </c>
      <c r="L1293">
        <v>358</v>
      </c>
      <c r="M1293">
        <v>352</v>
      </c>
      <c r="N1293">
        <v>523</v>
      </c>
      <c r="O1293">
        <v>171</v>
      </c>
      <c r="P1293">
        <v>280</v>
      </c>
      <c r="Q1293">
        <v>525</v>
      </c>
      <c r="R1293">
        <v>245</v>
      </c>
      <c r="S1293">
        <v>237</v>
      </c>
      <c r="T1293">
        <v>407</v>
      </c>
      <c r="U1293">
        <v>410</v>
      </c>
      <c r="V1293">
        <v>500</v>
      </c>
      <c r="W1293">
        <v>2.79</v>
      </c>
    </row>
    <row r="1294" spans="1:23" x14ac:dyDescent="0.25">
      <c r="A1294" t="s">
        <v>39</v>
      </c>
      <c r="B1294">
        <v>2</v>
      </c>
      <c r="C1294">
        <v>5</v>
      </c>
      <c r="D1294">
        <v>1990</v>
      </c>
      <c r="E1294">
        <v>77.2</v>
      </c>
      <c r="F1294">
        <v>16.2</v>
      </c>
      <c r="G1294">
        <v>15.3</v>
      </c>
      <c r="H1294">
        <v>0.9</v>
      </c>
      <c r="I1294">
        <v>5</v>
      </c>
      <c r="J1294">
        <v>70.3</v>
      </c>
      <c r="K1294">
        <v>187.2</v>
      </c>
      <c r="L1294">
        <v>348</v>
      </c>
      <c r="M1294">
        <v>337</v>
      </c>
      <c r="N1294">
        <v>552</v>
      </c>
      <c r="O1294">
        <v>215</v>
      </c>
      <c r="P1294">
        <v>278</v>
      </c>
      <c r="Q1294">
        <v>580</v>
      </c>
      <c r="R1294">
        <v>302</v>
      </c>
      <c r="S1294">
        <v>237</v>
      </c>
      <c r="T1294">
        <v>407</v>
      </c>
      <c r="U1294">
        <v>410</v>
      </c>
      <c r="V1294">
        <v>500</v>
      </c>
      <c r="W1294">
        <v>2.79</v>
      </c>
    </row>
    <row r="1295" spans="1:23" x14ac:dyDescent="0.25">
      <c r="A1295" t="s">
        <v>39</v>
      </c>
      <c r="B1295">
        <v>2</v>
      </c>
      <c r="C1295">
        <v>6</v>
      </c>
      <c r="D1295">
        <v>1991</v>
      </c>
      <c r="E1295">
        <v>89.8</v>
      </c>
      <c r="F1295">
        <v>12.6</v>
      </c>
      <c r="G1295">
        <v>11.1</v>
      </c>
      <c r="H1295">
        <v>1.5</v>
      </c>
      <c r="I1295">
        <v>11</v>
      </c>
      <c r="J1295">
        <v>66.099999999999994</v>
      </c>
      <c r="K1295">
        <v>253.3</v>
      </c>
      <c r="L1295">
        <v>423</v>
      </c>
      <c r="M1295">
        <v>405</v>
      </c>
      <c r="N1295">
        <v>554</v>
      </c>
      <c r="O1295">
        <v>149</v>
      </c>
      <c r="P1295">
        <v>335</v>
      </c>
      <c r="Q1295">
        <v>585</v>
      </c>
      <c r="R1295">
        <v>250</v>
      </c>
      <c r="S1295">
        <v>237</v>
      </c>
      <c r="T1295">
        <v>407</v>
      </c>
      <c r="U1295">
        <v>410</v>
      </c>
      <c r="V1295">
        <v>500</v>
      </c>
      <c r="W1295">
        <v>2.79</v>
      </c>
    </row>
    <row r="1296" spans="1:23" x14ac:dyDescent="0.25">
      <c r="A1296" t="s">
        <v>39</v>
      </c>
      <c r="B1296">
        <v>2</v>
      </c>
      <c r="C1296">
        <v>7</v>
      </c>
      <c r="D1296">
        <v>1992</v>
      </c>
      <c r="E1296">
        <v>103.9</v>
      </c>
      <c r="F1296">
        <v>14.1</v>
      </c>
      <c r="G1296">
        <v>13.5</v>
      </c>
      <c r="H1296">
        <v>0.6</v>
      </c>
      <c r="I1296">
        <v>4</v>
      </c>
      <c r="J1296">
        <v>85.8</v>
      </c>
      <c r="K1296">
        <v>339.1</v>
      </c>
      <c r="L1296">
        <v>392</v>
      </c>
      <c r="M1296">
        <v>385</v>
      </c>
      <c r="N1296">
        <v>540</v>
      </c>
      <c r="O1296">
        <v>155</v>
      </c>
      <c r="P1296">
        <v>339</v>
      </c>
      <c r="Q1296">
        <v>559</v>
      </c>
      <c r="R1296">
        <v>220</v>
      </c>
      <c r="S1296">
        <v>237</v>
      </c>
      <c r="T1296">
        <v>407</v>
      </c>
      <c r="U1296">
        <v>410</v>
      </c>
      <c r="V1296">
        <v>500</v>
      </c>
      <c r="W1296">
        <v>2.79</v>
      </c>
    </row>
    <row r="1297" spans="1:23" x14ac:dyDescent="0.25">
      <c r="A1297" t="s">
        <v>39</v>
      </c>
      <c r="B1297">
        <v>2</v>
      </c>
      <c r="C1297">
        <v>8</v>
      </c>
      <c r="D1297">
        <v>1993</v>
      </c>
      <c r="E1297">
        <v>114.7</v>
      </c>
      <c r="F1297">
        <v>10.8</v>
      </c>
      <c r="G1297">
        <v>8.4</v>
      </c>
      <c r="H1297">
        <v>2.4</v>
      </c>
      <c r="I1297">
        <v>22</v>
      </c>
      <c r="J1297">
        <v>74.2</v>
      </c>
      <c r="K1297">
        <v>413.3</v>
      </c>
      <c r="L1297">
        <v>414</v>
      </c>
      <c r="M1297">
        <v>376</v>
      </c>
      <c r="N1297">
        <v>549</v>
      </c>
      <c r="O1297">
        <v>173</v>
      </c>
      <c r="P1297">
        <v>328</v>
      </c>
      <c r="Q1297">
        <v>570</v>
      </c>
      <c r="R1297">
        <v>242</v>
      </c>
      <c r="S1297">
        <v>237</v>
      </c>
      <c r="T1297">
        <v>407</v>
      </c>
      <c r="U1297">
        <v>410</v>
      </c>
      <c r="V1297">
        <v>500</v>
      </c>
      <c r="W1297">
        <v>2.79</v>
      </c>
    </row>
    <row r="1298" spans="1:23" x14ac:dyDescent="0.25">
      <c r="A1298" t="s">
        <v>39</v>
      </c>
      <c r="B1298">
        <v>2</v>
      </c>
      <c r="C1298">
        <v>9</v>
      </c>
      <c r="D1298">
        <v>1994</v>
      </c>
      <c r="E1298">
        <v>123.4</v>
      </c>
      <c r="F1298">
        <v>8.6999999999999993</v>
      </c>
      <c r="G1298">
        <v>6.9</v>
      </c>
      <c r="H1298">
        <v>1.8</v>
      </c>
      <c r="I1298">
        <v>20</v>
      </c>
      <c r="J1298">
        <v>65.099999999999994</v>
      </c>
      <c r="K1298">
        <v>478.4</v>
      </c>
      <c r="L1298">
        <v>449</v>
      </c>
      <c r="M1298">
        <v>423</v>
      </c>
      <c r="N1298">
        <v>548</v>
      </c>
      <c r="O1298">
        <v>125</v>
      </c>
      <c r="P1298">
        <v>370</v>
      </c>
      <c r="Q1298">
        <v>584</v>
      </c>
      <c r="R1298">
        <v>214</v>
      </c>
      <c r="S1298">
        <v>237</v>
      </c>
      <c r="T1298">
        <v>407</v>
      </c>
      <c r="U1298">
        <v>410</v>
      </c>
      <c r="V1298">
        <v>500</v>
      </c>
      <c r="W1298">
        <v>2.79</v>
      </c>
    </row>
    <row r="1299" spans="1:23" x14ac:dyDescent="0.25">
      <c r="A1299" t="s">
        <v>39</v>
      </c>
      <c r="B1299">
        <v>2</v>
      </c>
      <c r="C1299">
        <v>10</v>
      </c>
      <c r="D1299">
        <v>1995</v>
      </c>
      <c r="E1299">
        <v>133.9</v>
      </c>
      <c r="F1299">
        <v>10.5</v>
      </c>
      <c r="G1299">
        <v>8.4</v>
      </c>
      <c r="H1299">
        <v>2.1</v>
      </c>
      <c r="I1299">
        <v>19</v>
      </c>
      <c r="J1299">
        <v>84.9</v>
      </c>
      <c r="K1299">
        <v>563.29999999999995</v>
      </c>
      <c r="L1299">
        <v>430</v>
      </c>
      <c r="M1299">
        <v>403</v>
      </c>
      <c r="N1299">
        <v>538</v>
      </c>
      <c r="O1299">
        <v>135</v>
      </c>
      <c r="P1299">
        <v>338</v>
      </c>
      <c r="Q1299">
        <v>578</v>
      </c>
      <c r="R1299">
        <v>240</v>
      </c>
      <c r="S1299">
        <v>237</v>
      </c>
      <c r="T1299">
        <v>407</v>
      </c>
      <c r="U1299">
        <v>410</v>
      </c>
      <c r="V1299">
        <v>500</v>
      </c>
      <c r="W1299">
        <v>2.79</v>
      </c>
    </row>
    <row r="1300" spans="1:23" x14ac:dyDescent="0.25">
      <c r="A1300" t="s">
        <v>39</v>
      </c>
      <c r="B1300">
        <v>2</v>
      </c>
      <c r="C1300">
        <v>11</v>
      </c>
      <c r="D1300">
        <v>1996</v>
      </c>
      <c r="E1300">
        <v>148.6</v>
      </c>
      <c r="F1300">
        <v>14.7</v>
      </c>
      <c r="G1300">
        <v>11.4</v>
      </c>
      <c r="H1300">
        <v>3.3</v>
      </c>
      <c r="I1300">
        <v>22</v>
      </c>
      <c r="J1300">
        <v>130.5</v>
      </c>
      <c r="K1300">
        <v>693.7</v>
      </c>
      <c r="L1300">
        <v>415</v>
      </c>
      <c r="M1300">
        <v>373</v>
      </c>
      <c r="N1300">
        <v>559</v>
      </c>
      <c r="O1300">
        <v>186</v>
      </c>
      <c r="P1300">
        <v>339</v>
      </c>
      <c r="Q1300">
        <v>585</v>
      </c>
      <c r="R1300">
        <v>246</v>
      </c>
      <c r="S1300">
        <v>237</v>
      </c>
      <c r="T1300">
        <v>407</v>
      </c>
      <c r="U1300">
        <v>410</v>
      </c>
      <c r="V1300">
        <v>500</v>
      </c>
      <c r="W1300">
        <v>2.79</v>
      </c>
    </row>
    <row r="1301" spans="1:23" x14ac:dyDescent="0.25">
      <c r="A1301" t="s">
        <v>39</v>
      </c>
      <c r="B1301">
        <v>2</v>
      </c>
      <c r="C1301">
        <v>12</v>
      </c>
      <c r="D1301">
        <v>1997</v>
      </c>
      <c r="E1301">
        <v>165.7</v>
      </c>
      <c r="F1301">
        <v>17.100000000000001</v>
      </c>
      <c r="G1301">
        <v>14.4</v>
      </c>
      <c r="H1301">
        <v>2.7</v>
      </c>
      <c r="I1301">
        <v>15</v>
      </c>
      <c r="J1301">
        <v>168.8</v>
      </c>
      <c r="K1301">
        <v>862.6</v>
      </c>
      <c r="L1301">
        <v>398</v>
      </c>
      <c r="M1301">
        <v>371</v>
      </c>
      <c r="N1301">
        <v>538</v>
      </c>
      <c r="O1301">
        <v>167</v>
      </c>
      <c r="P1301">
        <v>323</v>
      </c>
      <c r="Q1301">
        <v>563</v>
      </c>
      <c r="R1301">
        <v>240</v>
      </c>
      <c r="S1301">
        <v>237</v>
      </c>
      <c r="T1301">
        <v>407</v>
      </c>
      <c r="U1301">
        <v>410</v>
      </c>
      <c r="V1301">
        <v>500</v>
      </c>
      <c r="W1301">
        <v>2.79</v>
      </c>
    </row>
    <row r="1302" spans="1:23" x14ac:dyDescent="0.25">
      <c r="A1302" t="s">
        <v>39</v>
      </c>
      <c r="B1302">
        <v>2</v>
      </c>
      <c r="C1302">
        <v>13</v>
      </c>
      <c r="D1302">
        <v>1998</v>
      </c>
      <c r="E1302">
        <v>176.5</v>
      </c>
      <c r="F1302">
        <v>10.8</v>
      </c>
      <c r="G1302">
        <v>9.6</v>
      </c>
      <c r="H1302">
        <v>1.2</v>
      </c>
      <c r="I1302">
        <v>11</v>
      </c>
      <c r="J1302">
        <v>116.1</v>
      </c>
      <c r="K1302">
        <v>978.7</v>
      </c>
      <c r="L1302">
        <v>398</v>
      </c>
      <c r="M1302">
        <v>380</v>
      </c>
      <c r="N1302">
        <v>546</v>
      </c>
      <c r="O1302">
        <v>166</v>
      </c>
      <c r="P1302">
        <v>323</v>
      </c>
      <c r="Q1302">
        <v>575</v>
      </c>
      <c r="R1302">
        <v>252</v>
      </c>
      <c r="S1302">
        <v>237</v>
      </c>
      <c r="T1302">
        <v>407</v>
      </c>
      <c r="U1302">
        <v>410</v>
      </c>
      <c r="V1302">
        <v>500</v>
      </c>
      <c r="W1302">
        <v>2.79</v>
      </c>
    </row>
    <row r="1303" spans="1:23" x14ac:dyDescent="0.25">
      <c r="A1303" t="s">
        <v>39</v>
      </c>
      <c r="B1303">
        <v>2</v>
      </c>
      <c r="C1303">
        <v>14</v>
      </c>
      <c r="D1303">
        <v>1999</v>
      </c>
      <c r="E1303">
        <v>187.9</v>
      </c>
      <c r="F1303">
        <v>11.4</v>
      </c>
      <c r="G1303">
        <v>9.3000000000000007</v>
      </c>
      <c r="H1303">
        <v>2.1</v>
      </c>
      <c r="I1303">
        <v>18</v>
      </c>
      <c r="J1303">
        <v>130.5</v>
      </c>
      <c r="K1303">
        <v>1109.2</v>
      </c>
      <c r="L1303">
        <v>433</v>
      </c>
      <c r="M1303">
        <v>407</v>
      </c>
      <c r="N1303">
        <v>546</v>
      </c>
      <c r="O1303">
        <v>139</v>
      </c>
      <c r="P1303">
        <v>355</v>
      </c>
      <c r="Q1303">
        <v>598</v>
      </c>
      <c r="R1303">
        <v>243</v>
      </c>
      <c r="S1303">
        <v>237</v>
      </c>
      <c r="T1303">
        <v>407</v>
      </c>
      <c r="U1303">
        <v>410</v>
      </c>
      <c r="V1303">
        <v>500</v>
      </c>
      <c r="W1303">
        <v>2.79</v>
      </c>
    </row>
    <row r="1304" spans="1:23" x14ac:dyDescent="0.25">
      <c r="A1304" t="s">
        <v>39</v>
      </c>
      <c r="B1304">
        <v>2</v>
      </c>
      <c r="C1304">
        <v>15</v>
      </c>
      <c r="D1304">
        <v>2000</v>
      </c>
      <c r="E1304">
        <v>197.8</v>
      </c>
      <c r="F1304">
        <v>9.9</v>
      </c>
      <c r="G1304">
        <v>8.6999999999999993</v>
      </c>
      <c r="H1304">
        <v>1.2</v>
      </c>
      <c r="I1304">
        <v>12</v>
      </c>
      <c r="J1304">
        <v>120</v>
      </c>
      <c r="K1304">
        <v>1229.0999999999999</v>
      </c>
      <c r="L1304">
        <v>416</v>
      </c>
      <c r="M1304">
        <v>396</v>
      </c>
      <c r="N1304">
        <v>554</v>
      </c>
      <c r="O1304">
        <v>158</v>
      </c>
      <c r="P1304">
        <v>343</v>
      </c>
      <c r="Q1304">
        <v>583</v>
      </c>
      <c r="R1304">
        <v>240</v>
      </c>
      <c r="S1304">
        <v>237</v>
      </c>
      <c r="T1304">
        <v>407</v>
      </c>
      <c r="U1304">
        <v>410</v>
      </c>
      <c r="V1304">
        <v>500</v>
      </c>
      <c r="W1304">
        <v>2.79</v>
      </c>
    </row>
    <row r="1305" spans="1:23" x14ac:dyDescent="0.25">
      <c r="A1305" t="s">
        <v>39</v>
      </c>
      <c r="B1305">
        <v>2</v>
      </c>
      <c r="C1305">
        <v>16</v>
      </c>
      <c r="D1305">
        <v>2001</v>
      </c>
      <c r="E1305">
        <v>209.2</v>
      </c>
      <c r="F1305">
        <v>11.4</v>
      </c>
      <c r="G1305">
        <v>8.6999999999999993</v>
      </c>
      <c r="H1305">
        <v>2.7</v>
      </c>
      <c r="I1305">
        <v>23</v>
      </c>
      <c r="J1305">
        <v>145.80000000000001</v>
      </c>
      <c r="K1305">
        <v>1374.9</v>
      </c>
      <c r="L1305">
        <v>427</v>
      </c>
      <c r="M1305">
        <v>390</v>
      </c>
      <c r="N1305">
        <v>545</v>
      </c>
      <c r="O1305">
        <v>155</v>
      </c>
      <c r="P1305">
        <v>337</v>
      </c>
      <c r="Q1305">
        <v>594</v>
      </c>
      <c r="R1305">
        <v>257</v>
      </c>
      <c r="S1305">
        <v>237</v>
      </c>
      <c r="T1305">
        <v>407</v>
      </c>
      <c r="U1305">
        <v>410</v>
      </c>
      <c r="V1305">
        <v>500</v>
      </c>
      <c r="W1305">
        <v>2.79</v>
      </c>
    </row>
    <row r="1306" spans="1:23" x14ac:dyDescent="0.25">
      <c r="A1306" t="s">
        <v>39</v>
      </c>
      <c r="B1306">
        <v>2</v>
      </c>
      <c r="C1306">
        <v>17</v>
      </c>
      <c r="D1306">
        <v>2002</v>
      </c>
      <c r="E1306">
        <v>219.4</v>
      </c>
      <c r="F1306">
        <v>10.199999999999999</v>
      </c>
      <c r="G1306">
        <v>8.1</v>
      </c>
      <c r="H1306">
        <v>2.1</v>
      </c>
      <c r="I1306">
        <v>20</v>
      </c>
      <c r="J1306">
        <v>137.30000000000001</v>
      </c>
      <c r="K1306">
        <v>1512.2</v>
      </c>
      <c r="L1306">
        <v>422</v>
      </c>
      <c r="M1306">
        <v>388</v>
      </c>
      <c r="N1306">
        <v>550</v>
      </c>
      <c r="O1306">
        <v>162</v>
      </c>
      <c r="P1306">
        <v>332</v>
      </c>
      <c r="Q1306">
        <v>605</v>
      </c>
      <c r="R1306">
        <v>273</v>
      </c>
      <c r="S1306">
        <v>237</v>
      </c>
      <c r="T1306">
        <v>407</v>
      </c>
      <c r="U1306">
        <v>410</v>
      </c>
      <c r="V1306">
        <v>500</v>
      </c>
      <c r="W1306">
        <v>2.79</v>
      </c>
    </row>
    <row r="1307" spans="1:23" x14ac:dyDescent="0.25">
      <c r="A1307" t="s">
        <v>39</v>
      </c>
      <c r="B1307">
        <v>2</v>
      </c>
      <c r="C1307">
        <v>18</v>
      </c>
      <c r="D1307">
        <v>2003</v>
      </c>
      <c r="E1307">
        <v>227.2</v>
      </c>
      <c r="F1307">
        <v>7.8</v>
      </c>
      <c r="G1307">
        <v>7.2</v>
      </c>
      <c r="H1307">
        <v>0.6</v>
      </c>
      <c r="I1307">
        <v>7</v>
      </c>
      <c r="J1307">
        <v>109.4</v>
      </c>
      <c r="K1307">
        <v>1621.7</v>
      </c>
      <c r="L1307">
        <v>415</v>
      </c>
      <c r="M1307">
        <v>404</v>
      </c>
      <c r="N1307">
        <v>554</v>
      </c>
      <c r="O1307">
        <v>150</v>
      </c>
      <c r="P1307">
        <v>355</v>
      </c>
      <c r="Q1307">
        <v>606</v>
      </c>
      <c r="R1307">
        <v>251</v>
      </c>
      <c r="S1307">
        <v>237</v>
      </c>
      <c r="T1307">
        <v>407</v>
      </c>
      <c r="U1307">
        <v>410</v>
      </c>
      <c r="V1307">
        <v>500</v>
      </c>
      <c r="W1307">
        <v>2.79</v>
      </c>
    </row>
    <row r="1308" spans="1:23" x14ac:dyDescent="0.25">
      <c r="A1308" t="s">
        <v>39</v>
      </c>
      <c r="B1308">
        <v>2</v>
      </c>
      <c r="C1308">
        <v>19</v>
      </c>
      <c r="D1308">
        <v>2004</v>
      </c>
      <c r="E1308">
        <v>235</v>
      </c>
      <c r="F1308">
        <v>7.8</v>
      </c>
      <c r="G1308">
        <v>6.6</v>
      </c>
      <c r="H1308">
        <v>1.2</v>
      </c>
      <c r="I1308">
        <v>15</v>
      </c>
      <c r="J1308">
        <v>113.3</v>
      </c>
      <c r="K1308">
        <v>1734.9</v>
      </c>
      <c r="L1308">
        <v>424</v>
      </c>
      <c r="M1308">
        <v>396</v>
      </c>
      <c r="N1308">
        <v>579</v>
      </c>
      <c r="O1308">
        <v>183</v>
      </c>
      <c r="P1308">
        <v>357</v>
      </c>
      <c r="Q1308">
        <v>612</v>
      </c>
      <c r="R1308">
        <v>255</v>
      </c>
      <c r="S1308">
        <v>237</v>
      </c>
      <c r="T1308">
        <v>407</v>
      </c>
      <c r="U1308">
        <v>410</v>
      </c>
      <c r="V1308">
        <v>500</v>
      </c>
      <c r="W1308">
        <v>2.79</v>
      </c>
    </row>
    <row r="1309" spans="1:23" x14ac:dyDescent="0.25">
      <c r="A1309" t="s">
        <v>39</v>
      </c>
      <c r="B1309">
        <v>2</v>
      </c>
      <c r="C1309">
        <v>20</v>
      </c>
      <c r="D1309">
        <v>2005</v>
      </c>
      <c r="E1309">
        <v>240.1</v>
      </c>
      <c r="F1309">
        <v>5.0999999999999996</v>
      </c>
      <c r="G1309">
        <v>4.8</v>
      </c>
      <c r="H1309">
        <v>0.3</v>
      </c>
      <c r="I1309">
        <v>5</v>
      </c>
      <c r="J1309">
        <v>76.099999999999994</v>
      </c>
      <c r="K1309">
        <v>1811.1</v>
      </c>
      <c r="L1309">
        <v>404</v>
      </c>
      <c r="M1309">
        <v>396</v>
      </c>
      <c r="N1309">
        <v>532</v>
      </c>
      <c r="O1309">
        <v>136</v>
      </c>
      <c r="P1309">
        <v>334</v>
      </c>
      <c r="Q1309">
        <v>532</v>
      </c>
      <c r="R1309">
        <v>198</v>
      </c>
      <c r="S1309">
        <v>237</v>
      </c>
      <c r="T1309">
        <v>407</v>
      </c>
      <c r="U1309">
        <v>410</v>
      </c>
      <c r="V1309">
        <v>500</v>
      </c>
      <c r="W1309">
        <v>2.79</v>
      </c>
    </row>
    <row r="1310" spans="1:23" x14ac:dyDescent="0.25">
      <c r="A1310" t="s">
        <v>39</v>
      </c>
      <c r="B1310">
        <v>2</v>
      </c>
      <c r="C1310">
        <v>21</v>
      </c>
      <c r="D1310">
        <v>2006</v>
      </c>
      <c r="E1310">
        <v>244</v>
      </c>
      <c r="F1310">
        <v>3.9</v>
      </c>
      <c r="G1310">
        <v>3.9</v>
      </c>
      <c r="H1310">
        <v>0</v>
      </c>
      <c r="I1310">
        <v>0</v>
      </c>
      <c r="J1310">
        <v>59.3</v>
      </c>
      <c r="K1310">
        <v>1870.4</v>
      </c>
      <c r="L1310">
        <v>397</v>
      </c>
      <c r="M1310">
        <v>397</v>
      </c>
      <c r="P1310">
        <v>327</v>
      </c>
      <c r="Q1310">
        <v>483</v>
      </c>
      <c r="R1310">
        <v>156</v>
      </c>
      <c r="S1310">
        <v>237</v>
      </c>
      <c r="T1310">
        <v>407</v>
      </c>
      <c r="U1310">
        <v>410</v>
      </c>
      <c r="V1310">
        <v>500</v>
      </c>
      <c r="W1310">
        <v>2.79</v>
      </c>
    </row>
    <row r="1311" spans="1:23" x14ac:dyDescent="0.25">
      <c r="A1311" t="s">
        <v>39</v>
      </c>
      <c r="B1311">
        <v>2</v>
      </c>
      <c r="C1311">
        <v>22</v>
      </c>
      <c r="D1311">
        <v>2007</v>
      </c>
      <c r="E1311">
        <v>246.7</v>
      </c>
      <c r="F1311">
        <v>2.7</v>
      </c>
      <c r="G1311">
        <v>2.1</v>
      </c>
      <c r="H1311">
        <v>0.6</v>
      </c>
      <c r="I1311">
        <v>22</v>
      </c>
      <c r="J1311">
        <v>41.6</v>
      </c>
      <c r="K1311">
        <v>1912</v>
      </c>
      <c r="L1311">
        <v>419</v>
      </c>
      <c r="M1311">
        <v>392</v>
      </c>
      <c r="N1311">
        <v>515</v>
      </c>
      <c r="O1311">
        <v>123</v>
      </c>
      <c r="P1311">
        <v>342</v>
      </c>
      <c r="Q1311">
        <v>519</v>
      </c>
      <c r="R1311">
        <v>177</v>
      </c>
      <c r="S1311">
        <v>237</v>
      </c>
      <c r="T1311">
        <v>407</v>
      </c>
      <c r="U1311">
        <v>410</v>
      </c>
      <c r="V1311">
        <v>500</v>
      </c>
      <c r="W1311">
        <v>2.79</v>
      </c>
    </row>
    <row r="1312" spans="1:23" x14ac:dyDescent="0.25">
      <c r="A1312" t="s">
        <v>39</v>
      </c>
      <c r="B1312">
        <v>2</v>
      </c>
      <c r="C1312">
        <v>23</v>
      </c>
      <c r="D1312">
        <v>2008</v>
      </c>
      <c r="E1312">
        <v>249.4</v>
      </c>
      <c r="F1312">
        <v>2.7</v>
      </c>
      <c r="G1312">
        <v>2.4</v>
      </c>
      <c r="H1312">
        <v>0.3</v>
      </c>
      <c r="I1312">
        <v>11</v>
      </c>
      <c r="J1312">
        <v>42.1</v>
      </c>
      <c r="K1312">
        <v>1954.1</v>
      </c>
      <c r="L1312">
        <v>405</v>
      </c>
      <c r="M1312">
        <v>393</v>
      </c>
      <c r="N1312">
        <v>502</v>
      </c>
      <c r="O1312">
        <v>109</v>
      </c>
      <c r="P1312">
        <v>338</v>
      </c>
      <c r="Q1312">
        <v>502</v>
      </c>
      <c r="R1312">
        <v>164</v>
      </c>
      <c r="S1312">
        <v>237</v>
      </c>
      <c r="T1312">
        <v>407</v>
      </c>
      <c r="U1312">
        <v>410</v>
      </c>
      <c r="V1312">
        <v>500</v>
      </c>
      <c r="W1312">
        <v>2.79</v>
      </c>
    </row>
    <row r="1313" spans="1:23" x14ac:dyDescent="0.25">
      <c r="A1313" t="s">
        <v>39</v>
      </c>
      <c r="B1313">
        <v>2</v>
      </c>
      <c r="C1313">
        <v>24</v>
      </c>
      <c r="D1313">
        <v>2009</v>
      </c>
      <c r="E1313">
        <v>253.3</v>
      </c>
      <c r="F1313">
        <v>3.9</v>
      </c>
      <c r="G1313">
        <v>3.3</v>
      </c>
      <c r="H1313">
        <v>0.6</v>
      </c>
      <c r="I1313">
        <v>15</v>
      </c>
      <c r="J1313">
        <v>61.6</v>
      </c>
      <c r="K1313">
        <v>2015.7</v>
      </c>
      <c r="L1313">
        <v>419</v>
      </c>
      <c r="M1313">
        <v>393</v>
      </c>
      <c r="N1313">
        <v>559</v>
      </c>
      <c r="O1313">
        <v>166</v>
      </c>
      <c r="P1313">
        <v>361</v>
      </c>
      <c r="Q1313">
        <v>570</v>
      </c>
      <c r="R1313">
        <v>209</v>
      </c>
      <c r="S1313">
        <v>237</v>
      </c>
      <c r="T1313">
        <v>407</v>
      </c>
      <c r="U1313">
        <v>410</v>
      </c>
      <c r="V1313">
        <v>500</v>
      </c>
      <c r="W1313">
        <v>2.79</v>
      </c>
    </row>
    <row r="1314" spans="1:23" x14ac:dyDescent="0.25">
      <c r="A1314" t="s">
        <v>39</v>
      </c>
      <c r="B1314">
        <v>2</v>
      </c>
      <c r="C1314">
        <v>25</v>
      </c>
      <c r="D1314">
        <v>2010</v>
      </c>
      <c r="E1314">
        <v>256.60000000000002</v>
      </c>
      <c r="F1314">
        <v>3.3</v>
      </c>
      <c r="G1314">
        <v>2.7</v>
      </c>
      <c r="H1314">
        <v>0.6</v>
      </c>
      <c r="I1314">
        <v>18</v>
      </c>
      <c r="J1314">
        <v>52.9</v>
      </c>
      <c r="K1314">
        <v>2068.5</v>
      </c>
      <c r="L1314">
        <v>410</v>
      </c>
      <c r="M1314">
        <v>376</v>
      </c>
      <c r="N1314">
        <v>563</v>
      </c>
      <c r="O1314">
        <v>187</v>
      </c>
      <c r="P1314">
        <v>330</v>
      </c>
      <c r="Q1314">
        <v>570</v>
      </c>
      <c r="R1314">
        <v>240</v>
      </c>
      <c r="S1314">
        <v>237</v>
      </c>
      <c r="T1314">
        <v>407</v>
      </c>
      <c r="U1314">
        <v>410</v>
      </c>
      <c r="V1314">
        <v>500</v>
      </c>
      <c r="W1314">
        <v>2.79</v>
      </c>
    </row>
    <row r="1315" spans="1:23" x14ac:dyDescent="0.25">
      <c r="A1315" t="s">
        <v>39</v>
      </c>
      <c r="B1315">
        <v>2</v>
      </c>
      <c r="C1315">
        <v>26</v>
      </c>
      <c r="D1315">
        <v>2011</v>
      </c>
      <c r="E1315">
        <v>259.60000000000002</v>
      </c>
      <c r="F1315">
        <v>3</v>
      </c>
      <c r="G1315">
        <v>2.7</v>
      </c>
      <c r="H1315">
        <v>0.3</v>
      </c>
      <c r="I1315">
        <v>10</v>
      </c>
      <c r="J1315">
        <v>48.7</v>
      </c>
      <c r="K1315">
        <v>2117.1999999999998</v>
      </c>
      <c r="L1315">
        <v>419</v>
      </c>
      <c r="M1315">
        <v>403</v>
      </c>
      <c r="N1315">
        <v>557</v>
      </c>
      <c r="O1315">
        <v>154</v>
      </c>
      <c r="P1315">
        <v>339</v>
      </c>
      <c r="Q1315">
        <v>557</v>
      </c>
      <c r="R1315">
        <v>218</v>
      </c>
      <c r="S1315">
        <v>237</v>
      </c>
      <c r="T1315">
        <v>407</v>
      </c>
      <c r="U1315">
        <v>410</v>
      </c>
      <c r="V1315">
        <v>500</v>
      </c>
      <c r="W1315">
        <v>2.79</v>
      </c>
    </row>
    <row r="1316" spans="1:23" x14ac:dyDescent="0.25">
      <c r="A1316" t="s">
        <v>39</v>
      </c>
      <c r="B1316">
        <v>2</v>
      </c>
      <c r="C1316">
        <v>27</v>
      </c>
      <c r="D1316">
        <v>2012</v>
      </c>
      <c r="E1316">
        <v>262</v>
      </c>
      <c r="F1316">
        <v>2.4</v>
      </c>
      <c r="G1316">
        <v>2.4</v>
      </c>
      <c r="H1316">
        <v>0</v>
      </c>
      <c r="I1316">
        <v>0</v>
      </c>
      <c r="J1316">
        <v>39.299999999999997</v>
      </c>
      <c r="K1316">
        <v>2156.5</v>
      </c>
      <c r="L1316">
        <v>375</v>
      </c>
      <c r="M1316">
        <v>375</v>
      </c>
      <c r="P1316">
        <v>318</v>
      </c>
      <c r="Q1316">
        <v>446</v>
      </c>
      <c r="R1316">
        <v>128</v>
      </c>
      <c r="S1316">
        <v>237</v>
      </c>
      <c r="T1316">
        <v>407</v>
      </c>
      <c r="U1316">
        <v>410</v>
      </c>
      <c r="V1316">
        <v>500</v>
      </c>
      <c r="W1316">
        <v>2.79</v>
      </c>
    </row>
    <row r="1317" spans="1:23" x14ac:dyDescent="0.25">
      <c r="A1317" t="s">
        <v>39</v>
      </c>
      <c r="B1317">
        <v>3</v>
      </c>
      <c r="C1317">
        <v>5</v>
      </c>
      <c r="D1317">
        <v>1990</v>
      </c>
      <c r="E1317">
        <v>17.899999999999999</v>
      </c>
      <c r="F1317">
        <v>17.899999999999999</v>
      </c>
      <c r="G1317">
        <v>11.1</v>
      </c>
      <c r="H1317">
        <v>1.8</v>
      </c>
      <c r="I1317">
        <v>10</v>
      </c>
      <c r="J1317">
        <v>10.1</v>
      </c>
      <c r="K1317">
        <v>10.1</v>
      </c>
      <c r="L1317">
        <v>383</v>
      </c>
      <c r="M1317">
        <v>358</v>
      </c>
      <c r="N1317">
        <v>535</v>
      </c>
      <c r="O1317">
        <v>177</v>
      </c>
      <c r="P1317">
        <v>142</v>
      </c>
      <c r="Q1317">
        <v>554</v>
      </c>
      <c r="R1317">
        <v>412</v>
      </c>
      <c r="S1317">
        <v>245.7</v>
      </c>
      <c r="T1317">
        <v>415</v>
      </c>
      <c r="U1317">
        <v>411</v>
      </c>
      <c r="V1317">
        <v>500</v>
      </c>
      <c r="W1317">
        <v>2.79</v>
      </c>
    </row>
    <row r="1318" spans="1:23" x14ac:dyDescent="0.25">
      <c r="A1318" t="s">
        <v>39</v>
      </c>
      <c r="B1318">
        <v>3</v>
      </c>
      <c r="C1318">
        <v>6</v>
      </c>
      <c r="D1318">
        <v>1991</v>
      </c>
      <c r="E1318">
        <v>38.6</v>
      </c>
      <c r="F1318">
        <v>20.7</v>
      </c>
      <c r="G1318">
        <v>19.5</v>
      </c>
      <c r="H1318">
        <v>1.2</v>
      </c>
      <c r="I1318">
        <v>5</v>
      </c>
      <c r="J1318">
        <v>36.700000000000003</v>
      </c>
      <c r="K1318">
        <v>46.8</v>
      </c>
      <c r="L1318">
        <v>383</v>
      </c>
      <c r="M1318">
        <v>376</v>
      </c>
      <c r="N1318">
        <v>505</v>
      </c>
      <c r="O1318">
        <v>129</v>
      </c>
      <c r="P1318">
        <v>304</v>
      </c>
      <c r="Q1318">
        <v>519</v>
      </c>
      <c r="R1318">
        <v>215</v>
      </c>
      <c r="S1318">
        <v>245.7</v>
      </c>
      <c r="T1318">
        <v>415</v>
      </c>
      <c r="U1318">
        <v>411</v>
      </c>
      <c r="V1318">
        <v>500</v>
      </c>
      <c r="W1318">
        <v>2.79</v>
      </c>
    </row>
    <row r="1319" spans="1:23" x14ac:dyDescent="0.25">
      <c r="A1319" t="s">
        <v>39</v>
      </c>
      <c r="B1319">
        <v>3</v>
      </c>
      <c r="C1319">
        <v>7</v>
      </c>
      <c r="D1319">
        <v>1992</v>
      </c>
      <c r="E1319">
        <v>59.9</v>
      </c>
      <c r="F1319">
        <v>21.3</v>
      </c>
      <c r="G1319">
        <v>19.2</v>
      </c>
      <c r="H1319">
        <v>2.1</v>
      </c>
      <c r="I1319">
        <v>9</v>
      </c>
      <c r="J1319">
        <v>65.900000000000006</v>
      </c>
      <c r="K1319">
        <v>112.7</v>
      </c>
      <c r="L1319">
        <v>389</v>
      </c>
      <c r="M1319">
        <v>373</v>
      </c>
      <c r="N1319">
        <v>535</v>
      </c>
      <c r="O1319">
        <v>162</v>
      </c>
      <c r="P1319">
        <v>314</v>
      </c>
      <c r="Q1319">
        <v>557</v>
      </c>
      <c r="R1319">
        <v>243</v>
      </c>
      <c r="S1319">
        <v>245.7</v>
      </c>
      <c r="T1319">
        <v>415</v>
      </c>
      <c r="U1319">
        <v>411</v>
      </c>
      <c r="V1319">
        <v>500</v>
      </c>
      <c r="W1319">
        <v>2.79</v>
      </c>
    </row>
    <row r="1320" spans="1:23" x14ac:dyDescent="0.25">
      <c r="A1320" t="s">
        <v>39</v>
      </c>
      <c r="B1320">
        <v>3</v>
      </c>
      <c r="C1320">
        <v>8</v>
      </c>
      <c r="D1320">
        <v>1993</v>
      </c>
      <c r="E1320">
        <v>79.400000000000006</v>
      </c>
      <c r="F1320">
        <v>19.5</v>
      </c>
      <c r="G1320">
        <v>17.7</v>
      </c>
      <c r="H1320">
        <v>1.8</v>
      </c>
      <c r="I1320">
        <v>9</v>
      </c>
      <c r="J1320">
        <v>85.3</v>
      </c>
      <c r="K1320">
        <v>198.1</v>
      </c>
      <c r="L1320">
        <v>406</v>
      </c>
      <c r="M1320">
        <v>395</v>
      </c>
      <c r="N1320">
        <v>516</v>
      </c>
      <c r="O1320">
        <v>121</v>
      </c>
      <c r="P1320">
        <v>336</v>
      </c>
      <c r="Q1320">
        <v>543</v>
      </c>
      <c r="R1320">
        <v>207</v>
      </c>
      <c r="S1320">
        <v>245.7</v>
      </c>
      <c r="T1320">
        <v>415</v>
      </c>
      <c r="U1320">
        <v>411</v>
      </c>
      <c r="V1320">
        <v>500</v>
      </c>
      <c r="W1320">
        <v>2.79</v>
      </c>
    </row>
    <row r="1321" spans="1:23" x14ac:dyDescent="0.25">
      <c r="A1321" t="s">
        <v>39</v>
      </c>
      <c r="B1321">
        <v>3</v>
      </c>
      <c r="C1321">
        <v>9</v>
      </c>
      <c r="D1321">
        <v>1994</v>
      </c>
      <c r="E1321">
        <v>102.2</v>
      </c>
      <c r="F1321">
        <v>22.8</v>
      </c>
      <c r="G1321">
        <v>21.9</v>
      </c>
      <c r="H1321">
        <v>0.9</v>
      </c>
      <c r="I1321">
        <v>3</v>
      </c>
      <c r="J1321">
        <v>130.1</v>
      </c>
      <c r="K1321">
        <v>328.1</v>
      </c>
      <c r="L1321">
        <v>400</v>
      </c>
      <c r="M1321">
        <v>394</v>
      </c>
      <c r="N1321">
        <v>530</v>
      </c>
      <c r="O1321">
        <v>136</v>
      </c>
      <c r="P1321">
        <v>340</v>
      </c>
      <c r="Q1321">
        <v>546</v>
      </c>
      <c r="R1321">
        <v>206</v>
      </c>
      <c r="S1321">
        <v>245.7</v>
      </c>
      <c r="T1321">
        <v>415</v>
      </c>
      <c r="U1321">
        <v>411</v>
      </c>
      <c r="V1321">
        <v>500</v>
      </c>
      <c r="W1321">
        <v>2.79</v>
      </c>
    </row>
    <row r="1322" spans="1:23" x14ac:dyDescent="0.25">
      <c r="A1322" t="s">
        <v>39</v>
      </c>
      <c r="B1322">
        <v>3</v>
      </c>
      <c r="C1322">
        <v>10</v>
      </c>
      <c r="D1322">
        <v>1995</v>
      </c>
      <c r="E1322">
        <v>120.8</v>
      </c>
      <c r="F1322">
        <v>18.600000000000001</v>
      </c>
      <c r="G1322">
        <v>17.7</v>
      </c>
      <c r="H1322">
        <v>0.9</v>
      </c>
      <c r="I1322">
        <v>4</v>
      </c>
      <c r="J1322">
        <v>130.30000000000001</v>
      </c>
      <c r="K1322">
        <v>458.4</v>
      </c>
      <c r="L1322">
        <v>394</v>
      </c>
      <c r="M1322">
        <v>388</v>
      </c>
      <c r="N1322">
        <v>525</v>
      </c>
      <c r="O1322">
        <v>137</v>
      </c>
      <c r="P1322">
        <v>318</v>
      </c>
      <c r="Q1322">
        <v>556</v>
      </c>
      <c r="R1322">
        <v>238</v>
      </c>
      <c r="S1322">
        <v>245.7</v>
      </c>
      <c r="T1322">
        <v>415</v>
      </c>
      <c r="U1322">
        <v>411</v>
      </c>
      <c r="V1322">
        <v>500</v>
      </c>
      <c r="W1322">
        <v>2.79</v>
      </c>
    </row>
    <row r="1323" spans="1:23" x14ac:dyDescent="0.25">
      <c r="A1323" t="s">
        <v>39</v>
      </c>
      <c r="B1323">
        <v>3</v>
      </c>
      <c r="C1323">
        <v>11</v>
      </c>
      <c r="D1323">
        <v>1996</v>
      </c>
      <c r="E1323">
        <v>139.4</v>
      </c>
      <c r="F1323">
        <v>18.600000000000001</v>
      </c>
      <c r="G1323">
        <v>16.5</v>
      </c>
      <c r="H1323">
        <v>2.1</v>
      </c>
      <c r="I1323">
        <v>11</v>
      </c>
      <c r="J1323">
        <v>152</v>
      </c>
      <c r="K1323">
        <v>610.5</v>
      </c>
      <c r="L1323">
        <v>395</v>
      </c>
      <c r="M1323">
        <v>378</v>
      </c>
      <c r="N1323">
        <v>526</v>
      </c>
      <c r="O1323">
        <v>148</v>
      </c>
      <c r="P1323">
        <v>311</v>
      </c>
      <c r="Q1323">
        <v>551</v>
      </c>
      <c r="R1323">
        <v>240</v>
      </c>
      <c r="S1323">
        <v>245.7</v>
      </c>
      <c r="T1323">
        <v>415</v>
      </c>
      <c r="U1323">
        <v>411</v>
      </c>
      <c r="V1323">
        <v>500</v>
      </c>
      <c r="W1323">
        <v>2.79</v>
      </c>
    </row>
    <row r="1324" spans="1:23" x14ac:dyDescent="0.25">
      <c r="A1324" t="s">
        <v>39</v>
      </c>
      <c r="B1324">
        <v>3</v>
      </c>
      <c r="C1324">
        <v>12</v>
      </c>
      <c r="D1324">
        <v>1997</v>
      </c>
      <c r="E1324">
        <v>155.30000000000001</v>
      </c>
      <c r="F1324">
        <v>15.9</v>
      </c>
      <c r="G1324">
        <v>14.4</v>
      </c>
      <c r="H1324">
        <v>1.5</v>
      </c>
      <c r="I1324">
        <v>9</v>
      </c>
      <c r="J1324">
        <v>147.19999999999999</v>
      </c>
      <c r="K1324">
        <v>757.7</v>
      </c>
      <c r="L1324">
        <v>409</v>
      </c>
      <c r="M1324">
        <v>393</v>
      </c>
      <c r="N1324">
        <v>556</v>
      </c>
      <c r="O1324">
        <v>163</v>
      </c>
      <c r="P1324">
        <v>346</v>
      </c>
      <c r="Q1324">
        <v>570</v>
      </c>
      <c r="R1324">
        <v>224</v>
      </c>
      <c r="S1324">
        <v>245.7</v>
      </c>
      <c r="T1324">
        <v>415</v>
      </c>
      <c r="U1324">
        <v>411</v>
      </c>
      <c r="V1324">
        <v>500</v>
      </c>
      <c r="W1324">
        <v>2.79</v>
      </c>
    </row>
    <row r="1325" spans="1:23" x14ac:dyDescent="0.25">
      <c r="A1325" t="s">
        <v>39</v>
      </c>
      <c r="B1325">
        <v>3</v>
      </c>
      <c r="C1325">
        <v>13</v>
      </c>
      <c r="D1325">
        <v>1998</v>
      </c>
      <c r="E1325">
        <v>167.9</v>
      </c>
      <c r="F1325">
        <v>12.6</v>
      </c>
      <c r="G1325">
        <v>11.1</v>
      </c>
      <c r="H1325">
        <v>1.5</v>
      </c>
      <c r="I1325">
        <v>11</v>
      </c>
      <c r="J1325">
        <v>127.9</v>
      </c>
      <c r="K1325">
        <v>885.6</v>
      </c>
      <c r="L1325">
        <v>436</v>
      </c>
      <c r="M1325">
        <v>422</v>
      </c>
      <c r="N1325">
        <v>543</v>
      </c>
      <c r="O1325">
        <v>121</v>
      </c>
      <c r="P1325">
        <v>370</v>
      </c>
      <c r="Q1325">
        <v>590</v>
      </c>
      <c r="R1325">
        <v>220</v>
      </c>
      <c r="S1325">
        <v>245.7</v>
      </c>
      <c r="T1325">
        <v>415</v>
      </c>
      <c r="U1325">
        <v>411</v>
      </c>
      <c r="V1325">
        <v>500</v>
      </c>
      <c r="W1325">
        <v>2.79</v>
      </c>
    </row>
    <row r="1326" spans="1:23" x14ac:dyDescent="0.25">
      <c r="A1326" t="s">
        <v>39</v>
      </c>
      <c r="B1326">
        <v>3</v>
      </c>
      <c r="C1326">
        <v>14</v>
      </c>
      <c r="D1326">
        <v>1999</v>
      </c>
      <c r="E1326">
        <v>183.8</v>
      </c>
      <c r="F1326">
        <v>15.9</v>
      </c>
      <c r="G1326">
        <v>15.6</v>
      </c>
      <c r="H1326">
        <v>0.3</v>
      </c>
      <c r="I1326">
        <v>1</v>
      </c>
      <c r="J1326">
        <v>175.7</v>
      </c>
      <c r="K1326">
        <v>1061.3</v>
      </c>
      <c r="L1326">
        <v>395</v>
      </c>
      <c r="M1326">
        <v>392</v>
      </c>
      <c r="N1326">
        <v>543</v>
      </c>
      <c r="O1326">
        <v>151</v>
      </c>
      <c r="P1326">
        <v>349</v>
      </c>
      <c r="Q1326">
        <v>543</v>
      </c>
      <c r="R1326">
        <v>194</v>
      </c>
      <c r="S1326">
        <v>245.7</v>
      </c>
      <c r="T1326">
        <v>415</v>
      </c>
      <c r="U1326">
        <v>411</v>
      </c>
      <c r="V1326">
        <v>500</v>
      </c>
      <c r="W1326">
        <v>2.79</v>
      </c>
    </row>
    <row r="1327" spans="1:23" x14ac:dyDescent="0.25">
      <c r="A1327" t="s">
        <v>39</v>
      </c>
      <c r="B1327">
        <v>3</v>
      </c>
      <c r="C1327">
        <v>15</v>
      </c>
      <c r="D1327">
        <v>2000</v>
      </c>
      <c r="E1327">
        <v>192.5</v>
      </c>
      <c r="F1327">
        <v>8.6999999999999993</v>
      </c>
      <c r="G1327">
        <v>7.5</v>
      </c>
      <c r="H1327">
        <v>1.2</v>
      </c>
      <c r="I1327">
        <v>13</v>
      </c>
      <c r="J1327">
        <v>102.8</v>
      </c>
      <c r="K1327">
        <v>1164.2</v>
      </c>
      <c r="L1327">
        <v>413</v>
      </c>
      <c r="M1327">
        <v>392</v>
      </c>
      <c r="N1327">
        <v>544</v>
      </c>
      <c r="O1327">
        <v>152</v>
      </c>
      <c r="P1327">
        <v>341</v>
      </c>
      <c r="Q1327">
        <v>580</v>
      </c>
      <c r="R1327">
        <v>239</v>
      </c>
      <c r="S1327">
        <v>245.7</v>
      </c>
      <c r="T1327">
        <v>415</v>
      </c>
      <c r="U1327">
        <v>411</v>
      </c>
      <c r="V1327">
        <v>500</v>
      </c>
      <c r="W1327">
        <v>2.79</v>
      </c>
    </row>
    <row r="1328" spans="1:23" x14ac:dyDescent="0.25">
      <c r="A1328" t="s">
        <v>39</v>
      </c>
      <c r="B1328">
        <v>3</v>
      </c>
      <c r="C1328">
        <v>16</v>
      </c>
      <c r="D1328">
        <v>2001</v>
      </c>
      <c r="E1328">
        <v>203.3</v>
      </c>
      <c r="F1328">
        <v>10.8</v>
      </c>
      <c r="G1328">
        <v>8.6999999999999993</v>
      </c>
      <c r="H1328">
        <v>2.1</v>
      </c>
      <c r="I1328">
        <v>19</v>
      </c>
      <c r="J1328">
        <v>134.30000000000001</v>
      </c>
      <c r="K1328">
        <v>1298.4000000000001</v>
      </c>
      <c r="L1328">
        <v>428</v>
      </c>
      <c r="M1328">
        <v>399</v>
      </c>
      <c r="N1328">
        <v>547</v>
      </c>
      <c r="O1328">
        <v>148</v>
      </c>
      <c r="P1328">
        <v>338</v>
      </c>
      <c r="Q1328">
        <v>576</v>
      </c>
      <c r="R1328">
        <v>238</v>
      </c>
      <c r="S1328">
        <v>245.7</v>
      </c>
      <c r="T1328">
        <v>415</v>
      </c>
      <c r="U1328">
        <v>411</v>
      </c>
      <c r="V1328">
        <v>500</v>
      </c>
      <c r="W1328">
        <v>2.79</v>
      </c>
    </row>
    <row r="1329" spans="1:23" x14ac:dyDescent="0.25">
      <c r="A1329" t="s">
        <v>39</v>
      </c>
      <c r="B1329">
        <v>3</v>
      </c>
      <c r="C1329">
        <v>17</v>
      </c>
      <c r="D1329">
        <v>2002</v>
      </c>
      <c r="E1329">
        <v>212</v>
      </c>
      <c r="F1329">
        <v>8.6999999999999993</v>
      </c>
      <c r="G1329">
        <v>7.5</v>
      </c>
      <c r="H1329">
        <v>1.2</v>
      </c>
      <c r="I1329">
        <v>13</v>
      </c>
      <c r="J1329">
        <v>113.5</v>
      </c>
      <c r="K1329">
        <v>1412</v>
      </c>
      <c r="L1329">
        <v>408</v>
      </c>
      <c r="M1329">
        <v>387</v>
      </c>
      <c r="N1329">
        <v>542</v>
      </c>
      <c r="O1329">
        <v>155</v>
      </c>
      <c r="P1329">
        <v>324</v>
      </c>
      <c r="Q1329">
        <v>584</v>
      </c>
      <c r="R1329">
        <v>260</v>
      </c>
      <c r="S1329">
        <v>245.7</v>
      </c>
      <c r="T1329">
        <v>415</v>
      </c>
      <c r="U1329">
        <v>411</v>
      </c>
      <c r="V1329">
        <v>500</v>
      </c>
      <c r="W1329">
        <v>2.79</v>
      </c>
    </row>
    <row r="1330" spans="1:23" x14ac:dyDescent="0.25">
      <c r="A1330" t="s">
        <v>39</v>
      </c>
      <c r="B1330">
        <v>3</v>
      </c>
      <c r="C1330">
        <v>18</v>
      </c>
      <c r="D1330">
        <v>2003</v>
      </c>
      <c r="E1330">
        <v>220.4</v>
      </c>
      <c r="F1330">
        <v>8.4</v>
      </c>
      <c r="G1330">
        <v>7.8</v>
      </c>
      <c r="H1330">
        <v>0.6</v>
      </c>
      <c r="I1330">
        <v>7</v>
      </c>
      <c r="J1330">
        <v>114.1</v>
      </c>
      <c r="K1330">
        <v>1526.1</v>
      </c>
      <c r="L1330">
        <v>400</v>
      </c>
      <c r="M1330">
        <v>390</v>
      </c>
      <c r="N1330">
        <v>527</v>
      </c>
      <c r="O1330">
        <v>137</v>
      </c>
      <c r="P1330">
        <v>348</v>
      </c>
      <c r="Q1330">
        <v>529</v>
      </c>
      <c r="R1330">
        <v>181</v>
      </c>
      <c r="S1330">
        <v>245.7</v>
      </c>
      <c r="T1330">
        <v>415</v>
      </c>
      <c r="U1330">
        <v>411</v>
      </c>
      <c r="V1330">
        <v>500</v>
      </c>
      <c r="W1330">
        <v>2.79</v>
      </c>
    </row>
    <row r="1331" spans="1:23" x14ac:dyDescent="0.25">
      <c r="A1331" t="s">
        <v>39</v>
      </c>
      <c r="B1331">
        <v>3</v>
      </c>
      <c r="C1331">
        <v>19</v>
      </c>
      <c r="D1331">
        <v>2004</v>
      </c>
      <c r="E1331">
        <v>226.4</v>
      </c>
      <c r="F1331">
        <v>6</v>
      </c>
      <c r="G1331">
        <v>4.8</v>
      </c>
      <c r="H1331">
        <v>1.2</v>
      </c>
      <c r="I1331">
        <v>20</v>
      </c>
      <c r="J1331">
        <v>84.2</v>
      </c>
      <c r="K1331">
        <v>1610.3</v>
      </c>
      <c r="L1331">
        <v>415</v>
      </c>
      <c r="M1331">
        <v>386</v>
      </c>
      <c r="N1331">
        <v>532</v>
      </c>
      <c r="O1331">
        <v>146</v>
      </c>
      <c r="P1331">
        <v>333</v>
      </c>
      <c r="Q1331">
        <v>574</v>
      </c>
      <c r="R1331">
        <v>241</v>
      </c>
      <c r="S1331">
        <v>245.7</v>
      </c>
      <c r="T1331">
        <v>415</v>
      </c>
      <c r="U1331">
        <v>411</v>
      </c>
      <c r="V1331">
        <v>500</v>
      </c>
      <c r="W1331">
        <v>2.79</v>
      </c>
    </row>
    <row r="1332" spans="1:23" x14ac:dyDescent="0.25">
      <c r="A1332" t="s">
        <v>39</v>
      </c>
      <c r="B1332">
        <v>3</v>
      </c>
      <c r="C1332">
        <v>20</v>
      </c>
      <c r="D1332">
        <v>2005</v>
      </c>
      <c r="E1332">
        <v>233</v>
      </c>
      <c r="F1332">
        <v>6.6</v>
      </c>
      <c r="G1332">
        <v>5.4</v>
      </c>
      <c r="H1332">
        <v>1.2</v>
      </c>
      <c r="I1332">
        <v>18</v>
      </c>
      <c r="J1332">
        <v>95.3</v>
      </c>
      <c r="K1332">
        <v>1705.5</v>
      </c>
      <c r="L1332">
        <v>420</v>
      </c>
      <c r="M1332">
        <v>398</v>
      </c>
      <c r="N1332">
        <v>520</v>
      </c>
      <c r="O1332">
        <v>122</v>
      </c>
      <c r="P1332">
        <v>342</v>
      </c>
      <c r="Q1332">
        <v>549</v>
      </c>
      <c r="R1332">
        <v>207</v>
      </c>
      <c r="S1332">
        <v>245.7</v>
      </c>
      <c r="T1332">
        <v>415</v>
      </c>
      <c r="U1332">
        <v>411</v>
      </c>
      <c r="V1332">
        <v>500</v>
      </c>
      <c r="W1332">
        <v>2.79</v>
      </c>
    </row>
    <row r="1333" spans="1:23" x14ac:dyDescent="0.25">
      <c r="A1333" t="s">
        <v>39</v>
      </c>
      <c r="B1333">
        <v>3</v>
      </c>
      <c r="C1333">
        <v>21</v>
      </c>
      <c r="D1333">
        <v>2006</v>
      </c>
      <c r="E1333">
        <v>236.6</v>
      </c>
      <c r="F1333">
        <v>3.6</v>
      </c>
      <c r="G1333">
        <v>3</v>
      </c>
      <c r="H1333">
        <v>0.6</v>
      </c>
      <c r="I1333">
        <v>16</v>
      </c>
      <c r="J1333">
        <v>53.1</v>
      </c>
      <c r="K1333">
        <v>1758.6</v>
      </c>
      <c r="L1333">
        <v>418</v>
      </c>
      <c r="M1333">
        <v>401</v>
      </c>
      <c r="N1333">
        <v>504</v>
      </c>
      <c r="O1333">
        <v>103</v>
      </c>
      <c r="P1333">
        <v>326</v>
      </c>
      <c r="Q1333">
        <v>506</v>
      </c>
      <c r="R1333">
        <v>180</v>
      </c>
      <c r="S1333">
        <v>245.7</v>
      </c>
      <c r="T1333">
        <v>415</v>
      </c>
      <c r="U1333">
        <v>411</v>
      </c>
      <c r="V1333">
        <v>500</v>
      </c>
      <c r="W1333">
        <v>2.79</v>
      </c>
    </row>
    <row r="1334" spans="1:23" x14ac:dyDescent="0.25">
      <c r="A1334" t="s">
        <v>39</v>
      </c>
      <c r="B1334">
        <v>3</v>
      </c>
      <c r="C1334">
        <v>22</v>
      </c>
      <c r="D1334">
        <v>2007</v>
      </c>
      <c r="E1334">
        <v>239.3</v>
      </c>
      <c r="F1334">
        <v>2.7</v>
      </c>
      <c r="G1334">
        <v>2.1</v>
      </c>
      <c r="H1334">
        <v>0.6</v>
      </c>
      <c r="I1334">
        <v>22</v>
      </c>
      <c r="J1334">
        <v>40.4</v>
      </c>
      <c r="K1334">
        <v>1799</v>
      </c>
      <c r="L1334">
        <v>453</v>
      </c>
      <c r="M1334">
        <v>435</v>
      </c>
      <c r="N1334">
        <v>518</v>
      </c>
      <c r="O1334">
        <v>83</v>
      </c>
      <c r="P1334">
        <v>373</v>
      </c>
      <c r="Q1334">
        <v>534</v>
      </c>
      <c r="R1334">
        <v>161</v>
      </c>
      <c r="S1334">
        <v>245.7</v>
      </c>
      <c r="T1334">
        <v>415</v>
      </c>
      <c r="U1334">
        <v>411</v>
      </c>
      <c r="V1334">
        <v>500</v>
      </c>
      <c r="W1334">
        <v>2.79</v>
      </c>
    </row>
    <row r="1335" spans="1:23" x14ac:dyDescent="0.25">
      <c r="A1335" t="s">
        <v>39</v>
      </c>
      <c r="B1335">
        <v>3</v>
      </c>
      <c r="C1335">
        <v>23</v>
      </c>
      <c r="D1335">
        <v>2008</v>
      </c>
      <c r="E1335">
        <v>242.3</v>
      </c>
      <c r="F1335">
        <v>3</v>
      </c>
      <c r="G1335">
        <v>2.7</v>
      </c>
      <c r="H1335">
        <v>0.3</v>
      </c>
      <c r="I1335">
        <v>10</v>
      </c>
      <c r="J1335">
        <v>45.4</v>
      </c>
      <c r="K1335">
        <v>1844.4</v>
      </c>
      <c r="L1335">
        <v>432</v>
      </c>
      <c r="M1335">
        <v>417</v>
      </c>
      <c r="N1335">
        <v>570</v>
      </c>
      <c r="O1335">
        <v>153</v>
      </c>
      <c r="P1335">
        <v>357</v>
      </c>
      <c r="Q1335">
        <v>570</v>
      </c>
      <c r="R1335">
        <v>213</v>
      </c>
      <c r="S1335">
        <v>245.7</v>
      </c>
      <c r="T1335">
        <v>415</v>
      </c>
      <c r="U1335">
        <v>411</v>
      </c>
      <c r="V1335">
        <v>500</v>
      </c>
      <c r="W1335">
        <v>2.79</v>
      </c>
    </row>
    <row r="1336" spans="1:23" x14ac:dyDescent="0.25">
      <c r="A1336" t="s">
        <v>39</v>
      </c>
      <c r="B1336">
        <v>3</v>
      </c>
      <c r="C1336">
        <v>24</v>
      </c>
      <c r="D1336">
        <v>2009</v>
      </c>
      <c r="E1336">
        <v>244.7</v>
      </c>
      <c r="F1336">
        <v>2.4</v>
      </c>
      <c r="G1336">
        <v>1.5</v>
      </c>
      <c r="H1336">
        <v>0.9</v>
      </c>
      <c r="I1336">
        <v>37</v>
      </c>
      <c r="J1336">
        <v>36.700000000000003</v>
      </c>
      <c r="K1336">
        <v>1881.1</v>
      </c>
      <c r="L1336">
        <v>452</v>
      </c>
      <c r="M1336">
        <v>396</v>
      </c>
      <c r="N1336">
        <v>545</v>
      </c>
      <c r="O1336">
        <v>149</v>
      </c>
      <c r="P1336">
        <v>336</v>
      </c>
      <c r="Q1336">
        <v>581</v>
      </c>
      <c r="R1336">
        <v>245</v>
      </c>
      <c r="S1336">
        <v>245.7</v>
      </c>
      <c r="T1336">
        <v>415</v>
      </c>
      <c r="U1336">
        <v>411</v>
      </c>
      <c r="V1336">
        <v>500</v>
      </c>
      <c r="W1336">
        <v>2.79</v>
      </c>
    </row>
    <row r="1337" spans="1:23" x14ac:dyDescent="0.25">
      <c r="A1337" t="s">
        <v>39</v>
      </c>
      <c r="B1337">
        <v>3</v>
      </c>
      <c r="C1337">
        <v>25</v>
      </c>
      <c r="D1337">
        <v>2010</v>
      </c>
      <c r="E1337">
        <v>247.4</v>
      </c>
      <c r="F1337">
        <v>2.7</v>
      </c>
      <c r="G1337">
        <v>2.1</v>
      </c>
      <c r="H1337">
        <v>0.6</v>
      </c>
      <c r="I1337">
        <v>22</v>
      </c>
      <c r="J1337">
        <v>41.7</v>
      </c>
      <c r="K1337">
        <v>1922.9</v>
      </c>
      <c r="L1337">
        <v>442</v>
      </c>
      <c r="M1337">
        <v>413</v>
      </c>
      <c r="N1337">
        <v>542</v>
      </c>
      <c r="O1337">
        <v>129</v>
      </c>
      <c r="P1337">
        <v>364</v>
      </c>
      <c r="Q1337">
        <v>553</v>
      </c>
      <c r="R1337">
        <v>189</v>
      </c>
      <c r="S1337">
        <v>245.7</v>
      </c>
      <c r="T1337">
        <v>415</v>
      </c>
      <c r="U1337">
        <v>411</v>
      </c>
      <c r="V1337">
        <v>500</v>
      </c>
      <c r="W1337">
        <v>2.79</v>
      </c>
    </row>
    <row r="1338" spans="1:23" x14ac:dyDescent="0.25">
      <c r="A1338" t="s">
        <v>39</v>
      </c>
      <c r="B1338">
        <v>3</v>
      </c>
      <c r="C1338">
        <v>26</v>
      </c>
      <c r="D1338">
        <v>2011</v>
      </c>
      <c r="E1338">
        <v>249.5</v>
      </c>
      <c r="F1338">
        <v>2.1</v>
      </c>
      <c r="G1338">
        <v>1.5</v>
      </c>
      <c r="H1338">
        <v>0.6</v>
      </c>
      <c r="I1338">
        <v>28</v>
      </c>
      <c r="J1338">
        <v>32.799999999999997</v>
      </c>
      <c r="K1338">
        <v>1955.6</v>
      </c>
      <c r="L1338">
        <v>462</v>
      </c>
      <c r="M1338">
        <v>428</v>
      </c>
      <c r="N1338">
        <v>545</v>
      </c>
      <c r="O1338">
        <v>117</v>
      </c>
      <c r="P1338">
        <v>384</v>
      </c>
      <c r="Q1338">
        <v>578</v>
      </c>
      <c r="R1338">
        <v>194</v>
      </c>
      <c r="S1338">
        <v>245.7</v>
      </c>
      <c r="T1338">
        <v>415</v>
      </c>
      <c r="U1338">
        <v>411</v>
      </c>
      <c r="V1338">
        <v>500</v>
      </c>
      <c r="W1338">
        <v>2.79</v>
      </c>
    </row>
    <row r="1339" spans="1:23" x14ac:dyDescent="0.25">
      <c r="A1339" t="s">
        <v>39</v>
      </c>
      <c r="B1339">
        <v>3</v>
      </c>
      <c r="C1339">
        <v>27</v>
      </c>
      <c r="D1339">
        <v>2012</v>
      </c>
      <c r="E1339">
        <v>250.7</v>
      </c>
      <c r="F1339">
        <v>1.2</v>
      </c>
      <c r="G1339">
        <v>0.9</v>
      </c>
      <c r="H1339">
        <v>0.3</v>
      </c>
      <c r="I1339">
        <v>25</v>
      </c>
      <c r="J1339">
        <v>18.899999999999999</v>
      </c>
      <c r="K1339">
        <v>1974.5</v>
      </c>
      <c r="L1339">
        <v>431</v>
      </c>
      <c r="M1339">
        <v>400</v>
      </c>
      <c r="N1339">
        <v>526</v>
      </c>
      <c r="O1339">
        <v>126</v>
      </c>
      <c r="P1339">
        <v>358</v>
      </c>
      <c r="Q1339">
        <v>526</v>
      </c>
      <c r="R1339">
        <v>168</v>
      </c>
      <c r="S1339">
        <v>245.7</v>
      </c>
      <c r="T1339">
        <v>415</v>
      </c>
      <c r="U1339">
        <v>411</v>
      </c>
      <c r="V1339">
        <v>500</v>
      </c>
      <c r="W1339">
        <v>2.79</v>
      </c>
    </row>
    <row r="1340" spans="1:23" x14ac:dyDescent="0.25">
      <c r="A1340" t="s">
        <v>39</v>
      </c>
      <c r="B1340">
        <v>4</v>
      </c>
      <c r="C1340">
        <v>1</v>
      </c>
      <c r="D1340">
        <v>1987</v>
      </c>
      <c r="E1340">
        <v>3</v>
      </c>
      <c r="F1340">
        <v>3</v>
      </c>
      <c r="G1340">
        <v>3</v>
      </c>
      <c r="H1340">
        <v>0</v>
      </c>
      <c r="I1340">
        <v>0</v>
      </c>
      <c r="J1340">
        <v>0.3</v>
      </c>
      <c r="K1340">
        <v>0.3</v>
      </c>
      <c r="L1340">
        <v>312</v>
      </c>
      <c r="M1340">
        <v>312</v>
      </c>
      <c r="P1340">
        <v>178</v>
      </c>
      <c r="Q1340">
        <v>448</v>
      </c>
      <c r="R1340">
        <v>270</v>
      </c>
      <c r="S1340">
        <v>174</v>
      </c>
      <c r="T1340">
        <v>381</v>
      </c>
      <c r="U1340">
        <v>390</v>
      </c>
      <c r="V1340">
        <v>500</v>
      </c>
      <c r="W1340">
        <v>2.79</v>
      </c>
    </row>
    <row r="1341" spans="1:23" x14ac:dyDescent="0.25">
      <c r="A1341" t="s">
        <v>39</v>
      </c>
      <c r="B1341">
        <v>4</v>
      </c>
      <c r="C1341">
        <v>2</v>
      </c>
      <c r="D1341">
        <v>1988</v>
      </c>
      <c r="E1341">
        <v>16.8</v>
      </c>
      <c r="F1341">
        <v>13.8</v>
      </c>
      <c r="G1341">
        <v>13.8</v>
      </c>
      <c r="H1341">
        <v>0</v>
      </c>
      <c r="I1341">
        <v>0</v>
      </c>
      <c r="J1341">
        <v>8.6</v>
      </c>
      <c r="K1341">
        <v>8.9</v>
      </c>
      <c r="L1341">
        <v>347</v>
      </c>
      <c r="M1341">
        <v>347</v>
      </c>
      <c r="P1341">
        <v>282</v>
      </c>
      <c r="Q1341">
        <v>494</v>
      </c>
      <c r="R1341">
        <v>212</v>
      </c>
      <c r="S1341">
        <v>174</v>
      </c>
      <c r="T1341">
        <v>381</v>
      </c>
      <c r="U1341">
        <v>390</v>
      </c>
      <c r="V1341">
        <v>500</v>
      </c>
      <c r="W1341">
        <v>2.79</v>
      </c>
    </row>
    <row r="1342" spans="1:23" x14ac:dyDescent="0.25">
      <c r="A1342" t="s">
        <v>39</v>
      </c>
      <c r="B1342">
        <v>4</v>
      </c>
      <c r="C1342">
        <v>3</v>
      </c>
      <c r="D1342">
        <v>1989</v>
      </c>
      <c r="E1342">
        <v>35.700000000000003</v>
      </c>
      <c r="F1342">
        <v>18.899999999999999</v>
      </c>
      <c r="G1342">
        <v>17.399999999999999</v>
      </c>
      <c r="H1342">
        <v>1.5</v>
      </c>
      <c r="I1342">
        <v>7</v>
      </c>
      <c r="J1342">
        <v>31.2</v>
      </c>
      <c r="K1342">
        <v>40</v>
      </c>
      <c r="L1342">
        <v>359</v>
      </c>
      <c r="M1342">
        <v>347</v>
      </c>
      <c r="N1342">
        <v>507</v>
      </c>
      <c r="O1342">
        <v>160</v>
      </c>
      <c r="P1342">
        <v>268</v>
      </c>
      <c r="Q1342">
        <v>522</v>
      </c>
      <c r="R1342">
        <v>254</v>
      </c>
      <c r="S1342">
        <v>174</v>
      </c>
      <c r="T1342">
        <v>381</v>
      </c>
      <c r="U1342">
        <v>390</v>
      </c>
      <c r="V1342">
        <v>500</v>
      </c>
      <c r="W1342">
        <v>2.79</v>
      </c>
    </row>
    <row r="1343" spans="1:23" x14ac:dyDescent="0.25">
      <c r="A1343" t="s">
        <v>39</v>
      </c>
      <c r="B1343">
        <v>4</v>
      </c>
      <c r="C1343">
        <v>4</v>
      </c>
      <c r="D1343">
        <v>1990</v>
      </c>
      <c r="E1343">
        <v>53.4</v>
      </c>
      <c r="F1343">
        <v>17.7</v>
      </c>
      <c r="G1343">
        <v>17.100000000000001</v>
      </c>
      <c r="H1343">
        <v>0.6</v>
      </c>
      <c r="I1343">
        <v>3</v>
      </c>
      <c r="J1343">
        <v>49.5</v>
      </c>
      <c r="K1343">
        <v>89.6</v>
      </c>
      <c r="L1343">
        <v>359</v>
      </c>
      <c r="M1343">
        <v>354</v>
      </c>
      <c r="N1343">
        <v>516</v>
      </c>
      <c r="O1343">
        <v>162</v>
      </c>
      <c r="P1343">
        <v>293</v>
      </c>
      <c r="Q1343">
        <v>524</v>
      </c>
      <c r="R1343">
        <v>231</v>
      </c>
      <c r="S1343">
        <v>174</v>
      </c>
      <c r="T1343">
        <v>381</v>
      </c>
      <c r="U1343">
        <v>390</v>
      </c>
      <c r="V1343">
        <v>500</v>
      </c>
      <c r="W1343">
        <v>2.79</v>
      </c>
    </row>
    <row r="1344" spans="1:23" x14ac:dyDescent="0.25">
      <c r="A1344" t="s">
        <v>39</v>
      </c>
      <c r="B1344">
        <v>4</v>
      </c>
      <c r="C1344">
        <v>5</v>
      </c>
      <c r="D1344">
        <v>1991</v>
      </c>
      <c r="E1344">
        <v>69.3</v>
      </c>
      <c r="F1344">
        <v>15.9</v>
      </c>
      <c r="G1344">
        <v>13.2</v>
      </c>
      <c r="H1344">
        <v>2.7</v>
      </c>
      <c r="I1344">
        <v>16</v>
      </c>
      <c r="J1344">
        <v>61.3</v>
      </c>
      <c r="K1344">
        <v>150.9</v>
      </c>
      <c r="L1344">
        <v>378</v>
      </c>
      <c r="M1344">
        <v>347</v>
      </c>
      <c r="N1344">
        <v>529</v>
      </c>
      <c r="O1344">
        <v>182</v>
      </c>
      <c r="P1344">
        <v>295</v>
      </c>
      <c r="Q1344">
        <v>569</v>
      </c>
      <c r="R1344">
        <v>274</v>
      </c>
      <c r="S1344">
        <v>174</v>
      </c>
      <c r="T1344">
        <v>381</v>
      </c>
      <c r="U1344">
        <v>390</v>
      </c>
      <c r="V1344">
        <v>500</v>
      </c>
      <c r="W1344">
        <v>2.79</v>
      </c>
    </row>
    <row r="1345" spans="1:23" x14ac:dyDescent="0.25">
      <c r="A1345" t="s">
        <v>39</v>
      </c>
      <c r="B1345">
        <v>4</v>
      </c>
      <c r="C1345">
        <v>6</v>
      </c>
      <c r="D1345">
        <v>1992</v>
      </c>
      <c r="E1345">
        <v>87.9</v>
      </c>
      <c r="F1345">
        <v>18.600000000000001</v>
      </c>
      <c r="G1345">
        <v>15.9</v>
      </c>
      <c r="H1345">
        <v>2.7</v>
      </c>
      <c r="I1345">
        <v>14</v>
      </c>
      <c r="J1345">
        <v>91.9</v>
      </c>
      <c r="K1345">
        <v>242.7</v>
      </c>
      <c r="L1345">
        <v>426</v>
      </c>
      <c r="M1345">
        <v>410</v>
      </c>
      <c r="N1345">
        <v>521</v>
      </c>
      <c r="O1345">
        <v>111</v>
      </c>
      <c r="P1345">
        <v>364</v>
      </c>
      <c r="Q1345">
        <v>544</v>
      </c>
      <c r="R1345">
        <v>180</v>
      </c>
      <c r="S1345">
        <v>174</v>
      </c>
      <c r="T1345">
        <v>381</v>
      </c>
      <c r="U1345">
        <v>390</v>
      </c>
      <c r="V1345">
        <v>500</v>
      </c>
      <c r="W1345">
        <v>2.79</v>
      </c>
    </row>
    <row r="1346" spans="1:23" x14ac:dyDescent="0.25">
      <c r="A1346" t="s">
        <v>39</v>
      </c>
      <c r="B1346">
        <v>4</v>
      </c>
      <c r="C1346">
        <v>7</v>
      </c>
      <c r="D1346">
        <v>1993</v>
      </c>
      <c r="E1346">
        <v>103.5</v>
      </c>
      <c r="F1346">
        <v>15.6</v>
      </c>
      <c r="G1346">
        <v>15.6</v>
      </c>
      <c r="H1346">
        <v>0</v>
      </c>
      <c r="I1346">
        <v>0</v>
      </c>
      <c r="J1346">
        <v>93.8</v>
      </c>
      <c r="K1346">
        <v>336.5</v>
      </c>
      <c r="L1346">
        <v>376</v>
      </c>
      <c r="M1346">
        <v>376</v>
      </c>
      <c r="P1346">
        <v>310</v>
      </c>
      <c r="Q1346">
        <v>466</v>
      </c>
      <c r="R1346">
        <v>156</v>
      </c>
      <c r="S1346">
        <v>174</v>
      </c>
      <c r="T1346">
        <v>381</v>
      </c>
      <c r="U1346">
        <v>390</v>
      </c>
      <c r="V1346">
        <v>500</v>
      </c>
      <c r="W1346">
        <v>2.79</v>
      </c>
    </row>
    <row r="1347" spans="1:23" x14ac:dyDescent="0.25">
      <c r="A1347" t="s">
        <v>39</v>
      </c>
      <c r="B1347">
        <v>4</v>
      </c>
      <c r="C1347">
        <v>8</v>
      </c>
      <c r="D1347">
        <v>1994</v>
      </c>
      <c r="E1347">
        <v>108.6</v>
      </c>
      <c r="F1347">
        <v>5.0999999999999996</v>
      </c>
      <c r="G1347">
        <v>4.5</v>
      </c>
      <c r="H1347">
        <v>0.6</v>
      </c>
      <c r="I1347">
        <v>11</v>
      </c>
      <c r="J1347">
        <v>34</v>
      </c>
      <c r="K1347">
        <v>370.5</v>
      </c>
      <c r="L1347">
        <v>371</v>
      </c>
      <c r="M1347">
        <v>349</v>
      </c>
      <c r="N1347">
        <v>532</v>
      </c>
      <c r="O1347">
        <v>183</v>
      </c>
      <c r="P1347">
        <v>300</v>
      </c>
      <c r="Q1347">
        <v>556</v>
      </c>
      <c r="R1347">
        <v>256</v>
      </c>
      <c r="S1347">
        <v>174</v>
      </c>
      <c r="T1347">
        <v>381</v>
      </c>
      <c r="U1347">
        <v>390</v>
      </c>
      <c r="V1347">
        <v>500</v>
      </c>
      <c r="W1347">
        <v>2.79</v>
      </c>
    </row>
    <row r="1348" spans="1:23" x14ac:dyDescent="0.25">
      <c r="A1348" t="s">
        <v>39</v>
      </c>
      <c r="B1348">
        <v>4</v>
      </c>
      <c r="C1348">
        <v>9</v>
      </c>
      <c r="D1348">
        <v>1995</v>
      </c>
      <c r="E1348">
        <v>115.2</v>
      </c>
      <c r="F1348">
        <v>6.6</v>
      </c>
      <c r="G1348">
        <v>6.3</v>
      </c>
      <c r="H1348">
        <v>0.3</v>
      </c>
      <c r="I1348">
        <v>4</v>
      </c>
      <c r="J1348">
        <v>46.4</v>
      </c>
      <c r="K1348">
        <v>416.9</v>
      </c>
      <c r="L1348">
        <v>389</v>
      </c>
      <c r="M1348">
        <v>382</v>
      </c>
      <c r="N1348">
        <v>542</v>
      </c>
      <c r="O1348">
        <v>160</v>
      </c>
      <c r="P1348">
        <v>299</v>
      </c>
      <c r="Q1348">
        <v>542</v>
      </c>
      <c r="R1348">
        <v>243</v>
      </c>
      <c r="S1348">
        <v>174</v>
      </c>
      <c r="T1348">
        <v>381</v>
      </c>
      <c r="U1348">
        <v>390</v>
      </c>
      <c r="V1348">
        <v>500</v>
      </c>
      <c r="W1348">
        <v>2.79</v>
      </c>
    </row>
    <row r="1349" spans="1:23" x14ac:dyDescent="0.25">
      <c r="A1349" t="s">
        <v>39</v>
      </c>
      <c r="B1349">
        <v>4</v>
      </c>
      <c r="C1349">
        <v>10</v>
      </c>
      <c r="D1349">
        <v>1996</v>
      </c>
      <c r="E1349">
        <v>118.2</v>
      </c>
      <c r="F1349">
        <v>3</v>
      </c>
      <c r="G1349">
        <v>2.7</v>
      </c>
      <c r="H1349">
        <v>0.3</v>
      </c>
      <c r="I1349">
        <v>10</v>
      </c>
      <c r="J1349">
        <v>22</v>
      </c>
      <c r="K1349">
        <v>438.9</v>
      </c>
      <c r="L1349">
        <v>380</v>
      </c>
      <c r="M1349">
        <v>364</v>
      </c>
      <c r="N1349">
        <v>519</v>
      </c>
      <c r="O1349">
        <v>155</v>
      </c>
      <c r="P1349">
        <v>296</v>
      </c>
      <c r="Q1349">
        <v>519</v>
      </c>
      <c r="R1349">
        <v>223</v>
      </c>
      <c r="S1349">
        <v>174</v>
      </c>
      <c r="T1349">
        <v>381</v>
      </c>
      <c r="U1349">
        <v>390</v>
      </c>
      <c r="V1349">
        <v>500</v>
      </c>
      <c r="W1349">
        <v>2.79</v>
      </c>
    </row>
    <row r="1350" spans="1:23" x14ac:dyDescent="0.25">
      <c r="A1350" t="s">
        <v>39</v>
      </c>
      <c r="B1350">
        <v>4</v>
      </c>
      <c r="C1350">
        <v>11</v>
      </c>
      <c r="D1350">
        <v>1997</v>
      </c>
      <c r="E1350">
        <v>123.3</v>
      </c>
      <c r="F1350">
        <v>5.0999999999999996</v>
      </c>
      <c r="G1350">
        <v>4.8</v>
      </c>
      <c r="H1350">
        <v>0.3</v>
      </c>
      <c r="I1350">
        <v>5</v>
      </c>
      <c r="J1350">
        <v>38.700000000000003</v>
      </c>
      <c r="K1350">
        <v>477.6</v>
      </c>
      <c r="L1350">
        <v>387</v>
      </c>
      <c r="M1350">
        <v>378</v>
      </c>
      <c r="N1350">
        <v>530</v>
      </c>
      <c r="O1350">
        <v>152</v>
      </c>
      <c r="P1350">
        <v>292</v>
      </c>
      <c r="Q1350">
        <v>530</v>
      </c>
      <c r="R1350">
        <v>238</v>
      </c>
      <c r="S1350">
        <v>174</v>
      </c>
      <c r="T1350">
        <v>381</v>
      </c>
      <c r="U1350">
        <v>390</v>
      </c>
      <c r="V1350">
        <v>500</v>
      </c>
      <c r="W1350">
        <v>2.79</v>
      </c>
    </row>
    <row r="1351" spans="1:23" x14ac:dyDescent="0.25">
      <c r="A1351" t="s">
        <v>39</v>
      </c>
      <c r="B1351">
        <v>4</v>
      </c>
      <c r="C1351">
        <v>12</v>
      </c>
      <c r="D1351">
        <v>1998</v>
      </c>
      <c r="E1351">
        <v>127.5</v>
      </c>
      <c r="F1351">
        <v>4.2</v>
      </c>
      <c r="G1351">
        <v>3</v>
      </c>
      <c r="H1351">
        <v>1.2</v>
      </c>
      <c r="I1351">
        <v>28</v>
      </c>
      <c r="J1351">
        <v>33.1</v>
      </c>
      <c r="K1351">
        <v>510.7</v>
      </c>
      <c r="L1351">
        <v>399</v>
      </c>
      <c r="M1351">
        <v>348</v>
      </c>
      <c r="N1351">
        <v>526</v>
      </c>
      <c r="O1351">
        <v>178</v>
      </c>
      <c r="P1351">
        <v>288</v>
      </c>
      <c r="Q1351">
        <v>551</v>
      </c>
      <c r="R1351">
        <v>263</v>
      </c>
      <c r="S1351">
        <v>174</v>
      </c>
      <c r="T1351">
        <v>381</v>
      </c>
      <c r="U1351">
        <v>390</v>
      </c>
      <c r="V1351">
        <v>500</v>
      </c>
      <c r="W1351">
        <v>2.79</v>
      </c>
    </row>
    <row r="1352" spans="1:23" x14ac:dyDescent="0.25">
      <c r="A1352" t="s">
        <v>39</v>
      </c>
      <c r="B1352">
        <v>4</v>
      </c>
      <c r="C1352">
        <v>13</v>
      </c>
      <c r="D1352">
        <v>1999</v>
      </c>
      <c r="E1352">
        <v>133.19999999999999</v>
      </c>
      <c r="F1352">
        <v>5.7</v>
      </c>
      <c r="G1352">
        <v>5.7</v>
      </c>
      <c r="H1352">
        <v>0</v>
      </c>
      <c r="I1352">
        <v>0</v>
      </c>
      <c r="J1352">
        <v>46.7</v>
      </c>
      <c r="K1352">
        <v>557.4</v>
      </c>
      <c r="L1352">
        <v>386</v>
      </c>
      <c r="M1352">
        <v>386</v>
      </c>
      <c r="P1352">
        <v>313</v>
      </c>
      <c r="Q1352">
        <v>488</v>
      </c>
      <c r="R1352">
        <v>175</v>
      </c>
      <c r="S1352">
        <v>174</v>
      </c>
      <c r="T1352">
        <v>381</v>
      </c>
      <c r="U1352">
        <v>390</v>
      </c>
      <c r="V1352">
        <v>500</v>
      </c>
      <c r="W1352">
        <v>2.79</v>
      </c>
    </row>
    <row r="1353" spans="1:23" x14ac:dyDescent="0.25">
      <c r="A1353" t="s">
        <v>39</v>
      </c>
      <c r="B1353">
        <v>4</v>
      </c>
      <c r="C1353">
        <v>14</v>
      </c>
      <c r="D1353">
        <v>2000</v>
      </c>
      <c r="E1353">
        <v>138.9</v>
      </c>
      <c r="F1353">
        <v>5.7</v>
      </c>
      <c r="G1353">
        <v>5.4</v>
      </c>
      <c r="H1353">
        <v>0.3</v>
      </c>
      <c r="I1353">
        <v>5</v>
      </c>
      <c r="J1353">
        <v>48.7</v>
      </c>
      <c r="K1353">
        <v>606.1</v>
      </c>
      <c r="L1353">
        <v>376</v>
      </c>
      <c r="M1353">
        <v>368</v>
      </c>
      <c r="N1353">
        <v>515</v>
      </c>
      <c r="O1353">
        <v>147</v>
      </c>
      <c r="P1353">
        <v>288</v>
      </c>
      <c r="Q1353">
        <v>515</v>
      </c>
      <c r="R1353">
        <v>227</v>
      </c>
      <c r="S1353">
        <v>174</v>
      </c>
      <c r="T1353">
        <v>381</v>
      </c>
      <c r="U1353">
        <v>390</v>
      </c>
      <c r="V1353">
        <v>500</v>
      </c>
      <c r="W1353">
        <v>2.79</v>
      </c>
    </row>
    <row r="1354" spans="1:23" x14ac:dyDescent="0.25">
      <c r="A1354" t="s">
        <v>39</v>
      </c>
      <c r="B1354">
        <v>4</v>
      </c>
      <c r="C1354">
        <v>15</v>
      </c>
      <c r="D1354">
        <v>2001</v>
      </c>
      <c r="E1354">
        <v>144.9</v>
      </c>
      <c r="F1354">
        <v>6</v>
      </c>
      <c r="G1354">
        <v>5.0999999999999996</v>
      </c>
      <c r="H1354">
        <v>0.9</v>
      </c>
      <c r="I1354">
        <v>15</v>
      </c>
      <c r="J1354">
        <v>53.5</v>
      </c>
      <c r="K1354">
        <v>659.6</v>
      </c>
      <c r="L1354">
        <v>421</v>
      </c>
      <c r="M1354">
        <v>400</v>
      </c>
      <c r="N1354">
        <v>541</v>
      </c>
      <c r="O1354">
        <v>141</v>
      </c>
      <c r="P1354">
        <v>334</v>
      </c>
      <c r="Q1354">
        <v>555</v>
      </c>
      <c r="R1354">
        <v>221</v>
      </c>
      <c r="S1354">
        <v>174</v>
      </c>
      <c r="T1354">
        <v>381</v>
      </c>
      <c r="U1354">
        <v>390</v>
      </c>
      <c r="V1354">
        <v>500</v>
      </c>
      <c r="W1354">
        <v>2.79</v>
      </c>
    </row>
    <row r="1355" spans="1:23" x14ac:dyDescent="0.25">
      <c r="A1355" t="s">
        <v>39</v>
      </c>
      <c r="B1355">
        <v>4</v>
      </c>
      <c r="C1355">
        <v>16</v>
      </c>
      <c r="D1355">
        <v>2002</v>
      </c>
      <c r="E1355">
        <v>149.69999999999999</v>
      </c>
      <c r="F1355">
        <v>4.8</v>
      </c>
      <c r="G1355">
        <v>2.7</v>
      </c>
      <c r="H1355">
        <v>2.1</v>
      </c>
      <c r="I1355">
        <v>43</v>
      </c>
      <c r="J1355">
        <v>44.4</v>
      </c>
      <c r="K1355">
        <v>704</v>
      </c>
      <c r="L1355">
        <v>449</v>
      </c>
      <c r="M1355">
        <v>378</v>
      </c>
      <c r="N1355">
        <v>542</v>
      </c>
      <c r="O1355">
        <v>164</v>
      </c>
      <c r="P1355">
        <v>326</v>
      </c>
      <c r="Q1355">
        <v>575</v>
      </c>
      <c r="R1355">
        <v>249</v>
      </c>
      <c r="S1355">
        <v>174</v>
      </c>
      <c r="T1355">
        <v>381</v>
      </c>
      <c r="U1355">
        <v>390</v>
      </c>
      <c r="V1355">
        <v>500</v>
      </c>
      <c r="W1355">
        <v>2.79</v>
      </c>
    </row>
    <row r="1356" spans="1:23" x14ac:dyDescent="0.25">
      <c r="A1356" t="s">
        <v>39</v>
      </c>
      <c r="B1356">
        <v>4</v>
      </c>
      <c r="C1356">
        <v>17</v>
      </c>
      <c r="D1356">
        <v>2003</v>
      </c>
      <c r="E1356">
        <v>155.1</v>
      </c>
      <c r="F1356">
        <v>5.4</v>
      </c>
      <c r="G1356">
        <v>5.0999999999999996</v>
      </c>
      <c r="H1356">
        <v>0.3</v>
      </c>
      <c r="I1356">
        <v>5</v>
      </c>
      <c r="J1356">
        <v>51.7</v>
      </c>
      <c r="K1356">
        <v>755.7</v>
      </c>
      <c r="L1356">
        <v>399</v>
      </c>
      <c r="M1356">
        <v>392</v>
      </c>
      <c r="N1356">
        <v>517</v>
      </c>
      <c r="O1356">
        <v>125</v>
      </c>
      <c r="P1356">
        <v>340</v>
      </c>
      <c r="Q1356">
        <v>517</v>
      </c>
      <c r="R1356">
        <v>177</v>
      </c>
      <c r="S1356">
        <v>174</v>
      </c>
      <c r="T1356">
        <v>381</v>
      </c>
      <c r="U1356">
        <v>390</v>
      </c>
      <c r="V1356">
        <v>500</v>
      </c>
      <c r="W1356">
        <v>2.79</v>
      </c>
    </row>
    <row r="1357" spans="1:23" x14ac:dyDescent="0.25">
      <c r="A1357" t="s">
        <v>39</v>
      </c>
      <c r="B1357">
        <v>4</v>
      </c>
      <c r="C1357">
        <v>18</v>
      </c>
      <c r="D1357">
        <v>2004</v>
      </c>
      <c r="E1357">
        <v>158.4</v>
      </c>
      <c r="F1357">
        <v>3.3</v>
      </c>
      <c r="G1357">
        <v>3</v>
      </c>
      <c r="H1357">
        <v>0.3</v>
      </c>
      <c r="I1357">
        <v>9</v>
      </c>
      <c r="J1357">
        <v>32.5</v>
      </c>
      <c r="K1357">
        <v>788.2</v>
      </c>
      <c r="L1357">
        <v>409</v>
      </c>
      <c r="M1357">
        <v>400</v>
      </c>
      <c r="N1357">
        <v>502</v>
      </c>
      <c r="O1357">
        <v>102</v>
      </c>
      <c r="P1357">
        <v>322</v>
      </c>
      <c r="Q1357">
        <v>502</v>
      </c>
      <c r="R1357">
        <v>180</v>
      </c>
      <c r="S1357">
        <v>174</v>
      </c>
      <c r="T1357">
        <v>381</v>
      </c>
      <c r="U1357">
        <v>390</v>
      </c>
      <c r="V1357">
        <v>500</v>
      </c>
      <c r="W1357">
        <v>2.79</v>
      </c>
    </row>
    <row r="1358" spans="1:23" x14ac:dyDescent="0.25">
      <c r="A1358" t="s">
        <v>39</v>
      </c>
      <c r="B1358">
        <v>4</v>
      </c>
      <c r="C1358">
        <v>19</v>
      </c>
      <c r="D1358">
        <v>2005</v>
      </c>
      <c r="E1358">
        <v>162.6</v>
      </c>
      <c r="F1358">
        <v>4.2</v>
      </c>
      <c r="G1358">
        <v>4.2</v>
      </c>
      <c r="H1358">
        <v>0</v>
      </c>
      <c r="I1358">
        <v>0</v>
      </c>
      <c r="J1358">
        <v>42.4</v>
      </c>
      <c r="K1358">
        <v>830.6</v>
      </c>
      <c r="L1358">
        <v>380</v>
      </c>
      <c r="M1358">
        <v>380</v>
      </c>
      <c r="P1358">
        <v>331</v>
      </c>
      <c r="Q1358">
        <v>410</v>
      </c>
      <c r="R1358">
        <v>79</v>
      </c>
      <c r="S1358">
        <v>174</v>
      </c>
      <c r="T1358">
        <v>381</v>
      </c>
      <c r="U1358">
        <v>390</v>
      </c>
      <c r="V1358">
        <v>500</v>
      </c>
      <c r="W1358">
        <v>2.79</v>
      </c>
    </row>
    <row r="1359" spans="1:23" x14ac:dyDescent="0.25">
      <c r="A1359" t="s">
        <v>39</v>
      </c>
      <c r="B1359">
        <v>4</v>
      </c>
      <c r="C1359">
        <v>20</v>
      </c>
      <c r="D1359">
        <v>2006</v>
      </c>
      <c r="E1359">
        <v>165.9</v>
      </c>
      <c r="F1359">
        <v>3.3</v>
      </c>
      <c r="G1359">
        <v>3.3</v>
      </c>
      <c r="H1359">
        <v>0</v>
      </c>
      <c r="I1359">
        <v>0</v>
      </c>
      <c r="J1359">
        <v>34.1</v>
      </c>
      <c r="K1359">
        <v>864.7</v>
      </c>
      <c r="L1359">
        <v>406</v>
      </c>
      <c r="M1359">
        <v>406</v>
      </c>
      <c r="P1359">
        <v>362</v>
      </c>
      <c r="Q1359">
        <v>425</v>
      </c>
      <c r="R1359">
        <v>63</v>
      </c>
      <c r="S1359">
        <v>174</v>
      </c>
      <c r="T1359">
        <v>381</v>
      </c>
      <c r="U1359">
        <v>390</v>
      </c>
      <c r="V1359">
        <v>500</v>
      </c>
      <c r="W1359">
        <v>2.79</v>
      </c>
    </row>
    <row r="1360" spans="1:23" x14ac:dyDescent="0.25">
      <c r="A1360" t="s">
        <v>39</v>
      </c>
      <c r="B1360">
        <v>4</v>
      </c>
      <c r="C1360">
        <v>21</v>
      </c>
      <c r="D1360">
        <v>2007</v>
      </c>
      <c r="E1360">
        <v>167.7</v>
      </c>
      <c r="F1360">
        <v>1.8</v>
      </c>
      <c r="G1360">
        <v>1.8</v>
      </c>
      <c r="H1360">
        <v>0</v>
      </c>
      <c r="I1360">
        <v>0</v>
      </c>
      <c r="J1360">
        <v>18.899999999999999</v>
      </c>
      <c r="K1360">
        <v>883.5</v>
      </c>
      <c r="L1360">
        <v>384</v>
      </c>
      <c r="M1360">
        <v>384</v>
      </c>
      <c r="P1360">
        <v>316</v>
      </c>
      <c r="Q1360">
        <v>438</v>
      </c>
      <c r="R1360">
        <v>122</v>
      </c>
      <c r="S1360">
        <v>174</v>
      </c>
      <c r="T1360">
        <v>381</v>
      </c>
      <c r="U1360">
        <v>390</v>
      </c>
      <c r="V1360">
        <v>500</v>
      </c>
      <c r="W1360">
        <v>2.79</v>
      </c>
    </row>
    <row r="1361" spans="1:23" x14ac:dyDescent="0.25">
      <c r="A1361" t="s">
        <v>39</v>
      </c>
      <c r="B1361">
        <v>4</v>
      </c>
      <c r="C1361">
        <v>22</v>
      </c>
      <c r="D1361">
        <v>2008</v>
      </c>
      <c r="E1361">
        <v>169.2</v>
      </c>
      <c r="F1361">
        <v>1.5</v>
      </c>
      <c r="G1361">
        <v>1.5</v>
      </c>
      <c r="H1361">
        <v>0</v>
      </c>
      <c r="I1361">
        <v>0</v>
      </c>
      <c r="J1361">
        <v>15.9</v>
      </c>
      <c r="K1361">
        <v>899.4</v>
      </c>
      <c r="L1361">
        <v>351</v>
      </c>
      <c r="M1361">
        <v>351</v>
      </c>
      <c r="P1361">
        <v>332</v>
      </c>
      <c r="Q1361">
        <v>386</v>
      </c>
      <c r="R1361">
        <v>54</v>
      </c>
      <c r="S1361">
        <v>174</v>
      </c>
      <c r="T1361">
        <v>381</v>
      </c>
      <c r="U1361">
        <v>390</v>
      </c>
      <c r="V1361">
        <v>500</v>
      </c>
      <c r="W1361">
        <v>2.79</v>
      </c>
    </row>
    <row r="1362" spans="1:23" x14ac:dyDescent="0.25">
      <c r="A1362" t="s">
        <v>39</v>
      </c>
      <c r="B1362">
        <v>4</v>
      </c>
      <c r="C1362">
        <v>23</v>
      </c>
      <c r="D1362">
        <v>2009</v>
      </c>
      <c r="E1362">
        <v>170.4</v>
      </c>
      <c r="F1362">
        <v>1.2</v>
      </c>
      <c r="G1362">
        <v>1.2</v>
      </c>
      <c r="H1362">
        <v>0</v>
      </c>
      <c r="I1362">
        <v>0</v>
      </c>
      <c r="J1362">
        <v>12.8</v>
      </c>
      <c r="K1362">
        <v>912.2</v>
      </c>
      <c r="L1362">
        <v>375</v>
      </c>
      <c r="M1362">
        <v>375</v>
      </c>
      <c r="P1362">
        <v>355</v>
      </c>
      <c r="Q1362">
        <v>401</v>
      </c>
      <c r="R1362">
        <v>46</v>
      </c>
      <c r="S1362">
        <v>174</v>
      </c>
      <c r="T1362">
        <v>381</v>
      </c>
      <c r="U1362">
        <v>390</v>
      </c>
      <c r="V1362">
        <v>500</v>
      </c>
      <c r="W1362">
        <v>2.79</v>
      </c>
    </row>
    <row r="1363" spans="1:23" x14ac:dyDescent="0.25">
      <c r="A1363" t="s">
        <v>39</v>
      </c>
      <c r="B1363">
        <v>4</v>
      </c>
      <c r="C1363">
        <v>24</v>
      </c>
      <c r="D1363">
        <v>2010</v>
      </c>
      <c r="E1363">
        <v>171.9</v>
      </c>
      <c r="F1363">
        <v>1.5</v>
      </c>
      <c r="G1363">
        <v>1.5</v>
      </c>
      <c r="H1363">
        <v>0</v>
      </c>
      <c r="I1363">
        <v>0</v>
      </c>
      <c r="J1363">
        <v>16.100000000000001</v>
      </c>
      <c r="K1363">
        <v>928.3</v>
      </c>
      <c r="L1363">
        <v>411</v>
      </c>
      <c r="M1363">
        <v>411</v>
      </c>
      <c r="P1363">
        <v>364</v>
      </c>
      <c r="Q1363">
        <v>457</v>
      </c>
      <c r="R1363">
        <v>93</v>
      </c>
      <c r="S1363">
        <v>174</v>
      </c>
      <c r="T1363">
        <v>381</v>
      </c>
      <c r="U1363">
        <v>390</v>
      </c>
      <c r="V1363">
        <v>500</v>
      </c>
      <c r="W1363">
        <v>2.79</v>
      </c>
    </row>
    <row r="1364" spans="1:23" x14ac:dyDescent="0.25">
      <c r="A1364" t="s">
        <v>39</v>
      </c>
      <c r="B1364">
        <v>4</v>
      </c>
      <c r="C1364">
        <v>25</v>
      </c>
      <c r="D1364">
        <v>2011</v>
      </c>
      <c r="E1364">
        <v>173.1</v>
      </c>
      <c r="F1364">
        <v>1.2</v>
      </c>
      <c r="G1364">
        <v>1.2</v>
      </c>
      <c r="H1364">
        <v>0</v>
      </c>
      <c r="I1364">
        <v>0</v>
      </c>
      <c r="J1364">
        <v>13</v>
      </c>
      <c r="K1364">
        <v>941.3</v>
      </c>
      <c r="L1364">
        <v>380</v>
      </c>
      <c r="M1364">
        <v>380</v>
      </c>
      <c r="P1364">
        <v>355</v>
      </c>
      <c r="Q1364">
        <v>412</v>
      </c>
      <c r="R1364">
        <v>57</v>
      </c>
      <c r="S1364">
        <v>174</v>
      </c>
      <c r="T1364">
        <v>381</v>
      </c>
      <c r="U1364">
        <v>390</v>
      </c>
      <c r="V1364">
        <v>500</v>
      </c>
      <c r="W1364">
        <v>2.79</v>
      </c>
    </row>
    <row r="1365" spans="1:23" x14ac:dyDescent="0.25">
      <c r="A1365" t="s">
        <v>39</v>
      </c>
      <c r="B1365">
        <v>4</v>
      </c>
      <c r="C1365">
        <v>26</v>
      </c>
      <c r="D1365">
        <v>2012</v>
      </c>
      <c r="E1365">
        <v>174</v>
      </c>
      <c r="F1365">
        <v>0.9</v>
      </c>
      <c r="G1365">
        <v>0.9</v>
      </c>
      <c r="H1365">
        <v>0</v>
      </c>
      <c r="I1365">
        <v>0</v>
      </c>
      <c r="J1365">
        <v>9.8000000000000007</v>
      </c>
      <c r="K1365">
        <v>951.1</v>
      </c>
      <c r="L1365">
        <v>309</v>
      </c>
      <c r="M1365">
        <v>309</v>
      </c>
      <c r="P1365">
        <v>214</v>
      </c>
      <c r="Q1365">
        <v>370</v>
      </c>
      <c r="R1365">
        <v>156</v>
      </c>
      <c r="S1365">
        <v>174</v>
      </c>
      <c r="T1365">
        <v>381</v>
      </c>
      <c r="U1365">
        <v>390</v>
      </c>
      <c r="V1365">
        <v>500</v>
      </c>
      <c r="W1365">
        <v>2.79</v>
      </c>
    </row>
    <row r="1366" spans="1:23" x14ac:dyDescent="0.25">
      <c r="A1366" t="s">
        <v>39</v>
      </c>
      <c r="B1366">
        <v>5</v>
      </c>
      <c r="C1366">
        <v>4</v>
      </c>
      <c r="D1366">
        <v>1989</v>
      </c>
      <c r="E1366">
        <v>27.7</v>
      </c>
      <c r="F1366">
        <v>27.7</v>
      </c>
      <c r="G1366">
        <v>20.7</v>
      </c>
      <c r="H1366">
        <v>0</v>
      </c>
      <c r="I1366">
        <v>0</v>
      </c>
      <c r="J1366">
        <v>24.1</v>
      </c>
      <c r="K1366">
        <v>24.1</v>
      </c>
      <c r="L1366">
        <v>387</v>
      </c>
      <c r="M1366">
        <v>387</v>
      </c>
      <c r="P1366">
        <v>120</v>
      </c>
      <c r="Q1366">
        <v>497</v>
      </c>
      <c r="R1366">
        <v>377</v>
      </c>
      <c r="S1366">
        <v>256.2</v>
      </c>
      <c r="T1366">
        <v>421</v>
      </c>
      <c r="U1366">
        <v>409</v>
      </c>
      <c r="V1366">
        <v>500</v>
      </c>
      <c r="W1366">
        <v>2.79</v>
      </c>
    </row>
    <row r="1367" spans="1:23" x14ac:dyDescent="0.25">
      <c r="A1367" t="s">
        <v>39</v>
      </c>
      <c r="B1367">
        <v>5</v>
      </c>
      <c r="C1367">
        <v>5</v>
      </c>
      <c r="D1367">
        <v>1990</v>
      </c>
      <c r="E1367">
        <v>46.6</v>
      </c>
      <c r="F1367">
        <v>18.899999999999999</v>
      </c>
      <c r="G1367">
        <v>15.3</v>
      </c>
      <c r="H1367">
        <v>3.6</v>
      </c>
      <c r="I1367">
        <v>19</v>
      </c>
      <c r="J1367">
        <v>44.1</v>
      </c>
      <c r="K1367">
        <v>68.2</v>
      </c>
      <c r="L1367">
        <v>410</v>
      </c>
      <c r="M1367">
        <v>383</v>
      </c>
      <c r="N1367">
        <v>526</v>
      </c>
      <c r="O1367">
        <v>143</v>
      </c>
      <c r="P1367">
        <v>340</v>
      </c>
      <c r="Q1367">
        <v>555</v>
      </c>
      <c r="R1367">
        <v>215</v>
      </c>
      <c r="S1367">
        <v>256.2</v>
      </c>
      <c r="T1367">
        <v>421</v>
      </c>
      <c r="U1367">
        <v>409</v>
      </c>
      <c r="V1367">
        <v>500</v>
      </c>
      <c r="W1367">
        <v>2.79</v>
      </c>
    </row>
    <row r="1368" spans="1:23" x14ac:dyDescent="0.25">
      <c r="A1368" t="s">
        <v>39</v>
      </c>
      <c r="B1368">
        <v>5</v>
      </c>
      <c r="C1368">
        <v>6</v>
      </c>
      <c r="D1368">
        <v>1991</v>
      </c>
      <c r="E1368">
        <v>69.400000000000006</v>
      </c>
      <c r="F1368">
        <v>22.8</v>
      </c>
      <c r="G1368">
        <v>21</v>
      </c>
      <c r="H1368">
        <v>1.8</v>
      </c>
      <c r="I1368">
        <v>7</v>
      </c>
      <c r="J1368">
        <v>83.1</v>
      </c>
      <c r="K1368">
        <v>151.30000000000001</v>
      </c>
      <c r="L1368">
        <v>452</v>
      </c>
      <c r="M1368">
        <v>445</v>
      </c>
      <c r="N1368">
        <v>522</v>
      </c>
      <c r="O1368">
        <v>77</v>
      </c>
      <c r="P1368">
        <v>377</v>
      </c>
      <c r="Q1368">
        <v>543</v>
      </c>
      <c r="R1368">
        <v>166</v>
      </c>
      <c r="S1368">
        <v>256.2</v>
      </c>
      <c r="T1368">
        <v>421</v>
      </c>
      <c r="U1368">
        <v>409</v>
      </c>
      <c r="V1368">
        <v>500</v>
      </c>
      <c r="W1368">
        <v>2.79</v>
      </c>
    </row>
    <row r="1369" spans="1:23" x14ac:dyDescent="0.25">
      <c r="A1369" t="s">
        <v>39</v>
      </c>
      <c r="B1369">
        <v>5</v>
      </c>
      <c r="C1369">
        <v>7</v>
      </c>
      <c r="D1369">
        <v>1992</v>
      </c>
      <c r="E1369">
        <v>88.3</v>
      </c>
      <c r="F1369">
        <v>18.899999999999999</v>
      </c>
      <c r="G1369">
        <v>17.399999999999999</v>
      </c>
      <c r="H1369">
        <v>1.5</v>
      </c>
      <c r="I1369">
        <v>7</v>
      </c>
      <c r="J1369">
        <v>93.6</v>
      </c>
      <c r="K1369">
        <v>244.9</v>
      </c>
      <c r="L1369">
        <v>419</v>
      </c>
      <c r="M1369">
        <v>409</v>
      </c>
      <c r="N1369">
        <v>535</v>
      </c>
      <c r="O1369">
        <v>126</v>
      </c>
      <c r="P1369">
        <v>347</v>
      </c>
      <c r="Q1369">
        <v>563</v>
      </c>
      <c r="R1369">
        <v>216</v>
      </c>
      <c r="S1369">
        <v>256.2</v>
      </c>
      <c r="T1369">
        <v>421</v>
      </c>
      <c r="U1369">
        <v>409</v>
      </c>
      <c r="V1369">
        <v>500</v>
      </c>
      <c r="W1369">
        <v>2.79</v>
      </c>
    </row>
    <row r="1370" spans="1:23" x14ac:dyDescent="0.25">
      <c r="A1370" t="s">
        <v>39</v>
      </c>
      <c r="B1370">
        <v>5</v>
      </c>
      <c r="C1370">
        <v>8</v>
      </c>
      <c r="D1370">
        <v>1993</v>
      </c>
      <c r="E1370">
        <v>103</v>
      </c>
      <c r="F1370">
        <v>14.7</v>
      </c>
      <c r="G1370">
        <v>14.1</v>
      </c>
      <c r="H1370">
        <v>0.6</v>
      </c>
      <c r="I1370">
        <v>4</v>
      </c>
      <c r="J1370">
        <v>88.3</v>
      </c>
      <c r="K1370">
        <v>333.3</v>
      </c>
      <c r="L1370">
        <v>413</v>
      </c>
      <c r="M1370">
        <v>409</v>
      </c>
      <c r="N1370">
        <v>510</v>
      </c>
      <c r="O1370">
        <v>101</v>
      </c>
      <c r="P1370">
        <v>345</v>
      </c>
      <c r="Q1370">
        <v>521</v>
      </c>
      <c r="R1370">
        <v>176</v>
      </c>
      <c r="S1370">
        <v>256.2</v>
      </c>
      <c r="T1370">
        <v>421</v>
      </c>
      <c r="U1370">
        <v>409</v>
      </c>
      <c r="V1370">
        <v>500</v>
      </c>
      <c r="W1370">
        <v>2.79</v>
      </c>
    </row>
    <row r="1371" spans="1:23" x14ac:dyDescent="0.25">
      <c r="A1371" t="s">
        <v>39</v>
      </c>
      <c r="B1371">
        <v>5</v>
      </c>
      <c r="C1371">
        <v>9</v>
      </c>
      <c r="D1371">
        <v>1994</v>
      </c>
      <c r="E1371">
        <v>121.3</v>
      </c>
      <c r="F1371">
        <v>18.3</v>
      </c>
      <c r="G1371">
        <v>17.399999999999999</v>
      </c>
      <c r="H1371">
        <v>0.9</v>
      </c>
      <c r="I1371">
        <v>4</v>
      </c>
      <c r="J1371">
        <v>129</v>
      </c>
      <c r="K1371">
        <v>462.2</v>
      </c>
      <c r="L1371">
        <v>404</v>
      </c>
      <c r="M1371">
        <v>398</v>
      </c>
      <c r="N1371">
        <v>521</v>
      </c>
      <c r="O1371">
        <v>123</v>
      </c>
      <c r="P1371">
        <v>344</v>
      </c>
      <c r="Q1371">
        <v>534</v>
      </c>
      <c r="R1371">
        <v>190</v>
      </c>
      <c r="S1371">
        <v>256.2</v>
      </c>
      <c r="T1371">
        <v>421</v>
      </c>
      <c r="U1371">
        <v>409</v>
      </c>
      <c r="V1371">
        <v>500</v>
      </c>
      <c r="W1371">
        <v>2.79</v>
      </c>
    </row>
    <row r="1372" spans="1:23" x14ac:dyDescent="0.25">
      <c r="A1372" t="s">
        <v>39</v>
      </c>
      <c r="B1372">
        <v>5</v>
      </c>
      <c r="C1372">
        <v>10</v>
      </c>
      <c r="D1372">
        <v>1995</v>
      </c>
      <c r="E1372">
        <v>141.1</v>
      </c>
      <c r="F1372">
        <v>19.8</v>
      </c>
      <c r="G1372">
        <v>19.2</v>
      </c>
      <c r="H1372">
        <v>0.6</v>
      </c>
      <c r="I1372">
        <v>3</v>
      </c>
      <c r="J1372">
        <v>163.19999999999999</v>
      </c>
      <c r="K1372">
        <v>625.5</v>
      </c>
      <c r="L1372">
        <v>386</v>
      </c>
      <c r="M1372">
        <v>381</v>
      </c>
      <c r="N1372">
        <v>548</v>
      </c>
      <c r="O1372">
        <v>167</v>
      </c>
      <c r="P1372">
        <v>320</v>
      </c>
      <c r="Q1372">
        <v>564</v>
      </c>
      <c r="R1372">
        <v>244</v>
      </c>
      <c r="S1372">
        <v>256.2</v>
      </c>
      <c r="T1372">
        <v>421</v>
      </c>
      <c r="U1372">
        <v>409</v>
      </c>
      <c r="V1372">
        <v>500</v>
      </c>
      <c r="W1372">
        <v>2.79</v>
      </c>
    </row>
    <row r="1373" spans="1:23" x14ac:dyDescent="0.25">
      <c r="A1373" t="s">
        <v>39</v>
      </c>
      <c r="B1373">
        <v>5</v>
      </c>
      <c r="C1373">
        <v>11</v>
      </c>
      <c r="D1373">
        <v>1996</v>
      </c>
      <c r="E1373">
        <v>156.1</v>
      </c>
      <c r="F1373">
        <v>15</v>
      </c>
      <c r="G1373">
        <v>14.1</v>
      </c>
      <c r="H1373">
        <v>0.9</v>
      </c>
      <c r="I1373">
        <v>6</v>
      </c>
      <c r="J1373">
        <v>140.1</v>
      </c>
      <c r="K1373">
        <v>765.5</v>
      </c>
      <c r="L1373">
        <v>378</v>
      </c>
      <c r="M1373">
        <v>369</v>
      </c>
      <c r="N1373">
        <v>520</v>
      </c>
      <c r="O1373">
        <v>151</v>
      </c>
      <c r="P1373">
        <v>290</v>
      </c>
      <c r="Q1373">
        <v>546</v>
      </c>
      <c r="R1373">
        <v>256</v>
      </c>
      <c r="S1373">
        <v>256.2</v>
      </c>
      <c r="T1373">
        <v>421</v>
      </c>
      <c r="U1373">
        <v>409</v>
      </c>
      <c r="V1373">
        <v>500</v>
      </c>
      <c r="W1373">
        <v>2.79</v>
      </c>
    </row>
    <row r="1374" spans="1:23" x14ac:dyDescent="0.25">
      <c r="A1374" t="s">
        <v>39</v>
      </c>
      <c r="B1374">
        <v>5</v>
      </c>
      <c r="C1374">
        <v>12</v>
      </c>
      <c r="D1374">
        <v>1997</v>
      </c>
      <c r="E1374">
        <v>172</v>
      </c>
      <c r="F1374">
        <v>15.9</v>
      </c>
      <c r="G1374">
        <v>14.7</v>
      </c>
      <c r="H1374">
        <v>1.2</v>
      </c>
      <c r="I1374">
        <v>7</v>
      </c>
      <c r="J1374">
        <v>163.9</v>
      </c>
      <c r="K1374">
        <v>929.4</v>
      </c>
      <c r="L1374">
        <v>393</v>
      </c>
      <c r="M1374">
        <v>383</v>
      </c>
      <c r="N1374">
        <v>518</v>
      </c>
      <c r="O1374">
        <v>135</v>
      </c>
      <c r="P1374">
        <v>330</v>
      </c>
      <c r="Q1374">
        <v>545</v>
      </c>
      <c r="R1374">
        <v>215</v>
      </c>
      <c r="S1374">
        <v>256.2</v>
      </c>
      <c r="T1374">
        <v>421</v>
      </c>
      <c r="U1374">
        <v>409</v>
      </c>
      <c r="V1374">
        <v>500</v>
      </c>
      <c r="W1374">
        <v>2.79</v>
      </c>
    </row>
    <row r="1375" spans="1:23" x14ac:dyDescent="0.25">
      <c r="A1375" t="s">
        <v>39</v>
      </c>
      <c r="B1375">
        <v>5</v>
      </c>
      <c r="C1375">
        <v>13</v>
      </c>
      <c r="D1375">
        <v>1998</v>
      </c>
      <c r="E1375">
        <v>183.7</v>
      </c>
      <c r="F1375">
        <v>11.7</v>
      </c>
      <c r="G1375">
        <v>11.4</v>
      </c>
      <c r="H1375">
        <v>0.3</v>
      </c>
      <c r="I1375">
        <v>2</v>
      </c>
      <c r="J1375">
        <v>130.69999999999999</v>
      </c>
      <c r="K1375">
        <v>1060.2</v>
      </c>
      <c r="L1375">
        <v>412</v>
      </c>
      <c r="M1375">
        <v>409</v>
      </c>
      <c r="N1375">
        <v>523</v>
      </c>
      <c r="O1375">
        <v>114</v>
      </c>
      <c r="P1375">
        <v>320</v>
      </c>
      <c r="Q1375">
        <v>523</v>
      </c>
      <c r="R1375">
        <v>203</v>
      </c>
      <c r="S1375">
        <v>256.2</v>
      </c>
      <c r="T1375">
        <v>421</v>
      </c>
      <c r="U1375">
        <v>409</v>
      </c>
      <c r="V1375">
        <v>500</v>
      </c>
      <c r="W1375">
        <v>2.79</v>
      </c>
    </row>
    <row r="1376" spans="1:23" x14ac:dyDescent="0.25">
      <c r="A1376" t="s">
        <v>39</v>
      </c>
      <c r="B1376">
        <v>5</v>
      </c>
      <c r="C1376">
        <v>14</v>
      </c>
      <c r="D1376">
        <v>1999</v>
      </c>
      <c r="E1376">
        <v>196</v>
      </c>
      <c r="F1376">
        <v>12.3</v>
      </c>
      <c r="G1376">
        <v>12.3</v>
      </c>
      <c r="H1376">
        <v>0</v>
      </c>
      <c r="I1376">
        <v>0</v>
      </c>
      <c r="J1376">
        <v>146.69999999999999</v>
      </c>
      <c r="K1376">
        <v>1206.9000000000001</v>
      </c>
      <c r="L1376">
        <v>369</v>
      </c>
      <c r="M1376">
        <v>369</v>
      </c>
      <c r="P1376">
        <v>305</v>
      </c>
      <c r="Q1376">
        <v>498</v>
      </c>
      <c r="R1376">
        <v>193</v>
      </c>
      <c r="S1376">
        <v>256.2</v>
      </c>
      <c r="T1376">
        <v>421</v>
      </c>
      <c r="U1376">
        <v>409</v>
      </c>
      <c r="V1376">
        <v>500</v>
      </c>
      <c r="W1376">
        <v>2.79</v>
      </c>
    </row>
    <row r="1377" spans="1:23" x14ac:dyDescent="0.25">
      <c r="A1377" t="s">
        <v>39</v>
      </c>
      <c r="B1377">
        <v>5</v>
      </c>
      <c r="C1377">
        <v>15</v>
      </c>
      <c r="D1377">
        <v>2000</v>
      </c>
      <c r="E1377">
        <v>204.4</v>
      </c>
      <c r="F1377">
        <v>8.4</v>
      </c>
      <c r="G1377">
        <v>7.5</v>
      </c>
      <c r="H1377">
        <v>0.9</v>
      </c>
      <c r="I1377">
        <v>10</v>
      </c>
      <c r="J1377">
        <v>105.7</v>
      </c>
      <c r="K1377">
        <v>1312.5</v>
      </c>
      <c r="L1377">
        <v>399</v>
      </c>
      <c r="M1377">
        <v>385</v>
      </c>
      <c r="N1377">
        <v>522</v>
      </c>
      <c r="O1377">
        <v>137</v>
      </c>
      <c r="P1377">
        <v>313</v>
      </c>
      <c r="Q1377">
        <v>530</v>
      </c>
      <c r="R1377">
        <v>217</v>
      </c>
      <c r="S1377">
        <v>256.2</v>
      </c>
      <c r="T1377">
        <v>421</v>
      </c>
      <c r="U1377">
        <v>409</v>
      </c>
      <c r="V1377">
        <v>500</v>
      </c>
      <c r="W1377">
        <v>2.79</v>
      </c>
    </row>
    <row r="1378" spans="1:23" x14ac:dyDescent="0.25">
      <c r="A1378" t="s">
        <v>39</v>
      </c>
      <c r="B1378">
        <v>5</v>
      </c>
      <c r="C1378">
        <v>16</v>
      </c>
      <c r="D1378">
        <v>2001</v>
      </c>
      <c r="E1378">
        <v>217</v>
      </c>
      <c r="F1378">
        <v>12.6</v>
      </c>
      <c r="G1378">
        <v>9.6</v>
      </c>
      <c r="H1378">
        <v>3</v>
      </c>
      <c r="I1378">
        <v>23</v>
      </c>
      <c r="J1378">
        <v>166.8</v>
      </c>
      <c r="K1378">
        <v>1479.3</v>
      </c>
      <c r="L1378">
        <v>439</v>
      </c>
      <c r="M1378">
        <v>408</v>
      </c>
      <c r="N1378">
        <v>537</v>
      </c>
      <c r="O1378">
        <v>129</v>
      </c>
      <c r="P1378">
        <v>335</v>
      </c>
      <c r="Q1378">
        <v>584</v>
      </c>
      <c r="R1378">
        <v>249</v>
      </c>
      <c r="S1378">
        <v>256.2</v>
      </c>
      <c r="T1378">
        <v>421</v>
      </c>
      <c r="U1378">
        <v>409</v>
      </c>
      <c r="V1378">
        <v>500</v>
      </c>
      <c r="W1378">
        <v>2.79</v>
      </c>
    </row>
    <row r="1379" spans="1:23" x14ac:dyDescent="0.25">
      <c r="A1379" t="s">
        <v>39</v>
      </c>
      <c r="B1379">
        <v>5</v>
      </c>
      <c r="C1379">
        <v>17</v>
      </c>
      <c r="D1379">
        <v>2002</v>
      </c>
      <c r="E1379">
        <v>226.9</v>
      </c>
      <c r="F1379">
        <v>9.9</v>
      </c>
      <c r="G1379">
        <v>8.6999999999999993</v>
      </c>
      <c r="H1379">
        <v>1.2</v>
      </c>
      <c r="I1379">
        <v>12</v>
      </c>
      <c r="J1379">
        <v>138.1</v>
      </c>
      <c r="K1379">
        <v>1617.4</v>
      </c>
      <c r="L1379">
        <v>404</v>
      </c>
      <c r="M1379">
        <v>386</v>
      </c>
      <c r="N1379">
        <v>530</v>
      </c>
      <c r="O1379">
        <v>144</v>
      </c>
      <c r="P1379">
        <v>326</v>
      </c>
      <c r="Q1379">
        <v>548</v>
      </c>
      <c r="R1379">
        <v>222</v>
      </c>
      <c r="S1379">
        <v>256.2</v>
      </c>
      <c r="T1379">
        <v>421</v>
      </c>
      <c r="U1379">
        <v>409</v>
      </c>
      <c r="V1379">
        <v>500</v>
      </c>
      <c r="W1379">
        <v>2.79</v>
      </c>
    </row>
    <row r="1380" spans="1:23" x14ac:dyDescent="0.25">
      <c r="A1380" t="s">
        <v>39</v>
      </c>
      <c r="B1380">
        <v>5</v>
      </c>
      <c r="C1380">
        <v>18</v>
      </c>
      <c r="D1380">
        <v>2003</v>
      </c>
      <c r="E1380">
        <v>235.6</v>
      </c>
      <c r="F1380">
        <v>8.6999999999999993</v>
      </c>
      <c r="G1380">
        <v>8.4</v>
      </c>
      <c r="H1380">
        <v>0.3</v>
      </c>
      <c r="I1380">
        <v>3</v>
      </c>
      <c r="J1380">
        <v>126.4</v>
      </c>
      <c r="K1380">
        <v>1743.8</v>
      </c>
      <c r="L1380">
        <v>399</v>
      </c>
      <c r="M1380">
        <v>395</v>
      </c>
      <c r="N1380">
        <v>504</v>
      </c>
      <c r="O1380">
        <v>109</v>
      </c>
      <c r="P1380">
        <v>330</v>
      </c>
      <c r="Q1380">
        <v>504</v>
      </c>
      <c r="R1380">
        <v>174</v>
      </c>
      <c r="S1380">
        <v>256.2</v>
      </c>
      <c r="T1380">
        <v>421</v>
      </c>
      <c r="U1380">
        <v>409</v>
      </c>
      <c r="V1380">
        <v>500</v>
      </c>
      <c r="W1380">
        <v>2.79</v>
      </c>
    </row>
    <row r="1381" spans="1:23" x14ac:dyDescent="0.25">
      <c r="A1381" t="s">
        <v>39</v>
      </c>
      <c r="B1381">
        <v>5</v>
      </c>
      <c r="C1381">
        <v>19</v>
      </c>
      <c r="D1381">
        <v>2004</v>
      </c>
      <c r="E1381">
        <v>243.7</v>
      </c>
      <c r="F1381">
        <v>8.1</v>
      </c>
      <c r="G1381">
        <v>6.6</v>
      </c>
      <c r="H1381">
        <v>1.5</v>
      </c>
      <c r="I1381">
        <v>18</v>
      </c>
      <c r="J1381">
        <v>122</v>
      </c>
      <c r="K1381">
        <v>1865.8</v>
      </c>
      <c r="L1381">
        <v>419</v>
      </c>
      <c r="M1381">
        <v>395</v>
      </c>
      <c r="N1381">
        <v>525</v>
      </c>
      <c r="O1381">
        <v>130</v>
      </c>
      <c r="P1381">
        <v>335</v>
      </c>
      <c r="Q1381">
        <v>538</v>
      </c>
      <c r="R1381">
        <v>203</v>
      </c>
      <c r="S1381">
        <v>256.2</v>
      </c>
      <c r="T1381">
        <v>421</v>
      </c>
      <c r="U1381">
        <v>409</v>
      </c>
      <c r="V1381">
        <v>500</v>
      </c>
      <c r="W1381">
        <v>2.79</v>
      </c>
    </row>
    <row r="1382" spans="1:23" x14ac:dyDescent="0.25">
      <c r="A1382" t="s">
        <v>39</v>
      </c>
      <c r="B1382">
        <v>5</v>
      </c>
      <c r="C1382">
        <v>20</v>
      </c>
      <c r="D1382">
        <v>2005</v>
      </c>
      <c r="E1382">
        <v>250.3</v>
      </c>
      <c r="F1382">
        <v>6.6</v>
      </c>
      <c r="G1382">
        <v>6.6</v>
      </c>
      <c r="H1382">
        <v>0</v>
      </c>
      <c r="I1382">
        <v>0</v>
      </c>
      <c r="J1382">
        <v>102.4</v>
      </c>
      <c r="K1382">
        <v>1968.2</v>
      </c>
      <c r="L1382">
        <v>402</v>
      </c>
      <c r="M1382">
        <v>402</v>
      </c>
      <c r="P1382">
        <v>322</v>
      </c>
      <c r="Q1382">
        <v>465</v>
      </c>
      <c r="R1382">
        <v>143</v>
      </c>
      <c r="S1382">
        <v>256.2</v>
      </c>
      <c r="T1382">
        <v>421</v>
      </c>
      <c r="U1382">
        <v>409</v>
      </c>
      <c r="V1382">
        <v>500</v>
      </c>
      <c r="W1382">
        <v>2.79</v>
      </c>
    </row>
    <row r="1383" spans="1:23" x14ac:dyDescent="0.25">
      <c r="A1383" t="s">
        <v>39</v>
      </c>
      <c r="B1383">
        <v>5</v>
      </c>
      <c r="C1383">
        <v>21</v>
      </c>
      <c r="D1383">
        <v>2006</v>
      </c>
      <c r="E1383">
        <v>252.7</v>
      </c>
      <c r="F1383">
        <v>2.4</v>
      </c>
      <c r="G1383">
        <v>2.1</v>
      </c>
      <c r="H1383">
        <v>0.3</v>
      </c>
      <c r="I1383">
        <v>12</v>
      </c>
      <c r="J1383">
        <v>37.9</v>
      </c>
      <c r="K1383">
        <v>2006.1</v>
      </c>
      <c r="L1383">
        <v>411</v>
      </c>
      <c r="M1383">
        <v>397</v>
      </c>
      <c r="N1383">
        <v>512</v>
      </c>
      <c r="O1383">
        <v>115</v>
      </c>
      <c r="P1383">
        <v>335</v>
      </c>
      <c r="Q1383">
        <v>512</v>
      </c>
      <c r="R1383">
        <v>177</v>
      </c>
      <c r="S1383">
        <v>256.2</v>
      </c>
      <c r="T1383">
        <v>421</v>
      </c>
      <c r="U1383">
        <v>409</v>
      </c>
      <c r="V1383">
        <v>500</v>
      </c>
      <c r="W1383">
        <v>2.79</v>
      </c>
    </row>
    <row r="1384" spans="1:23" x14ac:dyDescent="0.25">
      <c r="A1384" t="s">
        <v>39</v>
      </c>
      <c r="B1384">
        <v>5</v>
      </c>
      <c r="C1384">
        <v>22</v>
      </c>
      <c r="D1384">
        <v>2007</v>
      </c>
      <c r="E1384">
        <v>255.7</v>
      </c>
      <c r="F1384">
        <v>3</v>
      </c>
      <c r="G1384">
        <v>1.5</v>
      </c>
      <c r="H1384">
        <v>1.5</v>
      </c>
      <c r="I1384">
        <v>50</v>
      </c>
      <c r="J1384">
        <v>47.9</v>
      </c>
      <c r="K1384">
        <v>2054.1</v>
      </c>
      <c r="L1384">
        <v>480</v>
      </c>
      <c r="M1384">
        <v>410</v>
      </c>
      <c r="N1384">
        <v>550</v>
      </c>
      <c r="O1384">
        <v>140</v>
      </c>
      <c r="P1384">
        <v>366</v>
      </c>
      <c r="Q1384">
        <v>608</v>
      </c>
      <c r="R1384">
        <v>242</v>
      </c>
      <c r="S1384">
        <v>256.2</v>
      </c>
      <c r="T1384">
        <v>421</v>
      </c>
      <c r="U1384">
        <v>409</v>
      </c>
      <c r="V1384">
        <v>500</v>
      </c>
      <c r="W1384">
        <v>2.79</v>
      </c>
    </row>
    <row r="1385" spans="1:23" x14ac:dyDescent="0.25">
      <c r="A1385" t="s">
        <v>39</v>
      </c>
      <c r="B1385">
        <v>5</v>
      </c>
      <c r="C1385">
        <v>23</v>
      </c>
      <c r="D1385">
        <v>2008</v>
      </c>
      <c r="E1385">
        <v>257.5</v>
      </c>
      <c r="F1385">
        <v>1.8</v>
      </c>
      <c r="G1385">
        <v>1.5</v>
      </c>
      <c r="H1385">
        <v>0.3</v>
      </c>
      <c r="I1385">
        <v>16</v>
      </c>
      <c r="J1385">
        <v>29</v>
      </c>
      <c r="K1385">
        <v>2083.1</v>
      </c>
      <c r="L1385">
        <v>435</v>
      </c>
      <c r="M1385">
        <v>413</v>
      </c>
      <c r="N1385">
        <v>544</v>
      </c>
      <c r="O1385">
        <v>131</v>
      </c>
      <c r="P1385">
        <v>363</v>
      </c>
      <c r="Q1385">
        <v>544</v>
      </c>
      <c r="R1385">
        <v>181</v>
      </c>
      <c r="S1385">
        <v>256.2</v>
      </c>
      <c r="T1385">
        <v>421</v>
      </c>
      <c r="U1385">
        <v>409</v>
      </c>
      <c r="V1385">
        <v>500</v>
      </c>
      <c r="W1385">
        <v>2.79</v>
      </c>
    </row>
    <row r="1386" spans="1:23" x14ac:dyDescent="0.25">
      <c r="A1386" t="s">
        <v>39</v>
      </c>
      <c r="B1386">
        <v>5</v>
      </c>
      <c r="C1386">
        <v>24</v>
      </c>
      <c r="D1386">
        <v>2009</v>
      </c>
      <c r="E1386">
        <v>259</v>
      </c>
      <c r="F1386">
        <v>1.5</v>
      </c>
      <c r="G1386">
        <v>0.9</v>
      </c>
      <c r="H1386">
        <v>0.6</v>
      </c>
      <c r="I1386">
        <v>40</v>
      </c>
      <c r="J1386">
        <v>24.3</v>
      </c>
      <c r="K1386">
        <v>2107.4</v>
      </c>
      <c r="L1386">
        <v>482</v>
      </c>
      <c r="M1386">
        <v>432</v>
      </c>
      <c r="N1386">
        <v>557</v>
      </c>
      <c r="O1386">
        <v>125</v>
      </c>
      <c r="P1386">
        <v>379</v>
      </c>
      <c r="Q1386">
        <v>580</v>
      </c>
      <c r="R1386">
        <v>201</v>
      </c>
      <c r="S1386">
        <v>256.2</v>
      </c>
      <c r="T1386">
        <v>421</v>
      </c>
      <c r="U1386">
        <v>409</v>
      </c>
      <c r="V1386">
        <v>500</v>
      </c>
      <c r="W1386">
        <v>2.79</v>
      </c>
    </row>
    <row r="1387" spans="1:23" x14ac:dyDescent="0.25">
      <c r="A1387" t="s">
        <v>39</v>
      </c>
      <c r="B1387">
        <v>5</v>
      </c>
      <c r="C1387">
        <v>25</v>
      </c>
      <c r="D1387">
        <v>2010</v>
      </c>
      <c r="E1387">
        <v>260.5</v>
      </c>
      <c r="F1387">
        <v>1.5</v>
      </c>
      <c r="G1387">
        <v>0.9</v>
      </c>
      <c r="H1387">
        <v>0.6</v>
      </c>
      <c r="I1387">
        <v>40</v>
      </c>
      <c r="J1387">
        <v>24.5</v>
      </c>
      <c r="K1387">
        <v>2131.9</v>
      </c>
      <c r="L1387">
        <v>469</v>
      </c>
      <c r="M1387">
        <v>432</v>
      </c>
      <c r="N1387">
        <v>526</v>
      </c>
      <c r="O1387">
        <v>94</v>
      </c>
      <c r="P1387">
        <v>393</v>
      </c>
      <c r="Q1387">
        <v>551</v>
      </c>
      <c r="R1387">
        <v>158</v>
      </c>
      <c r="S1387">
        <v>256.2</v>
      </c>
      <c r="T1387">
        <v>421</v>
      </c>
      <c r="U1387">
        <v>409</v>
      </c>
      <c r="V1387">
        <v>500</v>
      </c>
      <c r="W1387">
        <v>2.79</v>
      </c>
    </row>
    <row r="1388" spans="1:23" x14ac:dyDescent="0.25">
      <c r="A1388" t="s">
        <v>39</v>
      </c>
      <c r="B1388">
        <v>5</v>
      </c>
      <c r="C1388">
        <v>26</v>
      </c>
      <c r="D1388">
        <v>2011</v>
      </c>
      <c r="E1388">
        <v>261.7</v>
      </c>
      <c r="F1388">
        <v>1.2</v>
      </c>
      <c r="G1388">
        <v>0.9</v>
      </c>
      <c r="H1388">
        <v>0.3</v>
      </c>
      <c r="I1388">
        <v>24</v>
      </c>
      <c r="J1388">
        <v>19.7</v>
      </c>
      <c r="K1388">
        <v>2151.6</v>
      </c>
      <c r="L1388">
        <v>480</v>
      </c>
      <c r="M1388">
        <v>458</v>
      </c>
      <c r="N1388">
        <v>546</v>
      </c>
      <c r="O1388">
        <v>88</v>
      </c>
      <c r="P1388">
        <v>441</v>
      </c>
      <c r="Q1388">
        <v>546</v>
      </c>
      <c r="R1388">
        <v>105</v>
      </c>
      <c r="S1388">
        <v>256.2</v>
      </c>
      <c r="T1388">
        <v>421</v>
      </c>
      <c r="U1388">
        <v>409</v>
      </c>
      <c r="V1388">
        <v>500</v>
      </c>
      <c r="W1388">
        <v>2.79</v>
      </c>
    </row>
    <row r="1389" spans="1:23" x14ac:dyDescent="0.25">
      <c r="A1389" t="s">
        <v>39</v>
      </c>
      <c r="B1389">
        <v>5</v>
      </c>
      <c r="C1389">
        <v>27</v>
      </c>
      <c r="D1389">
        <v>2012</v>
      </c>
      <c r="E1389">
        <v>263.2</v>
      </c>
      <c r="F1389">
        <v>1.5</v>
      </c>
      <c r="G1389">
        <v>0.9</v>
      </c>
      <c r="H1389">
        <v>0.6</v>
      </c>
      <c r="I1389">
        <v>40</v>
      </c>
      <c r="J1389">
        <v>24.7</v>
      </c>
      <c r="K1389">
        <v>2176.3000000000002</v>
      </c>
      <c r="L1389">
        <v>480</v>
      </c>
      <c r="M1389">
        <v>456</v>
      </c>
      <c r="N1389">
        <v>517</v>
      </c>
      <c r="O1389">
        <v>61</v>
      </c>
      <c r="P1389">
        <v>417</v>
      </c>
      <c r="Q1389">
        <v>534</v>
      </c>
      <c r="R1389">
        <v>117</v>
      </c>
      <c r="S1389">
        <v>256.2</v>
      </c>
      <c r="T1389">
        <v>421</v>
      </c>
      <c r="U1389">
        <v>409</v>
      </c>
      <c r="V1389">
        <v>500</v>
      </c>
      <c r="W1389">
        <v>2.79</v>
      </c>
    </row>
    <row r="1390" spans="1:23" x14ac:dyDescent="0.25">
      <c r="A1390" t="s">
        <v>39</v>
      </c>
      <c r="B1390">
        <v>6</v>
      </c>
      <c r="C1390">
        <v>2</v>
      </c>
      <c r="D1390">
        <v>1987</v>
      </c>
      <c r="E1390">
        <v>15.9</v>
      </c>
      <c r="F1390">
        <v>15.9</v>
      </c>
      <c r="G1390">
        <v>9.9</v>
      </c>
      <c r="H1390">
        <v>0</v>
      </c>
      <c r="I1390">
        <v>0</v>
      </c>
      <c r="J1390">
        <v>7.9</v>
      </c>
      <c r="K1390">
        <v>7.9</v>
      </c>
      <c r="L1390">
        <v>365</v>
      </c>
      <c r="M1390">
        <v>365</v>
      </c>
      <c r="P1390">
        <v>307</v>
      </c>
      <c r="Q1390">
        <v>431</v>
      </c>
      <c r="R1390">
        <v>124</v>
      </c>
      <c r="S1390">
        <v>272.7</v>
      </c>
      <c r="T1390">
        <v>388</v>
      </c>
      <c r="U1390">
        <v>387</v>
      </c>
      <c r="V1390">
        <v>500</v>
      </c>
      <c r="W1390">
        <v>2.79</v>
      </c>
    </row>
    <row r="1391" spans="1:23" x14ac:dyDescent="0.25">
      <c r="A1391" t="s">
        <v>39</v>
      </c>
      <c r="B1391">
        <v>6</v>
      </c>
      <c r="C1391">
        <v>3</v>
      </c>
      <c r="D1391">
        <v>1988</v>
      </c>
      <c r="E1391">
        <v>38.1</v>
      </c>
      <c r="F1391">
        <v>22.2</v>
      </c>
      <c r="G1391">
        <v>21.9</v>
      </c>
      <c r="H1391">
        <v>0.3</v>
      </c>
      <c r="I1391">
        <v>1</v>
      </c>
      <c r="J1391">
        <v>37.700000000000003</v>
      </c>
      <c r="K1391">
        <v>45.6</v>
      </c>
      <c r="L1391">
        <v>366</v>
      </c>
      <c r="M1391">
        <v>364</v>
      </c>
      <c r="N1391">
        <v>527</v>
      </c>
      <c r="O1391">
        <v>163</v>
      </c>
      <c r="P1391">
        <v>290</v>
      </c>
      <c r="Q1391">
        <v>527</v>
      </c>
      <c r="R1391">
        <v>237</v>
      </c>
      <c r="S1391">
        <v>272.7</v>
      </c>
      <c r="T1391">
        <v>388</v>
      </c>
      <c r="U1391">
        <v>387</v>
      </c>
      <c r="V1391">
        <v>500</v>
      </c>
      <c r="W1391">
        <v>2.79</v>
      </c>
    </row>
    <row r="1392" spans="1:23" x14ac:dyDescent="0.25">
      <c r="A1392" t="s">
        <v>39</v>
      </c>
      <c r="B1392">
        <v>6</v>
      </c>
      <c r="C1392">
        <v>4</v>
      </c>
      <c r="D1392">
        <v>1989</v>
      </c>
      <c r="E1392">
        <v>58.2</v>
      </c>
      <c r="F1392">
        <v>20.100000000000001</v>
      </c>
      <c r="G1392">
        <v>19.5</v>
      </c>
      <c r="H1392">
        <v>0.6</v>
      </c>
      <c r="I1392">
        <v>2</v>
      </c>
      <c r="J1392">
        <v>60.8</v>
      </c>
      <c r="K1392">
        <v>106.4</v>
      </c>
      <c r="L1392">
        <v>362</v>
      </c>
      <c r="M1392">
        <v>357</v>
      </c>
      <c r="N1392">
        <v>519</v>
      </c>
      <c r="O1392">
        <v>162</v>
      </c>
      <c r="P1392">
        <v>294</v>
      </c>
      <c r="Q1392">
        <v>534</v>
      </c>
      <c r="R1392">
        <v>240</v>
      </c>
      <c r="S1392">
        <v>272.7</v>
      </c>
      <c r="T1392">
        <v>388</v>
      </c>
      <c r="U1392">
        <v>387</v>
      </c>
      <c r="V1392">
        <v>500</v>
      </c>
      <c r="W1392">
        <v>2.79</v>
      </c>
    </row>
    <row r="1393" spans="1:23" x14ac:dyDescent="0.25">
      <c r="A1393" t="s">
        <v>39</v>
      </c>
      <c r="B1393">
        <v>6</v>
      </c>
      <c r="C1393">
        <v>5</v>
      </c>
      <c r="D1393">
        <v>1990</v>
      </c>
      <c r="E1393">
        <v>77.099999999999994</v>
      </c>
      <c r="F1393">
        <v>18.899999999999999</v>
      </c>
      <c r="G1393">
        <v>17.399999999999999</v>
      </c>
      <c r="H1393">
        <v>1.5</v>
      </c>
      <c r="I1393">
        <v>7</v>
      </c>
      <c r="J1393">
        <v>80.3</v>
      </c>
      <c r="K1393">
        <v>186.7</v>
      </c>
      <c r="L1393">
        <v>369</v>
      </c>
      <c r="M1393">
        <v>357</v>
      </c>
      <c r="N1393">
        <v>514</v>
      </c>
      <c r="O1393">
        <v>157</v>
      </c>
      <c r="P1393">
        <v>284</v>
      </c>
      <c r="Q1393">
        <v>524</v>
      </c>
      <c r="R1393">
        <v>240</v>
      </c>
      <c r="S1393">
        <v>272.7</v>
      </c>
      <c r="T1393">
        <v>388</v>
      </c>
      <c r="U1393">
        <v>387</v>
      </c>
      <c r="V1393">
        <v>500</v>
      </c>
      <c r="W1393">
        <v>2.79</v>
      </c>
    </row>
    <row r="1394" spans="1:23" x14ac:dyDescent="0.25">
      <c r="A1394" t="s">
        <v>39</v>
      </c>
      <c r="B1394">
        <v>6</v>
      </c>
      <c r="C1394">
        <v>6</v>
      </c>
      <c r="D1394">
        <v>1991</v>
      </c>
      <c r="E1394">
        <v>97.5</v>
      </c>
      <c r="F1394">
        <v>20.399999999999999</v>
      </c>
      <c r="G1394">
        <v>18.3</v>
      </c>
      <c r="H1394">
        <v>2.1</v>
      </c>
      <c r="I1394">
        <v>10</v>
      </c>
      <c r="J1394">
        <v>111.9</v>
      </c>
      <c r="K1394">
        <v>298.60000000000002</v>
      </c>
      <c r="L1394">
        <v>398</v>
      </c>
      <c r="M1394">
        <v>383</v>
      </c>
      <c r="N1394">
        <v>531</v>
      </c>
      <c r="O1394">
        <v>148</v>
      </c>
      <c r="P1394">
        <v>328</v>
      </c>
      <c r="Q1394">
        <v>551</v>
      </c>
      <c r="R1394">
        <v>223</v>
      </c>
      <c r="S1394">
        <v>272.7</v>
      </c>
      <c r="T1394">
        <v>388</v>
      </c>
      <c r="U1394">
        <v>387</v>
      </c>
      <c r="V1394">
        <v>500</v>
      </c>
      <c r="W1394">
        <v>2.79</v>
      </c>
    </row>
    <row r="1395" spans="1:23" x14ac:dyDescent="0.25">
      <c r="A1395" t="s">
        <v>39</v>
      </c>
      <c r="B1395">
        <v>6</v>
      </c>
      <c r="C1395">
        <v>7</v>
      </c>
      <c r="D1395">
        <v>1992</v>
      </c>
      <c r="E1395">
        <v>114.3</v>
      </c>
      <c r="F1395">
        <v>16.8</v>
      </c>
      <c r="G1395">
        <v>16.8</v>
      </c>
      <c r="H1395">
        <v>0</v>
      </c>
      <c r="I1395">
        <v>0</v>
      </c>
      <c r="J1395">
        <v>111.8</v>
      </c>
      <c r="K1395">
        <v>410.4</v>
      </c>
      <c r="L1395">
        <v>370</v>
      </c>
      <c r="M1395">
        <v>370</v>
      </c>
      <c r="P1395">
        <v>326</v>
      </c>
      <c r="Q1395">
        <v>486</v>
      </c>
      <c r="R1395">
        <v>160</v>
      </c>
      <c r="S1395">
        <v>272.7</v>
      </c>
      <c r="T1395">
        <v>388</v>
      </c>
      <c r="U1395">
        <v>387</v>
      </c>
      <c r="V1395">
        <v>500</v>
      </c>
      <c r="W1395">
        <v>2.79</v>
      </c>
    </row>
    <row r="1396" spans="1:23" x14ac:dyDescent="0.25">
      <c r="A1396" t="s">
        <v>39</v>
      </c>
      <c r="B1396">
        <v>6</v>
      </c>
      <c r="C1396">
        <v>8</v>
      </c>
      <c r="D1396">
        <v>1993</v>
      </c>
      <c r="E1396">
        <v>123.6</v>
      </c>
      <c r="F1396">
        <v>9.3000000000000007</v>
      </c>
      <c r="G1396">
        <v>9</v>
      </c>
      <c r="H1396">
        <v>0.3</v>
      </c>
      <c r="I1396">
        <v>3</v>
      </c>
      <c r="J1396">
        <v>69.5</v>
      </c>
      <c r="K1396">
        <v>479.9</v>
      </c>
      <c r="L1396">
        <v>368</v>
      </c>
      <c r="M1396">
        <v>363</v>
      </c>
      <c r="N1396">
        <v>507</v>
      </c>
      <c r="O1396">
        <v>144</v>
      </c>
      <c r="P1396">
        <v>296</v>
      </c>
      <c r="Q1396">
        <v>507</v>
      </c>
      <c r="R1396">
        <v>211</v>
      </c>
      <c r="S1396">
        <v>272.7</v>
      </c>
      <c r="T1396">
        <v>388</v>
      </c>
      <c r="U1396">
        <v>387</v>
      </c>
      <c r="V1396">
        <v>500</v>
      </c>
      <c r="W1396">
        <v>2.79</v>
      </c>
    </row>
    <row r="1397" spans="1:23" x14ac:dyDescent="0.25">
      <c r="A1397" t="s">
        <v>39</v>
      </c>
      <c r="B1397">
        <v>6</v>
      </c>
      <c r="C1397">
        <v>9</v>
      </c>
      <c r="D1397">
        <v>1994</v>
      </c>
      <c r="E1397">
        <v>132.9</v>
      </c>
      <c r="F1397">
        <v>9.3000000000000007</v>
      </c>
      <c r="G1397">
        <v>9.3000000000000007</v>
      </c>
      <c r="H1397">
        <v>0</v>
      </c>
      <c r="I1397">
        <v>0</v>
      </c>
      <c r="J1397">
        <v>74.900000000000006</v>
      </c>
      <c r="K1397">
        <v>554.9</v>
      </c>
      <c r="L1397">
        <v>373</v>
      </c>
      <c r="M1397">
        <v>373</v>
      </c>
      <c r="P1397">
        <v>286</v>
      </c>
      <c r="Q1397">
        <v>463</v>
      </c>
      <c r="R1397">
        <v>177</v>
      </c>
      <c r="S1397">
        <v>272.7</v>
      </c>
      <c r="T1397">
        <v>388</v>
      </c>
      <c r="U1397">
        <v>387</v>
      </c>
      <c r="V1397">
        <v>500</v>
      </c>
      <c r="W1397">
        <v>2.79</v>
      </c>
    </row>
    <row r="1398" spans="1:23" x14ac:dyDescent="0.25">
      <c r="A1398" t="s">
        <v>39</v>
      </c>
      <c r="B1398">
        <v>6</v>
      </c>
      <c r="C1398">
        <v>10</v>
      </c>
      <c r="D1398">
        <v>1995</v>
      </c>
      <c r="E1398">
        <v>141.30000000000001</v>
      </c>
      <c r="F1398">
        <v>8.4</v>
      </c>
      <c r="G1398">
        <v>8.1</v>
      </c>
      <c r="H1398">
        <v>0.3</v>
      </c>
      <c r="I1398">
        <v>3</v>
      </c>
      <c r="J1398">
        <v>72.400000000000006</v>
      </c>
      <c r="K1398">
        <v>627.20000000000005</v>
      </c>
      <c r="L1398">
        <v>360</v>
      </c>
      <c r="M1398">
        <v>354</v>
      </c>
      <c r="N1398">
        <v>528</v>
      </c>
      <c r="O1398">
        <v>174</v>
      </c>
      <c r="P1398">
        <v>275</v>
      </c>
      <c r="Q1398">
        <v>528</v>
      </c>
      <c r="R1398">
        <v>253</v>
      </c>
      <c r="S1398">
        <v>272.7</v>
      </c>
      <c r="T1398">
        <v>388</v>
      </c>
      <c r="U1398">
        <v>387</v>
      </c>
      <c r="V1398">
        <v>500</v>
      </c>
      <c r="W1398">
        <v>2.79</v>
      </c>
    </row>
    <row r="1399" spans="1:23" x14ac:dyDescent="0.25">
      <c r="A1399" t="s">
        <v>39</v>
      </c>
      <c r="B1399">
        <v>6</v>
      </c>
      <c r="C1399">
        <v>11</v>
      </c>
      <c r="D1399">
        <v>1996</v>
      </c>
      <c r="E1399">
        <v>152.69999999999999</v>
      </c>
      <c r="F1399">
        <v>11.4</v>
      </c>
      <c r="G1399">
        <v>11.1</v>
      </c>
      <c r="H1399">
        <v>0.3</v>
      </c>
      <c r="I1399">
        <v>2</v>
      </c>
      <c r="J1399">
        <v>105.3</v>
      </c>
      <c r="K1399">
        <v>732.5</v>
      </c>
      <c r="L1399">
        <v>357</v>
      </c>
      <c r="M1399">
        <v>352</v>
      </c>
      <c r="N1399">
        <v>529</v>
      </c>
      <c r="O1399">
        <v>177</v>
      </c>
      <c r="P1399">
        <v>266</v>
      </c>
      <c r="Q1399">
        <v>529</v>
      </c>
      <c r="R1399">
        <v>263</v>
      </c>
      <c r="S1399">
        <v>272.7</v>
      </c>
      <c r="T1399">
        <v>388</v>
      </c>
      <c r="U1399">
        <v>387</v>
      </c>
      <c r="V1399">
        <v>500</v>
      </c>
      <c r="W1399">
        <v>2.79</v>
      </c>
    </row>
    <row r="1400" spans="1:23" x14ac:dyDescent="0.25">
      <c r="A1400" t="s">
        <v>39</v>
      </c>
      <c r="B1400">
        <v>6</v>
      </c>
      <c r="C1400">
        <v>12</v>
      </c>
      <c r="D1400">
        <v>1997</v>
      </c>
      <c r="E1400">
        <v>166.8</v>
      </c>
      <c r="F1400">
        <v>14.1</v>
      </c>
      <c r="G1400">
        <v>13.5</v>
      </c>
      <c r="H1400">
        <v>0.6</v>
      </c>
      <c r="I1400">
        <v>4</v>
      </c>
      <c r="J1400">
        <v>141.5</v>
      </c>
      <c r="K1400">
        <v>874.1</v>
      </c>
      <c r="L1400">
        <v>360</v>
      </c>
      <c r="M1400">
        <v>352</v>
      </c>
      <c r="N1400">
        <v>521</v>
      </c>
      <c r="O1400">
        <v>169</v>
      </c>
      <c r="P1400">
        <v>297</v>
      </c>
      <c r="Q1400">
        <v>530</v>
      </c>
      <c r="R1400">
        <v>233</v>
      </c>
      <c r="S1400">
        <v>272.7</v>
      </c>
      <c r="T1400">
        <v>388</v>
      </c>
      <c r="U1400">
        <v>387</v>
      </c>
      <c r="V1400">
        <v>500</v>
      </c>
      <c r="W1400">
        <v>2.79</v>
      </c>
    </row>
    <row r="1401" spans="1:23" x14ac:dyDescent="0.25">
      <c r="A1401" t="s">
        <v>39</v>
      </c>
      <c r="B1401">
        <v>6</v>
      </c>
      <c r="C1401">
        <v>13</v>
      </c>
      <c r="D1401">
        <v>1998</v>
      </c>
      <c r="E1401">
        <v>175.5</v>
      </c>
      <c r="F1401">
        <v>8.6999999999999993</v>
      </c>
      <c r="G1401">
        <v>7.2</v>
      </c>
      <c r="H1401">
        <v>1.5</v>
      </c>
      <c r="I1401">
        <v>17</v>
      </c>
      <c r="J1401">
        <v>93.6</v>
      </c>
      <c r="K1401">
        <v>967.6</v>
      </c>
      <c r="L1401">
        <v>402</v>
      </c>
      <c r="M1401">
        <v>378</v>
      </c>
      <c r="N1401">
        <v>518</v>
      </c>
      <c r="O1401">
        <v>140</v>
      </c>
      <c r="P1401">
        <v>286</v>
      </c>
      <c r="Q1401">
        <v>529</v>
      </c>
      <c r="R1401">
        <v>243</v>
      </c>
      <c r="S1401">
        <v>272.7</v>
      </c>
      <c r="T1401">
        <v>388</v>
      </c>
      <c r="U1401">
        <v>387</v>
      </c>
      <c r="V1401">
        <v>500</v>
      </c>
      <c r="W1401">
        <v>2.79</v>
      </c>
    </row>
    <row r="1402" spans="1:23" x14ac:dyDescent="0.25">
      <c r="A1402" t="s">
        <v>39</v>
      </c>
      <c r="B1402">
        <v>6</v>
      </c>
      <c r="C1402">
        <v>14</v>
      </c>
      <c r="D1402">
        <v>1999</v>
      </c>
      <c r="E1402">
        <v>188.4</v>
      </c>
      <c r="F1402">
        <v>12.9</v>
      </c>
      <c r="G1402">
        <v>12.6</v>
      </c>
      <c r="H1402">
        <v>0.3</v>
      </c>
      <c r="I1402">
        <v>2</v>
      </c>
      <c r="J1402">
        <v>147.5</v>
      </c>
      <c r="K1402">
        <v>1115.0999999999999</v>
      </c>
      <c r="L1402">
        <v>370</v>
      </c>
      <c r="M1402">
        <v>367</v>
      </c>
      <c r="N1402">
        <v>500</v>
      </c>
      <c r="O1402">
        <v>133</v>
      </c>
      <c r="P1402">
        <v>319</v>
      </c>
      <c r="Q1402">
        <v>500</v>
      </c>
      <c r="R1402">
        <v>181</v>
      </c>
      <c r="S1402">
        <v>272.7</v>
      </c>
      <c r="T1402">
        <v>388</v>
      </c>
      <c r="U1402">
        <v>387</v>
      </c>
      <c r="V1402">
        <v>500</v>
      </c>
      <c r="W1402">
        <v>2.79</v>
      </c>
    </row>
    <row r="1403" spans="1:23" x14ac:dyDescent="0.25">
      <c r="A1403" t="s">
        <v>39</v>
      </c>
      <c r="B1403">
        <v>6</v>
      </c>
      <c r="C1403">
        <v>15</v>
      </c>
      <c r="D1403">
        <v>2000</v>
      </c>
      <c r="E1403">
        <v>198.9</v>
      </c>
      <c r="F1403">
        <v>10.5</v>
      </c>
      <c r="G1403">
        <v>10.199999999999999</v>
      </c>
      <c r="H1403">
        <v>0.3</v>
      </c>
      <c r="I1403">
        <v>2</v>
      </c>
      <c r="J1403">
        <v>127.8</v>
      </c>
      <c r="K1403">
        <v>1242.9000000000001</v>
      </c>
      <c r="L1403">
        <v>372</v>
      </c>
      <c r="M1403">
        <v>368</v>
      </c>
      <c r="N1403">
        <v>514</v>
      </c>
      <c r="O1403">
        <v>146</v>
      </c>
      <c r="P1403">
        <v>292</v>
      </c>
      <c r="Q1403">
        <v>514</v>
      </c>
      <c r="R1403">
        <v>222</v>
      </c>
      <c r="S1403">
        <v>272.7</v>
      </c>
      <c r="T1403">
        <v>388</v>
      </c>
      <c r="U1403">
        <v>387</v>
      </c>
      <c r="V1403">
        <v>500</v>
      </c>
      <c r="W1403">
        <v>2.79</v>
      </c>
    </row>
    <row r="1404" spans="1:23" x14ac:dyDescent="0.25">
      <c r="A1404" t="s">
        <v>39</v>
      </c>
      <c r="B1404">
        <v>6</v>
      </c>
      <c r="C1404">
        <v>16</v>
      </c>
      <c r="D1404">
        <v>2001</v>
      </c>
      <c r="E1404">
        <v>209.1</v>
      </c>
      <c r="F1404">
        <v>10.199999999999999</v>
      </c>
      <c r="G1404">
        <v>8.6999999999999993</v>
      </c>
      <c r="H1404">
        <v>1.5</v>
      </c>
      <c r="I1404">
        <v>14</v>
      </c>
      <c r="J1404">
        <v>130.69999999999999</v>
      </c>
      <c r="K1404">
        <v>1373.6</v>
      </c>
      <c r="L1404">
        <v>401</v>
      </c>
      <c r="M1404">
        <v>381</v>
      </c>
      <c r="N1404">
        <v>518</v>
      </c>
      <c r="O1404">
        <v>137</v>
      </c>
      <c r="P1404">
        <v>319</v>
      </c>
      <c r="Q1404">
        <v>540</v>
      </c>
      <c r="R1404">
        <v>221</v>
      </c>
      <c r="S1404">
        <v>272.7</v>
      </c>
      <c r="T1404">
        <v>388</v>
      </c>
      <c r="U1404">
        <v>387</v>
      </c>
      <c r="V1404">
        <v>500</v>
      </c>
      <c r="W1404">
        <v>2.79</v>
      </c>
    </row>
    <row r="1405" spans="1:23" x14ac:dyDescent="0.25">
      <c r="A1405" t="s">
        <v>39</v>
      </c>
      <c r="B1405">
        <v>6</v>
      </c>
      <c r="C1405">
        <v>17</v>
      </c>
      <c r="D1405">
        <v>2002</v>
      </c>
      <c r="E1405">
        <v>218.4</v>
      </c>
      <c r="F1405">
        <v>9.3000000000000007</v>
      </c>
      <c r="G1405">
        <v>8.1</v>
      </c>
      <c r="H1405">
        <v>1.2</v>
      </c>
      <c r="I1405">
        <v>12</v>
      </c>
      <c r="J1405">
        <v>124.9</v>
      </c>
      <c r="K1405">
        <v>1498.5</v>
      </c>
      <c r="L1405">
        <v>400</v>
      </c>
      <c r="M1405">
        <v>384</v>
      </c>
      <c r="N1405">
        <v>514</v>
      </c>
      <c r="O1405">
        <v>130</v>
      </c>
      <c r="P1405">
        <v>302</v>
      </c>
      <c r="Q1405">
        <v>530</v>
      </c>
      <c r="R1405">
        <v>228</v>
      </c>
      <c r="S1405">
        <v>272.7</v>
      </c>
      <c r="T1405">
        <v>388</v>
      </c>
      <c r="U1405">
        <v>387</v>
      </c>
      <c r="V1405">
        <v>500</v>
      </c>
      <c r="W1405">
        <v>2.79</v>
      </c>
    </row>
    <row r="1406" spans="1:23" x14ac:dyDescent="0.25">
      <c r="A1406" t="s">
        <v>39</v>
      </c>
      <c r="B1406">
        <v>6</v>
      </c>
      <c r="C1406">
        <v>18</v>
      </c>
      <c r="D1406">
        <v>2003</v>
      </c>
      <c r="E1406">
        <v>229.2</v>
      </c>
      <c r="F1406">
        <v>10.8</v>
      </c>
      <c r="G1406">
        <v>10.5</v>
      </c>
      <c r="H1406">
        <v>0.3</v>
      </c>
      <c r="I1406">
        <v>2</v>
      </c>
      <c r="J1406">
        <v>151.9</v>
      </c>
      <c r="K1406">
        <v>1650.4</v>
      </c>
      <c r="L1406">
        <v>384</v>
      </c>
      <c r="M1406">
        <v>381</v>
      </c>
      <c r="N1406">
        <v>508</v>
      </c>
      <c r="O1406">
        <v>127</v>
      </c>
      <c r="P1406">
        <v>330</v>
      </c>
      <c r="Q1406">
        <v>508</v>
      </c>
      <c r="R1406">
        <v>178</v>
      </c>
      <c r="S1406">
        <v>272.7</v>
      </c>
      <c r="T1406">
        <v>388</v>
      </c>
      <c r="U1406">
        <v>387</v>
      </c>
      <c r="V1406">
        <v>500</v>
      </c>
      <c r="W1406">
        <v>2.79</v>
      </c>
    </row>
    <row r="1407" spans="1:23" x14ac:dyDescent="0.25">
      <c r="A1407" t="s">
        <v>39</v>
      </c>
      <c r="B1407">
        <v>6</v>
      </c>
      <c r="C1407">
        <v>19</v>
      </c>
      <c r="D1407">
        <v>2004</v>
      </c>
      <c r="E1407">
        <v>238.2</v>
      </c>
      <c r="F1407">
        <v>9</v>
      </c>
      <c r="G1407">
        <v>8.6999999999999993</v>
      </c>
      <c r="H1407">
        <v>0.3</v>
      </c>
      <c r="I1407">
        <v>3</v>
      </c>
      <c r="J1407">
        <v>132.19999999999999</v>
      </c>
      <c r="K1407">
        <v>1782.5</v>
      </c>
      <c r="L1407">
        <v>380</v>
      </c>
      <c r="M1407">
        <v>375</v>
      </c>
      <c r="N1407">
        <v>532</v>
      </c>
      <c r="O1407">
        <v>157</v>
      </c>
      <c r="P1407">
        <v>303</v>
      </c>
      <c r="Q1407">
        <v>532</v>
      </c>
      <c r="R1407">
        <v>229</v>
      </c>
      <c r="S1407">
        <v>272.7</v>
      </c>
      <c r="T1407">
        <v>388</v>
      </c>
      <c r="U1407">
        <v>387</v>
      </c>
      <c r="V1407">
        <v>500</v>
      </c>
      <c r="W1407">
        <v>2.79</v>
      </c>
    </row>
    <row r="1408" spans="1:23" x14ac:dyDescent="0.25">
      <c r="A1408" t="s">
        <v>39</v>
      </c>
      <c r="B1408">
        <v>6</v>
      </c>
      <c r="C1408">
        <v>20</v>
      </c>
      <c r="D1408">
        <v>2005</v>
      </c>
      <c r="E1408">
        <v>244.8</v>
      </c>
      <c r="F1408">
        <v>6.6</v>
      </c>
      <c r="G1408">
        <v>6</v>
      </c>
      <c r="H1408">
        <v>0.6</v>
      </c>
      <c r="I1408">
        <v>9</v>
      </c>
      <c r="J1408">
        <v>100.1</v>
      </c>
      <c r="K1408">
        <v>1882.7</v>
      </c>
      <c r="L1408">
        <v>399</v>
      </c>
      <c r="M1408">
        <v>388</v>
      </c>
      <c r="N1408">
        <v>515</v>
      </c>
      <c r="O1408">
        <v>127</v>
      </c>
      <c r="P1408">
        <v>326</v>
      </c>
      <c r="Q1408">
        <v>523</v>
      </c>
      <c r="R1408">
        <v>197</v>
      </c>
      <c r="S1408">
        <v>272.7</v>
      </c>
      <c r="T1408">
        <v>388</v>
      </c>
      <c r="U1408">
        <v>387</v>
      </c>
      <c r="V1408">
        <v>500</v>
      </c>
      <c r="W1408">
        <v>2.79</v>
      </c>
    </row>
    <row r="1409" spans="1:23" x14ac:dyDescent="0.25">
      <c r="A1409" t="s">
        <v>39</v>
      </c>
      <c r="B1409">
        <v>6</v>
      </c>
      <c r="C1409">
        <v>21</v>
      </c>
      <c r="D1409">
        <v>2006</v>
      </c>
      <c r="E1409">
        <v>249.6</v>
      </c>
      <c r="F1409">
        <v>4.8</v>
      </c>
      <c r="G1409">
        <v>4.2</v>
      </c>
      <c r="H1409">
        <v>0.6</v>
      </c>
      <c r="I1409">
        <v>12</v>
      </c>
      <c r="J1409">
        <v>74.599999999999994</v>
      </c>
      <c r="K1409">
        <v>1957.2</v>
      </c>
      <c r="L1409">
        <v>408</v>
      </c>
      <c r="M1409">
        <v>393</v>
      </c>
      <c r="N1409">
        <v>515</v>
      </c>
      <c r="O1409">
        <v>122</v>
      </c>
      <c r="P1409">
        <v>300</v>
      </c>
      <c r="Q1409">
        <v>522</v>
      </c>
      <c r="R1409">
        <v>222</v>
      </c>
      <c r="S1409">
        <v>272.7</v>
      </c>
      <c r="T1409">
        <v>388</v>
      </c>
      <c r="U1409">
        <v>387</v>
      </c>
      <c r="V1409">
        <v>500</v>
      </c>
      <c r="W1409">
        <v>2.79</v>
      </c>
    </row>
    <row r="1410" spans="1:23" x14ac:dyDescent="0.25">
      <c r="A1410" t="s">
        <v>39</v>
      </c>
      <c r="B1410">
        <v>6</v>
      </c>
      <c r="C1410">
        <v>22</v>
      </c>
      <c r="D1410">
        <v>2007</v>
      </c>
      <c r="E1410">
        <v>255.3</v>
      </c>
      <c r="F1410">
        <v>5.7</v>
      </c>
      <c r="G1410">
        <v>5.0999999999999996</v>
      </c>
      <c r="H1410">
        <v>0.6</v>
      </c>
      <c r="I1410">
        <v>10</v>
      </c>
      <c r="J1410">
        <v>90.4</v>
      </c>
      <c r="K1410">
        <v>2047.6</v>
      </c>
      <c r="L1410">
        <v>425</v>
      </c>
      <c r="M1410">
        <v>408</v>
      </c>
      <c r="N1410">
        <v>570</v>
      </c>
      <c r="O1410">
        <v>162</v>
      </c>
      <c r="P1410">
        <v>330</v>
      </c>
      <c r="Q1410">
        <v>571</v>
      </c>
      <c r="R1410">
        <v>241</v>
      </c>
      <c r="S1410">
        <v>272.7</v>
      </c>
      <c r="T1410">
        <v>388</v>
      </c>
      <c r="U1410">
        <v>387</v>
      </c>
      <c r="V1410">
        <v>500</v>
      </c>
      <c r="W1410">
        <v>2.79</v>
      </c>
    </row>
    <row r="1411" spans="1:23" x14ac:dyDescent="0.25">
      <c r="A1411" t="s">
        <v>39</v>
      </c>
      <c r="B1411">
        <v>6</v>
      </c>
      <c r="C1411">
        <v>23</v>
      </c>
      <c r="D1411">
        <v>2008</v>
      </c>
      <c r="E1411">
        <v>261.89999999999998</v>
      </c>
      <c r="F1411">
        <v>6.6</v>
      </c>
      <c r="G1411">
        <v>6</v>
      </c>
      <c r="H1411">
        <v>0.6</v>
      </c>
      <c r="I1411">
        <v>9</v>
      </c>
      <c r="J1411">
        <v>107.2</v>
      </c>
      <c r="K1411">
        <v>2154.9</v>
      </c>
      <c r="L1411">
        <v>396</v>
      </c>
      <c r="M1411">
        <v>384</v>
      </c>
      <c r="N1411">
        <v>517</v>
      </c>
      <c r="O1411">
        <v>133</v>
      </c>
      <c r="P1411">
        <v>338</v>
      </c>
      <c r="Q1411">
        <v>533</v>
      </c>
      <c r="R1411">
        <v>195</v>
      </c>
      <c r="S1411">
        <v>272.7</v>
      </c>
      <c r="T1411">
        <v>388</v>
      </c>
      <c r="U1411">
        <v>387</v>
      </c>
      <c r="V1411">
        <v>500</v>
      </c>
      <c r="W1411">
        <v>2.79</v>
      </c>
    </row>
    <row r="1412" spans="1:23" x14ac:dyDescent="0.25">
      <c r="A1412" t="s">
        <v>39</v>
      </c>
      <c r="B1412">
        <v>6</v>
      </c>
      <c r="C1412">
        <v>24</v>
      </c>
      <c r="D1412">
        <v>2009</v>
      </c>
      <c r="E1412">
        <v>266.7</v>
      </c>
      <c r="F1412">
        <v>4.8</v>
      </c>
      <c r="G1412">
        <v>3.9</v>
      </c>
      <c r="H1412">
        <v>0.9</v>
      </c>
      <c r="I1412">
        <v>18</v>
      </c>
      <c r="J1412">
        <v>79.7</v>
      </c>
      <c r="K1412">
        <v>2234.6</v>
      </c>
      <c r="L1412">
        <v>418</v>
      </c>
      <c r="M1412">
        <v>392</v>
      </c>
      <c r="N1412">
        <v>529</v>
      </c>
      <c r="O1412">
        <v>137</v>
      </c>
      <c r="P1412">
        <v>343</v>
      </c>
      <c r="Q1412">
        <v>535</v>
      </c>
      <c r="R1412">
        <v>192</v>
      </c>
      <c r="S1412">
        <v>272.7</v>
      </c>
      <c r="T1412">
        <v>388</v>
      </c>
      <c r="U1412">
        <v>387</v>
      </c>
      <c r="V1412">
        <v>500</v>
      </c>
      <c r="W1412">
        <v>2.79</v>
      </c>
    </row>
    <row r="1413" spans="1:23" x14ac:dyDescent="0.25">
      <c r="A1413" t="s">
        <v>39</v>
      </c>
      <c r="B1413">
        <v>6</v>
      </c>
      <c r="C1413">
        <v>25</v>
      </c>
      <c r="D1413">
        <v>2010</v>
      </c>
      <c r="E1413">
        <v>271.5</v>
      </c>
      <c r="F1413">
        <v>4.8</v>
      </c>
      <c r="G1413">
        <v>3.6</v>
      </c>
      <c r="H1413">
        <v>1.2</v>
      </c>
      <c r="I1413">
        <v>25</v>
      </c>
      <c r="J1413">
        <v>81.2</v>
      </c>
      <c r="K1413">
        <v>2315.6999999999998</v>
      </c>
      <c r="L1413">
        <v>436</v>
      </c>
      <c r="M1413">
        <v>395</v>
      </c>
      <c r="N1413">
        <v>558</v>
      </c>
      <c r="O1413">
        <v>163</v>
      </c>
      <c r="P1413">
        <v>343</v>
      </c>
      <c r="Q1413">
        <v>571</v>
      </c>
      <c r="R1413">
        <v>228</v>
      </c>
      <c r="S1413">
        <v>272.7</v>
      </c>
      <c r="T1413">
        <v>388</v>
      </c>
      <c r="U1413">
        <v>387</v>
      </c>
      <c r="V1413">
        <v>500</v>
      </c>
      <c r="W1413">
        <v>2.79</v>
      </c>
    </row>
    <row r="1414" spans="1:23" x14ac:dyDescent="0.25">
      <c r="A1414" t="s">
        <v>39</v>
      </c>
      <c r="B1414">
        <v>6</v>
      </c>
      <c r="C1414">
        <v>26</v>
      </c>
      <c r="D1414">
        <v>2011</v>
      </c>
      <c r="E1414">
        <v>276</v>
      </c>
      <c r="F1414">
        <v>4.5</v>
      </c>
      <c r="G1414">
        <v>3.6</v>
      </c>
      <c r="H1414">
        <v>0.9</v>
      </c>
      <c r="I1414">
        <v>20</v>
      </c>
      <c r="J1414">
        <v>77.400000000000006</v>
      </c>
      <c r="K1414">
        <v>2393.1</v>
      </c>
      <c r="L1414">
        <v>439</v>
      </c>
      <c r="M1414">
        <v>410</v>
      </c>
      <c r="N1414">
        <v>556</v>
      </c>
      <c r="O1414">
        <v>146</v>
      </c>
      <c r="P1414">
        <v>353</v>
      </c>
      <c r="Q1414">
        <v>586</v>
      </c>
      <c r="R1414">
        <v>233</v>
      </c>
      <c r="S1414">
        <v>272.7</v>
      </c>
      <c r="T1414">
        <v>388</v>
      </c>
      <c r="U1414">
        <v>387</v>
      </c>
      <c r="V1414">
        <v>500</v>
      </c>
      <c r="W1414">
        <v>2.79</v>
      </c>
    </row>
    <row r="1415" spans="1:23" x14ac:dyDescent="0.25">
      <c r="A1415" t="s">
        <v>39</v>
      </c>
      <c r="B1415">
        <v>6</v>
      </c>
      <c r="C1415">
        <v>27</v>
      </c>
      <c r="D1415">
        <v>2012</v>
      </c>
      <c r="E1415">
        <v>278.7</v>
      </c>
      <c r="F1415">
        <v>2.7</v>
      </c>
      <c r="G1415">
        <v>2.4</v>
      </c>
      <c r="H1415">
        <v>0.3</v>
      </c>
      <c r="I1415">
        <v>11</v>
      </c>
      <c r="J1415">
        <v>47.1</v>
      </c>
      <c r="K1415">
        <v>2440.1999999999998</v>
      </c>
      <c r="L1415">
        <v>413</v>
      </c>
      <c r="M1415">
        <v>396</v>
      </c>
      <c r="N1415">
        <v>544</v>
      </c>
      <c r="O1415">
        <v>148</v>
      </c>
      <c r="P1415">
        <v>352</v>
      </c>
      <c r="Q1415">
        <v>544</v>
      </c>
      <c r="R1415">
        <v>192</v>
      </c>
      <c r="S1415">
        <v>272.7</v>
      </c>
      <c r="T1415">
        <v>388</v>
      </c>
      <c r="U1415">
        <v>387</v>
      </c>
      <c r="V1415">
        <v>500</v>
      </c>
      <c r="W1415">
        <v>2.79</v>
      </c>
    </row>
    <row r="1416" spans="1:23" x14ac:dyDescent="0.25">
      <c r="A1416" t="s">
        <v>39</v>
      </c>
      <c r="B1416">
        <v>7</v>
      </c>
      <c r="C1416">
        <v>2</v>
      </c>
      <c r="D1416">
        <v>1987</v>
      </c>
      <c r="E1416">
        <v>17</v>
      </c>
      <c r="F1416">
        <v>17</v>
      </c>
      <c r="G1416">
        <v>12</v>
      </c>
      <c r="H1416">
        <v>0</v>
      </c>
      <c r="I1416">
        <v>0</v>
      </c>
      <c r="J1416">
        <v>9.1</v>
      </c>
      <c r="K1416">
        <v>9.1</v>
      </c>
      <c r="L1416">
        <v>345</v>
      </c>
      <c r="M1416">
        <v>345</v>
      </c>
      <c r="P1416">
        <v>181</v>
      </c>
      <c r="Q1416">
        <v>476</v>
      </c>
      <c r="R1416">
        <v>295</v>
      </c>
      <c r="S1416">
        <v>289.2</v>
      </c>
      <c r="T1416">
        <v>379</v>
      </c>
      <c r="U1416">
        <v>380</v>
      </c>
      <c r="V1416">
        <v>500</v>
      </c>
      <c r="W1416">
        <v>2.79</v>
      </c>
    </row>
    <row r="1417" spans="1:23" x14ac:dyDescent="0.25">
      <c r="A1417" t="s">
        <v>39</v>
      </c>
      <c r="B1417">
        <v>7</v>
      </c>
      <c r="C1417">
        <v>3</v>
      </c>
      <c r="D1417">
        <v>1988</v>
      </c>
      <c r="E1417">
        <v>37.700000000000003</v>
      </c>
      <c r="F1417">
        <v>20.7</v>
      </c>
      <c r="G1417">
        <v>20.7</v>
      </c>
      <c r="H1417">
        <v>0</v>
      </c>
      <c r="I1417">
        <v>0</v>
      </c>
      <c r="J1417">
        <v>35.6</v>
      </c>
      <c r="K1417">
        <v>44.7</v>
      </c>
      <c r="L1417">
        <v>343</v>
      </c>
      <c r="M1417">
        <v>343</v>
      </c>
      <c r="P1417">
        <v>289</v>
      </c>
      <c r="Q1417">
        <v>462</v>
      </c>
      <c r="R1417">
        <v>173</v>
      </c>
      <c r="S1417">
        <v>289.2</v>
      </c>
      <c r="T1417">
        <v>379</v>
      </c>
      <c r="U1417">
        <v>380</v>
      </c>
      <c r="V1417">
        <v>500</v>
      </c>
      <c r="W1417">
        <v>2.79</v>
      </c>
    </row>
    <row r="1418" spans="1:23" x14ac:dyDescent="0.25">
      <c r="A1418" t="s">
        <v>39</v>
      </c>
      <c r="B1418">
        <v>7</v>
      </c>
      <c r="C1418">
        <v>4</v>
      </c>
      <c r="D1418">
        <v>1989</v>
      </c>
      <c r="E1418">
        <v>57.8</v>
      </c>
      <c r="F1418">
        <v>20.100000000000001</v>
      </c>
      <c r="G1418">
        <v>20.100000000000001</v>
      </c>
      <c r="H1418">
        <v>0</v>
      </c>
      <c r="I1418">
        <v>0</v>
      </c>
      <c r="J1418">
        <v>60.3</v>
      </c>
      <c r="K1418">
        <v>105</v>
      </c>
      <c r="L1418">
        <v>323</v>
      </c>
      <c r="M1418">
        <v>323</v>
      </c>
      <c r="P1418">
        <v>248</v>
      </c>
      <c r="Q1418">
        <v>475</v>
      </c>
      <c r="R1418">
        <v>227</v>
      </c>
      <c r="S1418">
        <v>289.2</v>
      </c>
      <c r="T1418">
        <v>379</v>
      </c>
      <c r="U1418">
        <v>380</v>
      </c>
      <c r="V1418">
        <v>500</v>
      </c>
      <c r="W1418">
        <v>2.79</v>
      </c>
    </row>
    <row r="1419" spans="1:23" x14ac:dyDescent="0.25">
      <c r="A1419" t="s">
        <v>39</v>
      </c>
      <c r="B1419">
        <v>7</v>
      </c>
      <c r="C1419">
        <v>5</v>
      </c>
      <c r="D1419">
        <v>1990</v>
      </c>
      <c r="E1419">
        <v>74.3</v>
      </c>
      <c r="F1419">
        <v>16.5</v>
      </c>
      <c r="G1419">
        <v>16.5</v>
      </c>
      <c r="H1419">
        <v>0</v>
      </c>
      <c r="I1419">
        <v>0</v>
      </c>
      <c r="J1419">
        <v>68.5</v>
      </c>
      <c r="K1419">
        <v>173.4</v>
      </c>
      <c r="L1419">
        <v>330</v>
      </c>
      <c r="M1419">
        <v>330</v>
      </c>
      <c r="P1419">
        <v>283</v>
      </c>
      <c r="Q1419">
        <v>476</v>
      </c>
      <c r="R1419">
        <v>193</v>
      </c>
      <c r="S1419">
        <v>289.2</v>
      </c>
      <c r="T1419">
        <v>379</v>
      </c>
      <c r="U1419">
        <v>380</v>
      </c>
      <c r="V1419">
        <v>500</v>
      </c>
      <c r="W1419">
        <v>2.79</v>
      </c>
    </row>
    <row r="1420" spans="1:23" x14ac:dyDescent="0.25">
      <c r="A1420" t="s">
        <v>39</v>
      </c>
      <c r="B1420">
        <v>7</v>
      </c>
      <c r="C1420">
        <v>6</v>
      </c>
      <c r="D1420">
        <v>1991</v>
      </c>
      <c r="E1420">
        <v>91.1</v>
      </c>
      <c r="F1420">
        <v>16.8</v>
      </c>
      <c r="G1420">
        <v>15.9</v>
      </c>
      <c r="H1420">
        <v>0.9</v>
      </c>
      <c r="I1420">
        <v>5</v>
      </c>
      <c r="J1420">
        <v>87.3</v>
      </c>
      <c r="K1420">
        <v>260.7</v>
      </c>
      <c r="L1420">
        <v>358</v>
      </c>
      <c r="M1420">
        <v>348</v>
      </c>
      <c r="N1420">
        <v>532</v>
      </c>
      <c r="O1420">
        <v>184</v>
      </c>
      <c r="P1420">
        <v>293</v>
      </c>
      <c r="Q1420">
        <v>549</v>
      </c>
      <c r="R1420">
        <v>256</v>
      </c>
      <c r="S1420">
        <v>289.2</v>
      </c>
      <c r="T1420">
        <v>379</v>
      </c>
      <c r="U1420">
        <v>380</v>
      </c>
      <c r="V1420">
        <v>500</v>
      </c>
      <c r="W1420">
        <v>2.79</v>
      </c>
    </row>
    <row r="1421" spans="1:23" x14ac:dyDescent="0.25">
      <c r="A1421" t="s">
        <v>39</v>
      </c>
      <c r="B1421">
        <v>7</v>
      </c>
      <c r="C1421">
        <v>7</v>
      </c>
      <c r="D1421">
        <v>1992</v>
      </c>
      <c r="E1421">
        <v>104.9</v>
      </c>
      <c r="F1421">
        <v>13.8</v>
      </c>
      <c r="G1421">
        <v>12.9</v>
      </c>
      <c r="H1421">
        <v>0.9</v>
      </c>
      <c r="I1421">
        <v>6</v>
      </c>
      <c r="J1421">
        <v>85</v>
      </c>
      <c r="K1421">
        <v>345.7</v>
      </c>
      <c r="L1421">
        <v>359</v>
      </c>
      <c r="M1421">
        <v>348</v>
      </c>
      <c r="N1421">
        <v>514</v>
      </c>
      <c r="O1421">
        <v>166</v>
      </c>
      <c r="P1421">
        <v>293</v>
      </c>
      <c r="Q1421">
        <v>517</v>
      </c>
      <c r="R1421">
        <v>224</v>
      </c>
      <c r="S1421">
        <v>289.2</v>
      </c>
      <c r="T1421">
        <v>379</v>
      </c>
      <c r="U1421">
        <v>380</v>
      </c>
      <c r="V1421">
        <v>500</v>
      </c>
      <c r="W1421">
        <v>2.79</v>
      </c>
    </row>
    <row r="1422" spans="1:23" x14ac:dyDescent="0.25">
      <c r="A1422" t="s">
        <v>39</v>
      </c>
      <c r="B1422">
        <v>7</v>
      </c>
      <c r="C1422">
        <v>8</v>
      </c>
      <c r="D1422">
        <v>1993</v>
      </c>
      <c r="E1422">
        <v>120.5</v>
      </c>
      <c r="F1422">
        <v>15.6</v>
      </c>
      <c r="G1422">
        <v>15.3</v>
      </c>
      <c r="H1422">
        <v>0.3</v>
      </c>
      <c r="I1422">
        <v>1</v>
      </c>
      <c r="J1422">
        <v>110.5</v>
      </c>
      <c r="K1422">
        <v>456.2</v>
      </c>
      <c r="L1422">
        <v>370</v>
      </c>
      <c r="M1422">
        <v>368</v>
      </c>
      <c r="N1422">
        <v>510</v>
      </c>
      <c r="O1422">
        <v>142</v>
      </c>
      <c r="P1422">
        <v>294</v>
      </c>
      <c r="Q1422">
        <v>510</v>
      </c>
      <c r="R1422">
        <v>216</v>
      </c>
      <c r="S1422">
        <v>289.2</v>
      </c>
      <c r="T1422">
        <v>379</v>
      </c>
      <c r="U1422">
        <v>380</v>
      </c>
      <c r="V1422">
        <v>500</v>
      </c>
      <c r="W1422">
        <v>2.79</v>
      </c>
    </row>
    <row r="1423" spans="1:23" x14ac:dyDescent="0.25">
      <c r="A1423" t="s">
        <v>39</v>
      </c>
      <c r="B1423">
        <v>7</v>
      </c>
      <c r="C1423">
        <v>9</v>
      </c>
      <c r="D1423">
        <v>1994</v>
      </c>
      <c r="E1423">
        <v>136.69999999999999</v>
      </c>
      <c r="F1423">
        <v>16.2</v>
      </c>
      <c r="G1423">
        <v>15.6</v>
      </c>
      <c r="H1423">
        <v>0.6</v>
      </c>
      <c r="I1423">
        <v>3</v>
      </c>
      <c r="J1423">
        <v>130.9</v>
      </c>
      <c r="K1423">
        <v>587.1</v>
      </c>
      <c r="L1423">
        <v>388</v>
      </c>
      <c r="M1423">
        <v>383</v>
      </c>
      <c r="N1423">
        <v>519</v>
      </c>
      <c r="O1423">
        <v>136</v>
      </c>
      <c r="P1423">
        <v>316</v>
      </c>
      <c r="Q1423">
        <v>531</v>
      </c>
      <c r="R1423">
        <v>215</v>
      </c>
      <c r="S1423">
        <v>289.2</v>
      </c>
      <c r="T1423">
        <v>379</v>
      </c>
      <c r="U1423">
        <v>380</v>
      </c>
      <c r="V1423">
        <v>500</v>
      </c>
      <c r="W1423">
        <v>2.79</v>
      </c>
    </row>
    <row r="1424" spans="1:23" x14ac:dyDescent="0.25">
      <c r="A1424" t="s">
        <v>39</v>
      </c>
      <c r="B1424">
        <v>7</v>
      </c>
      <c r="C1424">
        <v>10</v>
      </c>
      <c r="D1424">
        <v>1995</v>
      </c>
      <c r="E1424">
        <v>153.19999999999999</v>
      </c>
      <c r="F1424">
        <v>16.5</v>
      </c>
      <c r="G1424">
        <v>15.9</v>
      </c>
      <c r="H1424">
        <v>0.6</v>
      </c>
      <c r="I1424">
        <v>3</v>
      </c>
      <c r="J1424">
        <v>150.30000000000001</v>
      </c>
      <c r="K1424">
        <v>737.3</v>
      </c>
      <c r="L1424">
        <v>365</v>
      </c>
      <c r="M1424">
        <v>359</v>
      </c>
      <c r="N1424">
        <v>541</v>
      </c>
      <c r="O1424">
        <v>182</v>
      </c>
      <c r="P1424">
        <v>309</v>
      </c>
      <c r="Q1424">
        <v>554</v>
      </c>
      <c r="R1424">
        <v>245</v>
      </c>
      <c r="S1424">
        <v>289.2</v>
      </c>
      <c r="T1424">
        <v>379</v>
      </c>
      <c r="U1424">
        <v>380</v>
      </c>
      <c r="V1424">
        <v>500</v>
      </c>
      <c r="W1424">
        <v>2.79</v>
      </c>
    </row>
    <row r="1425" spans="1:23" x14ac:dyDescent="0.25">
      <c r="A1425" t="s">
        <v>39</v>
      </c>
      <c r="B1425">
        <v>7</v>
      </c>
      <c r="C1425">
        <v>11</v>
      </c>
      <c r="D1425">
        <v>1996</v>
      </c>
      <c r="E1425">
        <v>170.3</v>
      </c>
      <c r="F1425">
        <v>17.100000000000001</v>
      </c>
      <c r="G1425">
        <v>16.8</v>
      </c>
      <c r="H1425">
        <v>0.3</v>
      </c>
      <c r="I1425">
        <v>1</v>
      </c>
      <c r="J1425">
        <v>173.8</v>
      </c>
      <c r="K1425">
        <v>911.1</v>
      </c>
      <c r="L1425">
        <v>353</v>
      </c>
      <c r="M1425">
        <v>350</v>
      </c>
      <c r="N1425">
        <v>520</v>
      </c>
      <c r="O1425">
        <v>170</v>
      </c>
      <c r="P1425">
        <v>275</v>
      </c>
      <c r="Q1425">
        <v>520</v>
      </c>
      <c r="R1425">
        <v>245</v>
      </c>
      <c r="S1425">
        <v>289.2</v>
      </c>
      <c r="T1425">
        <v>379</v>
      </c>
      <c r="U1425">
        <v>380</v>
      </c>
      <c r="V1425">
        <v>500</v>
      </c>
      <c r="W1425">
        <v>2.79</v>
      </c>
    </row>
    <row r="1426" spans="1:23" x14ac:dyDescent="0.25">
      <c r="A1426" t="s">
        <v>39</v>
      </c>
      <c r="B1426">
        <v>7</v>
      </c>
      <c r="C1426">
        <v>12</v>
      </c>
      <c r="D1426">
        <v>1997</v>
      </c>
      <c r="E1426">
        <v>188</v>
      </c>
      <c r="F1426">
        <v>17.7</v>
      </c>
      <c r="G1426">
        <v>17.399999999999999</v>
      </c>
      <c r="H1426">
        <v>0.3</v>
      </c>
      <c r="I1426">
        <v>1</v>
      </c>
      <c r="J1426">
        <v>199.2</v>
      </c>
      <c r="K1426">
        <v>1110.4000000000001</v>
      </c>
      <c r="L1426">
        <v>363</v>
      </c>
      <c r="M1426">
        <v>360</v>
      </c>
      <c r="N1426">
        <v>509</v>
      </c>
      <c r="O1426">
        <v>149</v>
      </c>
      <c r="P1426">
        <v>300</v>
      </c>
      <c r="Q1426">
        <v>509</v>
      </c>
      <c r="R1426">
        <v>209</v>
      </c>
      <c r="S1426">
        <v>289.2</v>
      </c>
      <c r="T1426">
        <v>379</v>
      </c>
      <c r="U1426">
        <v>380</v>
      </c>
      <c r="V1426">
        <v>500</v>
      </c>
      <c r="W1426">
        <v>2.79</v>
      </c>
    </row>
    <row r="1427" spans="1:23" x14ac:dyDescent="0.25">
      <c r="A1427" t="s">
        <v>39</v>
      </c>
      <c r="B1427">
        <v>7</v>
      </c>
      <c r="C1427">
        <v>13</v>
      </c>
      <c r="D1427">
        <v>1998</v>
      </c>
      <c r="E1427">
        <v>201.2</v>
      </c>
      <c r="F1427">
        <v>13.2</v>
      </c>
      <c r="G1427">
        <v>12.9</v>
      </c>
      <c r="H1427">
        <v>0.3</v>
      </c>
      <c r="I1427">
        <v>2</v>
      </c>
      <c r="J1427">
        <v>161.4</v>
      </c>
      <c r="K1427">
        <v>1271.8</v>
      </c>
      <c r="L1427">
        <v>383</v>
      </c>
      <c r="M1427">
        <v>381</v>
      </c>
      <c r="N1427">
        <v>504</v>
      </c>
      <c r="O1427">
        <v>123</v>
      </c>
      <c r="P1427">
        <v>327</v>
      </c>
      <c r="Q1427">
        <v>504</v>
      </c>
      <c r="R1427">
        <v>177</v>
      </c>
      <c r="S1427">
        <v>289.2</v>
      </c>
      <c r="T1427">
        <v>379</v>
      </c>
      <c r="U1427">
        <v>380</v>
      </c>
      <c r="V1427">
        <v>500</v>
      </c>
      <c r="W1427">
        <v>2.79</v>
      </c>
    </row>
    <row r="1428" spans="1:23" x14ac:dyDescent="0.25">
      <c r="A1428" t="s">
        <v>39</v>
      </c>
      <c r="B1428">
        <v>7</v>
      </c>
      <c r="C1428">
        <v>14</v>
      </c>
      <c r="D1428">
        <v>1999</v>
      </c>
      <c r="E1428">
        <v>215</v>
      </c>
      <c r="F1428">
        <v>13.8</v>
      </c>
      <c r="G1428">
        <v>13.5</v>
      </c>
      <c r="H1428">
        <v>0.3</v>
      </c>
      <c r="I1428">
        <v>2</v>
      </c>
      <c r="J1428">
        <v>180.4</v>
      </c>
      <c r="K1428">
        <v>1452.2</v>
      </c>
      <c r="L1428">
        <v>366</v>
      </c>
      <c r="M1428">
        <v>362</v>
      </c>
      <c r="N1428">
        <v>556</v>
      </c>
      <c r="O1428">
        <v>194</v>
      </c>
      <c r="P1428">
        <v>314</v>
      </c>
      <c r="Q1428">
        <v>556</v>
      </c>
      <c r="R1428">
        <v>242</v>
      </c>
      <c r="S1428">
        <v>289.2</v>
      </c>
      <c r="T1428">
        <v>379</v>
      </c>
      <c r="U1428">
        <v>380</v>
      </c>
      <c r="V1428">
        <v>500</v>
      </c>
      <c r="W1428">
        <v>2.79</v>
      </c>
    </row>
    <row r="1429" spans="1:23" x14ac:dyDescent="0.25">
      <c r="A1429" t="s">
        <v>39</v>
      </c>
      <c r="B1429">
        <v>7</v>
      </c>
      <c r="C1429">
        <v>15</v>
      </c>
      <c r="D1429">
        <v>2000</v>
      </c>
      <c r="E1429">
        <v>226.7</v>
      </c>
      <c r="F1429">
        <v>11.7</v>
      </c>
      <c r="G1429">
        <v>11.4</v>
      </c>
      <c r="H1429">
        <v>0.3</v>
      </c>
      <c r="I1429">
        <v>2</v>
      </c>
      <c r="J1429">
        <v>162.4</v>
      </c>
      <c r="K1429">
        <v>1614.6</v>
      </c>
      <c r="L1429">
        <v>377</v>
      </c>
      <c r="M1429">
        <v>374</v>
      </c>
      <c r="N1429">
        <v>512</v>
      </c>
      <c r="O1429">
        <v>138</v>
      </c>
      <c r="P1429">
        <v>334</v>
      </c>
      <c r="Q1429">
        <v>512</v>
      </c>
      <c r="R1429">
        <v>178</v>
      </c>
      <c r="S1429">
        <v>289.2</v>
      </c>
      <c r="T1429">
        <v>379</v>
      </c>
      <c r="U1429">
        <v>380</v>
      </c>
      <c r="V1429">
        <v>500</v>
      </c>
      <c r="W1429">
        <v>2.79</v>
      </c>
    </row>
    <row r="1430" spans="1:23" x14ac:dyDescent="0.25">
      <c r="A1430" t="s">
        <v>39</v>
      </c>
      <c r="B1430">
        <v>7</v>
      </c>
      <c r="C1430">
        <v>16</v>
      </c>
      <c r="D1430">
        <v>2001</v>
      </c>
      <c r="E1430">
        <v>237.2</v>
      </c>
      <c r="F1430">
        <v>10.5</v>
      </c>
      <c r="G1430">
        <v>9.3000000000000007</v>
      </c>
      <c r="H1430">
        <v>1.2</v>
      </c>
      <c r="I1430">
        <v>11</v>
      </c>
      <c r="J1430">
        <v>153</v>
      </c>
      <c r="K1430">
        <v>1767.6</v>
      </c>
      <c r="L1430">
        <v>408</v>
      </c>
      <c r="M1430">
        <v>395</v>
      </c>
      <c r="N1430">
        <v>507</v>
      </c>
      <c r="O1430">
        <v>112</v>
      </c>
      <c r="P1430">
        <v>347</v>
      </c>
      <c r="Q1430">
        <v>518</v>
      </c>
      <c r="R1430">
        <v>171</v>
      </c>
      <c r="S1430">
        <v>289.2</v>
      </c>
      <c r="T1430">
        <v>379</v>
      </c>
      <c r="U1430">
        <v>380</v>
      </c>
      <c r="V1430">
        <v>500</v>
      </c>
      <c r="W1430">
        <v>2.79</v>
      </c>
    </row>
    <row r="1431" spans="1:23" x14ac:dyDescent="0.25">
      <c r="A1431" t="s">
        <v>39</v>
      </c>
      <c r="B1431">
        <v>7</v>
      </c>
      <c r="C1431">
        <v>17</v>
      </c>
      <c r="D1431">
        <v>2002</v>
      </c>
      <c r="E1431">
        <v>248.3</v>
      </c>
      <c r="F1431">
        <v>11.1</v>
      </c>
      <c r="G1431">
        <v>9.6</v>
      </c>
      <c r="H1431">
        <v>1.5</v>
      </c>
      <c r="I1431">
        <v>13</v>
      </c>
      <c r="J1431">
        <v>169.3</v>
      </c>
      <c r="K1431">
        <v>1936.9</v>
      </c>
      <c r="L1431">
        <v>409</v>
      </c>
      <c r="M1431">
        <v>391</v>
      </c>
      <c r="N1431">
        <v>529</v>
      </c>
      <c r="O1431">
        <v>138</v>
      </c>
      <c r="P1431">
        <v>339</v>
      </c>
      <c r="Q1431">
        <v>573</v>
      </c>
      <c r="R1431">
        <v>234</v>
      </c>
      <c r="S1431">
        <v>289.2</v>
      </c>
      <c r="T1431">
        <v>379</v>
      </c>
      <c r="U1431">
        <v>380</v>
      </c>
      <c r="V1431">
        <v>500</v>
      </c>
      <c r="W1431">
        <v>2.79</v>
      </c>
    </row>
    <row r="1432" spans="1:23" x14ac:dyDescent="0.25">
      <c r="A1432" t="s">
        <v>39</v>
      </c>
      <c r="B1432">
        <v>7</v>
      </c>
      <c r="C1432">
        <v>18</v>
      </c>
      <c r="D1432">
        <v>2003</v>
      </c>
      <c r="E1432">
        <v>259.39999999999998</v>
      </c>
      <c r="F1432">
        <v>11.1</v>
      </c>
      <c r="G1432">
        <v>11.1</v>
      </c>
      <c r="H1432">
        <v>0</v>
      </c>
      <c r="I1432">
        <v>0</v>
      </c>
      <c r="J1432">
        <v>177</v>
      </c>
      <c r="K1432">
        <v>2113.9</v>
      </c>
      <c r="L1432">
        <v>391</v>
      </c>
      <c r="M1432">
        <v>391</v>
      </c>
      <c r="P1432">
        <v>339</v>
      </c>
      <c r="Q1432">
        <v>493</v>
      </c>
      <c r="R1432">
        <v>154</v>
      </c>
      <c r="S1432">
        <v>289.2</v>
      </c>
      <c r="T1432">
        <v>379</v>
      </c>
      <c r="U1432">
        <v>380</v>
      </c>
      <c r="V1432">
        <v>500</v>
      </c>
      <c r="W1432">
        <v>2.79</v>
      </c>
    </row>
    <row r="1433" spans="1:23" x14ac:dyDescent="0.25">
      <c r="A1433" t="s">
        <v>39</v>
      </c>
      <c r="B1433">
        <v>7</v>
      </c>
      <c r="C1433">
        <v>19</v>
      </c>
      <c r="D1433">
        <v>2004</v>
      </c>
      <c r="E1433">
        <v>268.10000000000002</v>
      </c>
      <c r="F1433">
        <v>8.6999999999999993</v>
      </c>
      <c r="G1433">
        <v>8.1</v>
      </c>
      <c r="H1433">
        <v>0.6</v>
      </c>
      <c r="I1433">
        <v>6</v>
      </c>
      <c r="J1433">
        <v>144.19999999999999</v>
      </c>
      <c r="K1433">
        <v>2258.1</v>
      </c>
      <c r="L1433">
        <v>405</v>
      </c>
      <c r="M1433">
        <v>396</v>
      </c>
      <c r="N1433">
        <v>523</v>
      </c>
      <c r="O1433">
        <v>127</v>
      </c>
      <c r="P1433">
        <v>332</v>
      </c>
      <c r="Q1433">
        <v>534</v>
      </c>
      <c r="R1433">
        <v>202</v>
      </c>
      <c r="S1433">
        <v>289.2</v>
      </c>
      <c r="T1433">
        <v>379</v>
      </c>
      <c r="U1433">
        <v>380</v>
      </c>
      <c r="V1433">
        <v>500</v>
      </c>
      <c r="W1433">
        <v>2.79</v>
      </c>
    </row>
    <row r="1434" spans="1:23" x14ac:dyDescent="0.25">
      <c r="A1434" t="s">
        <v>39</v>
      </c>
      <c r="B1434">
        <v>7</v>
      </c>
      <c r="C1434">
        <v>20</v>
      </c>
      <c r="D1434">
        <v>2005</v>
      </c>
      <c r="E1434">
        <v>275.3</v>
      </c>
      <c r="F1434">
        <v>7.2</v>
      </c>
      <c r="G1434">
        <v>7.2</v>
      </c>
      <c r="H1434">
        <v>0</v>
      </c>
      <c r="I1434">
        <v>0</v>
      </c>
      <c r="J1434">
        <v>122.9</v>
      </c>
      <c r="K1434">
        <v>2381</v>
      </c>
      <c r="L1434">
        <v>408</v>
      </c>
      <c r="M1434">
        <v>408</v>
      </c>
      <c r="P1434">
        <v>368</v>
      </c>
      <c r="Q1434">
        <v>460</v>
      </c>
      <c r="R1434">
        <v>92</v>
      </c>
      <c r="S1434">
        <v>289.2</v>
      </c>
      <c r="T1434">
        <v>379</v>
      </c>
      <c r="U1434">
        <v>380</v>
      </c>
      <c r="V1434">
        <v>500</v>
      </c>
      <c r="W1434">
        <v>2.79</v>
      </c>
    </row>
    <row r="1435" spans="1:23" x14ac:dyDescent="0.25">
      <c r="A1435" t="s">
        <v>39</v>
      </c>
      <c r="B1435">
        <v>7</v>
      </c>
      <c r="C1435">
        <v>21</v>
      </c>
      <c r="D1435">
        <v>2006</v>
      </c>
      <c r="E1435">
        <v>278.89999999999998</v>
      </c>
      <c r="F1435">
        <v>3.6</v>
      </c>
      <c r="G1435">
        <v>3.6</v>
      </c>
      <c r="H1435">
        <v>0</v>
      </c>
      <c r="I1435">
        <v>0</v>
      </c>
      <c r="J1435">
        <v>62.7</v>
      </c>
      <c r="K1435">
        <v>2443.6999999999998</v>
      </c>
      <c r="L1435">
        <v>413</v>
      </c>
      <c r="M1435">
        <v>413</v>
      </c>
      <c r="P1435">
        <v>358</v>
      </c>
      <c r="Q1435">
        <v>471</v>
      </c>
      <c r="R1435">
        <v>113</v>
      </c>
      <c r="S1435">
        <v>289.2</v>
      </c>
      <c r="T1435">
        <v>379</v>
      </c>
      <c r="U1435">
        <v>380</v>
      </c>
      <c r="V1435">
        <v>500</v>
      </c>
      <c r="W1435">
        <v>2.79</v>
      </c>
    </row>
    <row r="1436" spans="1:23" x14ac:dyDescent="0.25">
      <c r="A1436" t="s">
        <v>39</v>
      </c>
      <c r="B1436">
        <v>7</v>
      </c>
      <c r="C1436">
        <v>22</v>
      </c>
      <c r="D1436">
        <v>2007</v>
      </c>
      <c r="E1436">
        <v>281.60000000000002</v>
      </c>
      <c r="F1436">
        <v>2.7</v>
      </c>
      <c r="G1436">
        <v>2.4</v>
      </c>
      <c r="H1436">
        <v>0.3</v>
      </c>
      <c r="I1436">
        <v>11</v>
      </c>
      <c r="J1436">
        <v>47.5</v>
      </c>
      <c r="K1436">
        <v>2491.1999999999998</v>
      </c>
      <c r="L1436">
        <v>426</v>
      </c>
      <c r="M1436">
        <v>410</v>
      </c>
      <c r="N1436">
        <v>553</v>
      </c>
      <c r="O1436">
        <v>143</v>
      </c>
      <c r="P1436">
        <v>361</v>
      </c>
      <c r="Q1436">
        <v>553</v>
      </c>
      <c r="R1436">
        <v>192</v>
      </c>
      <c r="S1436">
        <v>289.2</v>
      </c>
      <c r="T1436">
        <v>379</v>
      </c>
      <c r="U1436">
        <v>380</v>
      </c>
      <c r="V1436">
        <v>500</v>
      </c>
      <c r="W1436">
        <v>2.79</v>
      </c>
    </row>
    <row r="1437" spans="1:23" x14ac:dyDescent="0.25">
      <c r="A1437" t="s">
        <v>39</v>
      </c>
      <c r="B1437">
        <v>7</v>
      </c>
      <c r="C1437">
        <v>23</v>
      </c>
      <c r="D1437">
        <v>2008</v>
      </c>
      <c r="E1437">
        <v>284.60000000000002</v>
      </c>
      <c r="F1437">
        <v>3</v>
      </c>
      <c r="G1437">
        <v>3</v>
      </c>
      <c r="H1437">
        <v>0</v>
      </c>
      <c r="I1437">
        <v>0</v>
      </c>
      <c r="J1437">
        <v>53.4</v>
      </c>
      <c r="K1437">
        <v>2544.6</v>
      </c>
      <c r="L1437">
        <v>397</v>
      </c>
      <c r="M1437">
        <v>397</v>
      </c>
      <c r="P1437">
        <v>354</v>
      </c>
      <c r="Q1437">
        <v>439</v>
      </c>
      <c r="R1437">
        <v>85</v>
      </c>
      <c r="S1437">
        <v>289.2</v>
      </c>
      <c r="T1437">
        <v>379</v>
      </c>
      <c r="U1437">
        <v>380</v>
      </c>
      <c r="V1437">
        <v>500</v>
      </c>
      <c r="W1437">
        <v>2.79</v>
      </c>
    </row>
    <row r="1438" spans="1:23" x14ac:dyDescent="0.25">
      <c r="A1438" t="s">
        <v>39</v>
      </c>
      <c r="B1438">
        <v>7</v>
      </c>
      <c r="C1438">
        <v>24</v>
      </c>
      <c r="D1438">
        <v>2009</v>
      </c>
      <c r="E1438">
        <v>287.3</v>
      </c>
      <c r="F1438">
        <v>2.7</v>
      </c>
      <c r="G1438">
        <v>2.4</v>
      </c>
      <c r="H1438">
        <v>0.3</v>
      </c>
      <c r="I1438">
        <v>11</v>
      </c>
      <c r="J1438">
        <v>48.5</v>
      </c>
      <c r="K1438">
        <v>2593.1</v>
      </c>
      <c r="L1438">
        <v>425</v>
      </c>
      <c r="M1438">
        <v>416</v>
      </c>
      <c r="N1438">
        <v>501</v>
      </c>
      <c r="O1438">
        <v>85</v>
      </c>
      <c r="P1438">
        <v>371</v>
      </c>
      <c r="Q1438">
        <v>501</v>
      </c>
      <c r="R1438">
        <v>130</v>
      </c>
      <c r="S1438">
        <v>289.2</v>
      </c>
      <c r="T1438">
        <v>379</v>
      </c>
      <c r="U1438">
        <v>380</v>
      </c>
      <c r="V1438">
        <v>500</v>
      </c>
      <c r="W1438">
        <v>2.79</v>
      </c>
    </row>
    <row r="1439" spans="1:23" x14ac:dyDescent="0.25">
      <c r="A1439" t="s">
        <v>39</v>
      </c>
      <c r="B1439">
        <v>7</v>
      </c>
      <c r="C1439">
        <v>25</v>
      </c>
      <c r="D1439">
        <v>2010</v>
      </c>
      <c r="E1439">
        <v>289.39999999999998</v>
      </c>
      <c r="F1439">
        <v>2.1</v>
      </c>
      <c r="G1439">
        <v>2.1</v>
      </c>
      <c r="H1439">
        <v>0</v>
      </c>
      <c r="I1439">
        <v>0</v>
      </c>
      <c r="J1439">
        <v>38</v>
      </c>
      <c r="K1439">
        <v>2631.2</v>
      </c>
      <c r="L1439">
        <v>381</v>
      </c>
      <c r="M1439">
        <v>381</v>
      </c>
      <c r="P1439">
        <v>361</v>
      </c>
      <c r="Q1439">
        <v>425</v>
      </c>
      <c r="R1439">
        <v>64</v>
      </c>
      <c r="S1439">
        <v>289.2</v>
      </c>
      <c r="T1439">
        <v>379</v>
      </c>
      <c r="U1439">
        <v>380</v>
      </c>
      <c r="V1439">
        <v>500</v>
      </c>
      <c r="W1439">
        <v>2.79</v>
      </c>
    </row>
    <row r="1440" spans="1:23" x14ac:dyDescent="0.25">
      <c r="A1440" t="s">
        <v>39</v>
      </c>
      <c r="B1440">
        <v>7</v>
      </c>
      <c r="C1440">
        <v>26</v>
      </c>
      <c r="D1440">
        <v>2011</v>
      </c>
      <c r="E1440">
        <v>292.10000000000002</v>
      </c>
      <c r="F1440">
        <v>2.7</v>
      </c>
      <c r="G1440">
        <v>2.7</v>
      </c>
      <c r="H1440">
        <v>0</v>
      </c>
      <c r="I1440">
        <v>0</v>
      </c>
      <c r="J1440">
        <v>49.3</v>
      </c>
      <c r="K1440">
        <v>2680.5</v>
      </c>
      <c r="L1440">
        <v>373</v>
      </c>
      <c r="M1440">
        <v>373</v>
      </c>
      <c r="P1440">
        <v>351</v>
      </c>
      <c r="Q1440">
        <v>416</v>
      </c>
      <c r="R1440">
        <v>65</v>
      </c>
      <c r="S1440">
        <v>289.2</v>
      </c>
      <c r="T1440">
        <v>379</v>
      </c>
      <c r="U1440">
        <v>380</v>
      </c>
      <c r="V1440">
        <v>500</v>
      </c>
      <c r="W1440">
        <v>2.79</v>
      </c>
    </row>
    <row r="1441" spans="1:23" x14ac:dyDescent="0.25">
      <c r="A1441" t="s">
        <v>39</v>
      </c>
      <c r="B1441">
        <v>7</v>
      </c>
      <c r="C1441">
        <v>27</v>
      </c>
      <c r="D1441">
        <v>2012</v>
      </c>
      <c r="E1441">
        <v>294.2</v>
      </c>
      <c r="F1441">
        <v>2.1</v>
      </c>
      <c r="G1441">
        <v>2.1</v>
      </c>
      <c r="H1441">
        <v>0</v>
      </c>
      <c r="I1441">
        <v>0</v>
      </c>
      <c r="J1441">
        <v>38.700000000000003</v>
      </c>
      <c r="K1441">
        <v>2719.2</v>
      </c>
      <c r="L1441">
        <v>410</v>
      </c>
      <c r="M1441">
        <v>410</v>
      </c>
      <c r="P1441">
        <v>377</v>
      </c>
      <c r="Q1441">
        <v>434</v>
      </c>
      <c r="R1441">
        <v>57</v>
      </c>
      <c r="S1441">
        <v>289.2</v>
      </c>
      <c r="T1441">
        <v>379</v>
      </c>
      <c r="U1441">
        <v>380</v>
      </c>
      <c r="V1441">
        <v>500</v>
      </c>
      <c r="W1441">
        <v>2.79</v>
      </c>
    </row>
    <row r="1442" spans="1:23" x14ac:dyDescent="0.25">
      <c r="A1442" t="s">
        <v>39</v>
      </c>
      <c r="B1442">
        <v>8</v>
      </c>
      <c r="C1442">
        <v>2</v>
      </c>
      <c r="D1442">
        <v>1987</v>
      </c>
      <c r="E1442">
        <v>43</v>
      </c>
      <c r="F1442">
        <v>43</v>
      </c>
      <c r="G1442">
        <v>27</v>
      </c>
      <c r="H1442">
        <v>0</v>
      </c>
      <c r="I1442">
        <v>0</v>
      </c>
      <c r="J1442">
        <v>58.1</v>
      </c>
      <c r="K1442">
        <v>58.1</v>
      </c>
      <c r="L1442">
        <v>296</v>
      </c>
      <c r="M1442">
        <v>296</v>
      </c>
      <c r="P1442">
        <v>157</v>
      </c>
      <c r="Q1442">
        <v>410</v>
      </c>
      <c r="R1442">
        <v>253</v>
      </c>
      <c r="S1442">
        <v>228.9</v>
      </c>
      <c r="T1442">
        <v>379</v>
      </c>
      <c r="U1442">
        <v>377</v>
      </c>
      <c r="V1442">
        <v>500</v>
      </c>
      <c r="W1442">
        <v>2.79</v>
      </c>
    </row>
    <row r="1443" spans="1:23" x14ac:dyDescent="0.25">
      <c r="A1443" t="s">
        <v>39</v>
      </c>
      <c r="B1443">
        <v>8</v>
      </c>
      <c r="C1443">
        <v>3</v>
      </c>
      <c r="D1443">
        <v>1988</v>
      </c>
      <c r="E1443">
        <v>65.8</v>
      </c>
      <c r="F1443">
        <v>22.8</v>
      </c>
      <c r="G1443">
        <v>22.8</v>
      </c>
      <c r="H1443">
        <v>0</v>
      </c>
      <c r="I1443">
        <v>0</v>
      </c>
      <c r="J1443">
        <v>77.900000000000006</v>
      </c>
      <c r="K1443">
        <v>136</v>
      </c>
      <c r="L1443">
        <v>316</v>
      </c>
      <c r="M1443">
        <v>316</v>
      </c>
      <c r="P1443">
        <v>257</v>
      </c>
      <c r="Q1443">
        <v>426</v>
      </c>
      <c r="R1443">
        <v>169</v>
      </c>
      <c r="S1443">
        <v>228.9</v>
      </c>
      <c r="T1443">
        <v>379</v>
      </c>
      <c r="U1443">
        <v>377</v>
      </c>
      <c r="V1443">
        <v>500</v>
      </c>
      <c r="W1443">
        <v>2.79</v>
      </c>
    </row>
    <row r="1444" spans="1:23" x14ac:dyDescent="0.25">
      <c r="A1444" t="s">
        <v>39</v>
      </c>
      <c r="B1444">
        <v>8</v>
      </c>
      <c r="C1444">
        <v>4</v>
      </c>
      <c r="D1444">
        <v>1989</v>
      </c>
      <c r="E1444">
        <v>88.3</v>
      </c>
      <c r="F1444">
        <v>22.5</v>
      </c>
      <c r="G1444">
        <v>22.2</v>
      </c>
      <c r="H1444">
        <v>0.3</v>
      </c>
      <c r="I1444">
        <v>1</v>
      </c>
      <c r="J1444">
        <v>108.9</v>
      </c>
      <c r="K1444">
        <v>244.9</v>
      </c>
      <c r="L1444">
        <v>341</v>
      </c>
      <c r="M1444">
        <v>339</v>
      </c>
      <c r="N1444">
        <v>525</v>
      </c>
      <c r="O1444">
        <v>186</v>
      </c>
      <c r="P1444">
        <v>269</v>
      </c>
      <c r="Q1444">
        <v>525</v>
      </c>
      <c r="R1444">
        <v>256</v>
      </c>
      <c r="S1444">
        <v>228.9</v>
      </c>
      <c r="T1444">
        <v>379</v>
      </c>
      <c r="U1444">
        <v>377</v>
      </c>
      <c r="V1444">
        <v>500</v>
      </c>
      <c r="W1444">
        <v>2.79</v>
      </c>
    </row>
    <row r="1445" spans="1:23" x14ac:dyDescent="0.25">
      <c r="A1445" t="s">
        <v>39</v>
      </c>
      <c r="B1445">
        <v>8</v>
      </c>
      <c r="C1445">
        <v>5</v>
      </c>
      <c r="D1445">
        <v>1990</v>
      </c>
      <c r="E1445">
        <v>106.3</v>
      </c>
      <c r="F1445">
        <v>18</v>
      </c>
      <c r="G1445">
        <v>17.399999999999999</v>
      </c>
      <c r="H1445">
        <v>0.6</v>
      </c>
      <c r="I1445">
        <v>3</v>
      </c>
      <c r="J1445">
        <v>110</v>
      </c>
      <c r="K1445">
        <v>355</v>
      </c>
      <c r="L1445">
        <v>350</v>
      </c>
      <c r="M1445">
        <v>345</v>
      </c>
      <c r="N1445">
        <v>511</v>
      </c>
      <c r="O1445">
        <v>166</v>
      </c>
      <c r="P1445">
        <v>274</v>
      </c>
      <c r="Q1445">
        <v>521</v>
      </c>
      <c r="R1445">
        <v>247</v>
      </c>
      <c r="S1445">
        <v>228.9</v>
      </c>
      <c r="T1445">
        <v>379</v>
      </c>
      <c r="U1445">
        <v>377</v>
      </c>
      <c r="V1445">
        <v>500</v>
      </c>
      <c r="W1445">
        <v>2.79</v>
      </c>
    </row>
    <row r="1446" spans="1:23" x14ac:dyDescent="0.25">
      <c r="A1446" t="s">
        <v>39</v>
      </c>
      <c r="B1446">
        <v>8</v>
      </c>
      <c r="C1446">
        <v>6</v>
      </c>
      <c r="D1446">
        <v>1991</v>
      </c>
      <c r="E1446">
        <v>123.1</v>
      </c>
      <c r="F1446">
        <v>16.8</v>
      </c>
      <c r="G1446">
        <v>15.6</v>
      </c>
      <c r="H1446">
        <v>1.2</v>
      </c>
      <c r="I1446">
        <v>7</v>
      </c>
      <c r="J1446">
        <v>121.1</v>
      </c>
      <c r="K1446">
        <v>476.1</v>
      </c>
      <c r="L1446">
        <v>357</v>
      </c>
      <c r="M1446">
        <v>343</v>
      </c>
      <c r="N1446">
        <v>546</v>
      </c>
      <c r="O1446">
        <v>203</v>
      </c>
      <c r="P1446">
        <v>287</v>
      </c>
      <c r="Q1446">
        <v>565</v>
      </c>
      <c r="R1446">
        <v>278</v>
      </c>
      <c r="S1446">
        <v>228.9</v>
      </c>
      <c r="T1446">
        <v>379</v>
      </c>
      <c r="U1446">
        <v>377</v>
      </c>
      <c r="V1446">
        <v>500</v>
      </c>
      <c r="W1446">
        <v>2.79</v>
      </c>
    </row>
    <row r="1447" spans="1:23" x14ac:dyDescent="0.25">
      <c r="A1447" t="s">
        <v>39</v>
      </c>
      <c r="B1447">
        <v>8</v>
      </c>
      <c r="C1447">
        <v>7</v>
      </c>
      <c r="D1447">
        <v>1992</v>
      </c>
      <c r="E1447">
        <v>136.6</v>
      </c>
      <c r="F1447">
        <v>13.5</v>
      </c>
      <c r="G1447">
        <v>12.3</v>
      </c>
      <c r="H1447">
        <v>1.2</v>
      </c>
      <c r="I1447">
        <v>8</v>
      </c>
      <c r="J1447">
        <v>110.1</v>
      </c>
      <c r="K1447">
        <v>586.20000000000005</v>
      </c>
      <c r="L1447">
        <v>374</v>
      </c>
      <c r="M1447">
        <v>358</v>
      </c>
      <c r="N1447">
        <v>533</v>
      </c>
      <c r="O1447">
        <v>175</v>
      </c>
      <c r="P1447">
        <v>297</v>
      </c>
      <c r="Q1447">
        <v>547</v>
      </c>
      <c r="R1447">
        <v>250</v>
      </c>
      <c r="S1447">
        <v>228.9</v>
      </c>
      <c r="T1447">
        <v>379</v>
      </c>
      <c r="U1447">
        <v>377</v>
      </c>
      <c r="V1447">
        <v>500</v>
      </c>
      <c r="W1447">
        <v>2.79</v>
      </c>
    </row>
    <row r="1448" spans="1:23" x14ac:dyDescent="0.25">
      <c r="A1448" t="s">
        <v>39</v>
      </c>
      <c r="B1448">
        <v>8</v>
      </c>
      <c r="C1448">
        <v>8</v>
      </c>
      <c r="D1448">
        <v>1993</v>
      </c>
      <c r="E1448">
        <v>150.69999999999999</v>
      </c>
      <c r="F1448">
        <v>14.1</v>
      </c>
      <c r="G1448">
        <v>13.2</v>
      </c>
      <c r="H1448">
        <v>0.9</v>
      </c>
      <c r="I1448">
        <v>6</v>
      </c>
      <c r="J1448">
        <v>127.3</v>
      </c>
      <c r="K1448">
        <v>713.5</v>
      </c>
      <c r="L1448">
        <v>377</v>
      </c>
      <c r="M1448">
        <v>366</v>
      </c>
      <c r="N1448">
        <v>539</v>
      </c>
      <c r="O1448">
        <v>173</v>
      </c>
      <c r="P1448">
        <v>292</v>
      </c>
      <c r="Q1448">
        <v>562</v>
      </c>
      <c r="R1448">
        <v>270</v>
      </c>
      <c r="S1448">
        <v>228.9</v>
      </c>
      <c r="T1448">
        <v>379</v>
      </c>
      <c r="U1448">
        <v>377</v>
      </c>
      <c r="V1448">
        <v>500</v>
      </c>
      <c r="W1448">
        <v>2.79</v>
      </c>
    </row>
    <row r="1449" spans="1:23" x14ac:dyDescent="0.25">
      <c r="A1449" t="s">
        <v>39</v>
      </c>
      <c r="B1449">
        <v>8</v>
      </c>
      <c r="C1449">
        <v>9</v>
      </c>
      <c r="D1449">
        <v>1994</v>
      </c>
      <c r="E1449">
        <v>164.8</v>
      </c>
      <c r="F1449">
        <v>14.1</v>
      </c>
      <c r="G1449">
        <v>12.6</v>
      </c>
      <c r="H1449">
        <v>1.5</v>
      </c>
      <c r="I1449">
        <v>10</v>
      </c>
      <c r="J1449">
        <v>139.80000000000001</v>
      </c>
      <c r="K1449">
        <v>853.2</v>
      </c>
      <c r="L1449">
        <v>392</v>
      </c>
      <c r="M1449">
        <v>375</v>
      </c>
      <c r="N1449">
        <v>529</v>
      </c>
      <c r="O1449">
        <v>154</v>
      </c>
      <c r="P1449">
        <v>323</v>
      </c>
      <c r="Q1449">
        <v>553</v>
      </c>
      <c r="R1449">
        <v>230</v>
      </c>
      <c r="S1449">
        <v>228.9</v>
      </c>
      <c r="T1449">
        <v>379</v>
      </c>
      <c r="U1449">
        <v>377</v>
      </c>
      <c r="V1449">
        <v>500</v>
      </c>
      <c r="W1449">
        <v>2.79</v>
      </c>
    </row>
    <row r="1450" spans="1:23" x14ac:dyDescent="0.25">
      <c r="A1450" t="s">
        <v>39</v>
      </c>
      <c r="B1450">
        <v>8</v>
      </c>
      <c r="C1450">
        <v>10</v>
      </c>
      <c r="D1450">
        <v>1995</v>
      </c>
      <c r="E1450">
        <v>178.3</v>
      </c>
      <c r="F1450">
        <v>13.5</v>
      </c>
      <c r="G1450">
        <v>12.9</v>
      </c>
      <c r="H1450">
        <v>0.6</v>
      </c>
      <c r="I1450">
        <v>4</v>
      </c>
      <c r="J1450">
        <v>145.5</v>
      </c>
      <c r="K1450">
        <v>998.7</v>
      </c>
      <c r="L1450">
        <v>385</v>
      </c>
      <c r="M1450">
        <v>377</v>
      </c>
      <c r="N1450">
        <v>554</v>
      </c>
      <c r="O1450">
        <v>177</v>
      </c>
      <c r="P1450">
        <v>316</v>
      </c>
      <c r="Q1450">
        <v>558</v>
      </c>
      <c r="R1450">
        <v>242</v>
      </c>
      <c r="S1450">
        <v>228.9</v>
      </c>
      <c r="T1450">
        <v>379</v>
      </c>
      <c r="U1450">
        <v>377</v>
      </c>
      <c r="V1450">
        <v>500</v>
      </c>
      <c r="W1450">
        <v>2.79</v>
      </c>
    </row>
    <row r="1451" spans="1:23" x14ac:dyDescent="0.25">
      <c r="A1451" t="s">
        <v>39</v>
      </c>
      <c r="B1451">
        <v>8</v>
      </c>
      <c r="C1451">
        <v>11</v>
      </c>
      <c r="D1451">
        <v>1996</v>
      </c>
      <c r="E1451">
        <v>187.6</v>
      </c>
      <c r="F1451">
        <v>9.3000000000000007</v>
      </c>
      <c r="G1451">
        <v>8.1</v>
      </c>
      <c r="H1451">
        <v>1.2</v>
      </c>
      <c r="I1451">
        <v>12</v>
      </c>
      <c r="J1451">
        <v>106.9</v>
      </c>
      <c r="K1451">
        <v>1105.5999999999999</v>
      </c>
      <c r="L1451">
        <v>371</v>
      </c>
      <c r="M1451">
        <v>347</v>
      </c>
      <c r="N1451">
        <v>535</v>
      </c>
      <c r="O1451">
        <v>188</v>
      </c>
      <c r="P1451">
        <v>314</v>
      </c>
      <c r="Q1451">
        <v>571</v>
      </c>
      <c r="R1451">
        <v>257</v>
      </c>
      <c r="S1451">
        <v>228.9</v>
      </c>
      <c r="T1451">
        <v>379</v>
      </c>
      <c r="U1451">
        <v>377</v>
      </c>
      <c r="V1451">
        <v>500</v>
      </c>
      <c r="W1451">
        <v>2.79</v>
      </c>
    </row>
    <row r="1452" spans="1:23" x14ac:dyDescent="0.25">
      <c r="A1452" t="s">
        <v>39</v>
      </c>
      <c r="B1452">
        <v>8</v>
      </c>
      <c r="C1452">
        <v>12</v>
      </c>
      <c r="D1452">
        <v>1997</v>
      </c>
      <c r="E1452">
        <v>196.6</v>
      </c>
      <c r="F1452">
        <v>9</v>
      </c>
      <c r="G1452">
        <v>8.1</v>
      </c>
      <c r="H1452">
        <v>0.9</v>
      </c>
      <c r="I1452">
        <v>10</v>
      </c>
      <c r="J1452">
        <v>108.6</v>
      </c>
      <c r="K1452">
        <v>1214.3</v>
      </c>
      <c r="L1452">
        <v>398</v>
      </c>
      <c r="M1452">
        <v>381</v>
      </c>
      <c r="N1452">
        <v>554</v>
      </c>
      <c r="O1452">
        <v>173</v>
      </c>
      <c r="P1452">
        <v>351</v>
      </c>
      <c r="Q1452">
        <v>576</v>
      </c>
      <c r="R1452">
        <v>225</v>
      </c>
      <c r="S1452">
        <v>228.9</v>
      </c>
      <c r="T1452">
        <v>379</v>
      </c>
      <c r="U1452">
        <v>377</v>
      </c>
      <c r="V1452">
        <v>500</v>
      </c>
      <c r="W1452">
        <v>2.79</v>
      </c>
    </row>
    <row r="1453" spans="1:23" x14ac:dyDescent="0.25">
      <c r="A1453" t="s">
        <v>39</v>
      </c>
      <c r="B1453">
        <v>8</v>
      </c>
      <c r="C1453">
        <v>13</v>
      </c>
      <c r="D1453">
        <v>1998</v>
      </c>
      <c r="E1453">
        <v>204.1</v>
      </c>
      <c r="F1453">
        <v>7.5</v>
      </c>
      <c r="G1453">
        <v>6.9</v>
      </c>
      <c r="H1453">
        <v>0.6</v>
      </c>
      <c r="I1453">
        <v>8</v>
      </c>
      <c r="J1453">
        <v>94.4</v>
      </c>
      <c r="K1453">
        <v>1308.7</v>
      </c>
      <c r="L1453">
        <v>392</v>
      </c>
      <c r="M1453">
        <v>380</v>
      </c>
      <c r="N1453">
        <v>526</v>
      </c>
      <c r="O1453">
        <v>146</v>
      </c>
      <c r="P1453">
        <v>331</v>
      </c>
      <c r="Q1453">
        <v>552</v>
      </c>
      <c r="R1453">
        <v>221</v>
      </c>
      <c r="S1453">
        <v>228.9</v>
      </c>
      <c r="T1453">
        <v>379</v>
      </c>
      <c r="U1453">
        <v>377</v>
      </c>
      <c r="V1453">
        <v>500</v>
      </c>
      <c r="W1453">
        <v>2.79</v>
      </c>
    </row>
    <row r="1454" spans="1:23" x14ac:dyDescent="0.25">
      <c r="A1454" t="s">
        <v>39</v>
      </c>
      <c r="B1454">
        <v>8</v>
      </c>
      <c r="C1454">
        <v>14</v>
      </c>
      <c r="D1454">
        <v>1999</v>
      </c>
      <c r="E1454">
        <v>212.8</v>
      </c>
      <c r="F1454">
        <v>8.6999999999999993</v>
      </c>
      <c r="G1454">
        <v>8.6999999999999993</v>
      </c>
      <c r="H1454">
        <v>0</v>
      </c>
      <c r="I1454">
        <v>0</v>
      </c>
      <c r="J1454">
        <v>113.9</v>
      </c>
      <c r="K1454">
        <v>1422.6</v>
      </c>
      <c r="L1454">
        <v>395</v>
      </c>
      <c r="M1454">
        <v>395</v>
      </c>
      <c r="P1454">
        <v>355</v>
      </c>
      <c r="Q1454">
        <v>460</v>
      </c>
      <c r="R1454">
        <v>105</v>
      </c>
      <c r="S1454">
        <v>228.9</v>
      </c>
      <c r="T1454">
        <v>379</v>
      </c>
      <c r="U1454">
        <v>377</v>
      </c>
      <c r="V1454">
        <v>500</v>
      </c>
      <c r="W1454">
        <v>2.79</v>
      </c>
    </row>
    <row r="1455" spans="1:23" x14ac:dyDescent="0.25">
      <c r="A1455" t="s">
        <v>39</v>
      </c>
      <c r="B1455">
        <v>8</v>
      </c>
      <c r="C1455">
        <v>15</v>
      </c>
      <c r="D1455">
        <v>2000</v>
      </c>
      <c r="E1455">
        <v>220.3</v>
      </c>
      <c r="F1455">
        <v>7.5</v>
      </c>
      <c r="G1455">
        <v>6.9</v>
      </c>
      <c r="H1455">
        <v>0.6</v>
      </c>
      <c r="I1455">
        <v>8</v>
      </c>
      <c r="J1455">
        <v>102</v>
      </c>
      <c r="K1455">
        <v>1524.7</v>
      </c>
      <c r="L1455">
        <v>392</v>
      </c>
      <c r="M1455">
        <v>378</v>
      </c>
      <c r="N1455">
        <v>548</v>
      </c>
      <c r="O1455">
        <v>170</v>
      </c>
      <c r="P1455">
        <v>316</v>
      </c>
      <c r="Q1455">
        <v>560</v>
      </c>
      <c r="R1455">
        <v>244</v>
      </c>
      <c r="S1455">
        <v>228.9</v>
      </c>
      <c r="T1455">
        <v>379</v>
      </c>
      <c r="U1455">
        <v>377</v>
      </c>
      <c r="V1455">
        <v>500</v>
      </c>
      <c r="W1455">
        <v>2.79</v>
      </c>
    </row>
    <row r="1456" spans="1:23" x14ac:dyDescent="0.25">
      <c r="A1456" t="s">
        <v>39</v>
      </c>
      <c r="B1456">
        <v>8</v>
      </c>
      <c r="C1456">
        <v>16</v>
      </c>
      <c r="D1456">
        <v>2001</v>
      </c>
      <c r="E1456">
        <v>226</v>
      </c>
      <c r="F1456">
        <v>5.7</v>
      </c>
      <c r="G1456">
        <v>5.0999999999999996</v>
      </c>
      <c r="H1456">
        <v>0.6</v>
      </c>
      <c r="I1456">
        <v>10</v>
      </c>
      <c r="J1456">
        <v>79.900000000000006</v>
      </c>
      <c r="K1456">
        <v>1604.6</v>
      </c>
      <c r="L1456">
        <v>412</v>
      </c>
      <c r="M1456">
        <v>399</v>
      </c>
      <c r="N1456">
        <v>519</v>
      </c>
      <c r="O1456">
        <v>120</v>
      </c>
      <c r="P1456">
        <v>355</v>
      </c>
      <c r="Q1456">
        <v>520</v>
      </c>
      <c r="R1456">
        <v>165</v>
      </c>
      <c r="S1456">
        <v>228.9</v>
      </c>
      <c r="T1456">
        <v>379</v>
      </c>
      <c r="U1456">
        <v>377</v>
      </c>
      <c r="V1456">
        <v>500</v>
      </c>
      <c r="W1456">
        <v>2.79</v>
      </c>
    </row>
    <row r="1457" spans="1:23" x14ac:dyDescent="0.25">
      <c r="A1457" t="s">
        <v>39</v>
      </c>
      <c r="B1457">
        <v>8</v>
      </c>
      <c r="C1457">
        <v>17</v>
      </c>
      <c r="D1457">
        <v>2002</v>
      </c>
      <c r="E1457">
        <v>229.9</v>
      </c>
      <c r="F1457">
        <v>3.9</v>
      </c>
      <c r="G1457">
        <v>3.3</v>
      </c>
      <c r="H1457">
        <v>0.6</v>
      </c>
      <c r="I1457">
        <v>15</v>
      </c>
      <c r="J1457">
        <v>55.9</v>
      </c>
      <c r="K1457">
        <v>1660.5</v>
      </c>
      <c r="L1457">
        <v>432</v>
      </c>
      <c r="M1457">
        <v>414</v>
      </c>
      <c r="N1457">
        <v>530</v>
      </c>
      <c r="O1457">
        <v>116</v>
      </c>
      <c r="P1457">
        <v>359</v>
      </c>
      <c r="Q1457">
        <v>542</v>
      </c>
      <c r="R1457">
        <v>183</v>
      </c>
      <c r="S1457">
        <v>228.9</v>
      </c>
      <c r="T1457">
        <v>379</v>
      </c>
      <c r="U1457">
        <v>377</v>
      </c>
      <c r="V1457">
        <v>500</v>
      </c>
      <c r="W1457">
        <v>2.79</v>
      </c>
    </row>
    <row r="1458" spans="1:23" x14ac:dyDescent="0.25">
      <c r="A1458" t="s">
        <v>39</v>
      </c>
      <c r="B1458">
        <v>8</v>
      </c>
      <c r="C1458">
        <v>18</v>
      </c>
      <c r="D1458">
        <v>2003</v>
      </c>
      <c r="E1458">
        <v>234.7</v>
      </c>
      <c r="F1458">
        <v>4.8</v>
      </c>
      <c r="G1458">
        <v>4.8</v>
      </c>
      <c r="H1458">
        <v>0</v>
      </c>
      <c r="I1458">
        <v>0</v>
      </c>
      <c r="J1458">
        <v>70.099999999999994</v>
      </c>
      <c r="K1458">
        <v>1730.5</v>
      </c>
      <c r="L1458">
        <v>405</v>
      </c>
      <c r="M1458">
        <v>405</v>
      </c>
      <c r="P1458">
        <v>346</v>
      </c>
      <c r="Q1458">
        <v>465</v>
      </c>
      <c r="R1458">
        <v>119</v>
      </c>
      <c r="S1458">
        <v>228.9</v>
      </c>
      <c r="T1458">
        <v>379</v>
      </c>
      <c r="U1458">
        <v>377</v>
      </c>
      <c r="V1458">
        <v>500</v>
      </c>
      <c r="W1458">
        <v>2.79</v>
      </c>
    </row>
    <row r="1459" spans="1:23" x14ac:dyDescent="0.25">
      <c r="A1459" t="s">
        <v>39</v>
      </c>
      <c r="B1459">
        <v>8</v>
      </c>
      <c r="C1459">
        <v>19</v>
      </c>
      <c r="D1459">
        <v>2004</v>
      </c>
      <c r="E1459">
        <v>237.7</v>
      </c>
      <c r="F1459">
        <v>3</v>
      </c>
      <c r="G1459">
        <v>2.7</v>
      </c>
      <c r="H1459">
        <v>0.3</v>
      </c>
      <c r="I1459">
        <v>10</v>
      </c>
      <c r="J1459">
        <v>44.5</v>
      </c>
      <c r="K1459">
        <v>1775</v>
      </c>
      <c r="L1459">
        <v>409</v>
      </c>
      <c r="M1459">
        <v>396</v>
      </c>
      <c r="N1459">
        <v>526</v>
      </c>
      <c r="O1459">
        <v>130</v>
      </c>
      <c r="P1459">
        <v>338</v>
      </c>
      <c r="Q1459">
        <v>526</v>
      </c>
      <c r="R1459">
        <v>188</v>
      </c>
      <c r="S1459">
        <v>228.9</v>
      </c>
      <c r="T1459">
        <v>379</v>
      </c>
      <c r="U1459">
        <v>377</v>
      </c>
      <c r="V1459">
        <v>500</v>
      </c>
      <c r="W1459">
        <v>2.79</v>
      </c>
    </row>
    <row r="1460" spans="1:23" x14ac:dyDescent="0.25">
      <c r="A1460" t="s">
        <v>39</v>
      </c>
      <c r="B1460">
        <v>8</v>
      </c>
      <c r="C1460">
        <v>20</v>
      </c>
      <c r="D1460">
        <v>2005</v>
      </c>
      <c r="E1460">
        <v>238.9</v>
      </c>
      <c r="F1460">
        <v>1.2</v>
      </c>
      <c r="G1460">
        <v>1.2</v>
      </c>
      <c r="H1460">
        <v>0</v>
      </c>
      <c r="I1460">
        <v>0</v>
      </c>
      <c r="J1460">
        <v>18</v>
      </c>
      <c r="K1460">
        <v>1793</v>
      </c>
      <c r="L1460">
        <v>343</v>
      </c>
      <c r="M1460">
        <v>343</v>
      </c>
      <c r="P1460">
        <v>325</v>
      </c>
      <c r="Q1460">
        <v>359</v>
      </c>
      <c r="R1460">
        <v>34</v>
      </c>
      <c r="S1460">
        <v>228.9</v>
      </c>
      <c r="T1460">
        <v>379</v>
      </c>
      <c r="U1460">
        <v>377</v>
      </c>
      <c r="V1460">
        <v>500</v>
      </c>
      <c r="W1460">
        <v>2.79</v>
      </c>
    </row>
    <row r="1461" spans="1:23" x14ac:dyDescent="0.25">
      <c r="A1461" t="s">
        <v>39</v>
      </c>
      <c r="B1461">
        <v>8</v>
      </c>
      <c r="C1461">
        <v>21</v>
      </c>
      <c r="D1461">
        <v>2006</v>
      </c>
      <c r="E1461">
        <v>239.8</v>
      </c>
      <c r="F1461">
        <v>0.9</v>
      </c>
      <c r="G1461">
        <v>0.9</v>
      </c>
      <c r="H1461">
        <v>0</v>
      </c>
      <c r="I1461">
        <v>0</v>
      </c>
      <c r="J1461">
        <v>13.5</v>
      </c>
      <c r="K1461">
        <v>1806.5</v>
      </c>
      <c r="L1461">
        <v>371</v>
      </c>
      <c r="M1461">
        <v>371</v>
      </c>
      <c r="P1461">
        <v>364</v>
      </c>
      <c r="Q1461">
        <v>375</v>
      </c>
      <c r="R1461">
        <v>11</v>
      </c>
      <c r="S1461">
        <v>228.9</v>
      </c>
      <c r="T1461">
        <v>379</v>
      </c>
      <c r="U1461">
        <v>377</v>
      </c>
      <c r="V1461">
        <v>500</v>
      </c>
      <c r="W1461">
        <v>2.79</v>
      </c>
    </row>
    <row r="1462" spans="1:23" x14ac:dyDescent="0.25">
      <c r="A1462" t="s">
        <v>39</v>
      </c>
      <c r="B1462">
        <v>8</v>
      </c>
      <c r="C1462">
        <v>22</v>
      </c>
      <c r="D1462">
        <v>2007</v>
      </c>
      <c r="E1462">
        <v>240.7</v>
      </c>
      <c r="F1462">
        <v>0.9</v>
      </c>
      <c r="G1462">
        <v>0.9</v>
      </c>
      <c r="H1462">
        <v>0</v>
      </c>
      <c r="I1462">
        <v>0</v>
      </c>
      <c r="J1462">
        <v>13.6</v>
      </c>
      <c r="K1462">
        <v>1820.1</v>
      </c>
      <c r="L1462">
        <v>378</v>
      </c>
      <c r="M1462">
        <v>378</v>
      </c>
      <c r="P1462">
        <v>361</v>
      </c>
      <c r="Q1462">
        <v>411</v>
      </c>
      <c r="R1462">
        <v>50</v>
      </c>
      <c r="S1462">
        <v>228.9</v>
      </c>
      <c r="T1462">
        <v>379</v>
      </c>
      <c r="U1462">
        <v>377</v>
      </c>
      <c r="V1462">
        <v>500</v>
      </c>
      <c r="W1462">
        <v>2.79</v>
      </c>
    </row>
    <row r="1463" spans="1:23" x14ac:dyDescent="0.25">
      <c r="A1463" t="s">
        <v>39</v>
      </c>
      <c r="B1463">
        <v>8</v>
      </c>
      <c r="C1463">
        <v>23</v>
      </c>
      <c r="D1463">
        <v>2008</v>
      </c>
      <c r="E1463">
        <v>241.9</v>
      </c>
      <c r="F1463">
        <v>1.2</v>
      </c>
      <c r="G1463">
        <v>1.2</v>
      </c>
      <c r="H1463">
        <v>0</v>
      </c>
      <c r="I1463">
        <v>0</v>
      </c>
      <c r="J1463">
        <v>18.2</v>
      </c>
      <c r="K1463">
        <v>1838.3</v>
      </c>
      <c r="L1463">
        <v>404</v>
      </c>
      <c r="M1463">
        <v>404</v>
      </c>
      <c r="P1463">
        <v>388</v>
      </c>
      <c r="Q1463">
        <v>424</v>
      </c>
      <c r="R1463">
        <v>36</v>
      </c>
      <c r="S1463">
        <v>228.9</v>
      </c>
      <c r="T1463">
        <v>379</v>
      </c>
      <c r="U1463">
        <v>377</v>
      </c>
      <c r="V1463">
        <v>500</v>
      </c>
      <c r="W1463">
        <v>2.79</v>
      </c>
    </row>
    <row r="1464" spans="1:23" x14ac:dyDescent="0.25">
      <c r="A1464" t="s">
        <v>39</v>
      </c>
      <c r="B1464">
        <v>8</v>
      </c>
      <c r="C1464">
        <v>24</v>
      </c>
      <c r="D1464">
        <v>2009</v>
      </c>
      <c r="E1464">
        <v>242.5</v>
      </c>
      <c r="F1464">
        <v>0.6</v>
      </c>
      <c r="G1464">
        <v>0.6</v>
      </c>
      <c r="H1464">
        <v>0</v>
      </c>
      <c r="I1464">
        <v>0</v>
      </c>
      <c r="J1464">
        <v>9.1</v>
      </c>
      <c r="K1464">
        <v>1847.5</v>
      </c>
      <c r="L1464">
        <v>381</v>
      </c>
      <c r="M1464">
        <v>381</v>
      </c>
      <c r="P1464">
        <v>373</v>
      </c>
      <c r="Q1464">
        <v>389</v>
      </c>
      <c r="R1464">
        <v>16</v>
      </c>
      <c r="S1464">
        <v>228.9</v>
      </c>
      <c r="T1464">
        <v>379</v>
      </c>
      <c r="U1464">
        <v>377</v>
      </c>
      <c r="V1464">
        <v>500</v>
      </c>
      <c r="W1464">
        <v>2.79</v>
      </c>
    </row>
    <row r="1465" spans="1:23" x14ac:dyDescent="0.25">
      <c r="A1465" t="s">
        <v>39</v>
      </c>
      <c r="B1465">
        <v>8</v>
      </c>
      <c r="C1465">
        <v>25</v>
      </c>
      <c r="D1465">
        <v>2010</v>
      </c>
      <c r="E1465">
        <v>243.4</v>
      </c>
      <c r="F1465">
        <v>0.9</v>
      </c>
      <c r="G1465">
        <v>0.9</v>
      </c>
      <c r="H1465">
        <v>0</v>
      </c>
      <c r="I1465">
        <v>0</v>
      </c>
      <c r="J1465">
        <v>13.7</v>
      </c>
      <c r="K1465">
        <v>1861.2</v>
      </c>
      <c r="L1465">
        <v>399</v>
      </c>
      <c r="M1465">
        <v>399</v>
      </c>
      <c r="P1465">
        <v>396</v>
      </c>
      <c r="Q1465">
        <v>401</v>
      </c>
      <c r="R1465">
        <v>5</v>
      </c>
      <c r="S1465">
        <v>228.9</v>
      </c>
      <c r="T1465">
        <v>379</v>
      </c>
      <c r="U1465">
        <v>377</v>
      </c>
      <c r="V1465">
        <v>500</v>
      </c>
      <c r="W1465">
        <v>2.79</v>
      </c>
    </row>
    <row r="1466" spans="1:23" x14ac:dyDescent="0.25">
      <c r="A1466" t="s">
        <v>39</v>
      </c>
      <c r="B1466">
        <v>8</v>
      </c>
      <c r="C1466">
        <v>26</v>
      </c>
      <c r="D1466">
        <v>2011</v>
      </c>
      <c r="E1466">
        <v>244</v>
      </c>
      <c r="F1466">
        <v>0.6</v>
      </c>
      <c r="G1466">
        <v>0.6</v>
      </c>
      <c r="H1466">
        <v>0</v>
      </c>
      <c r="I1466">
        <v>0</v>
      </c>
      <c r="J1466">
        <v>9.1999999999999993</v>
      </c>
      <c r="K1466">
        <v>1870.4</v>
      </c>
      <c r="L1466">
        <v>401</v>
      </c>
      <c r="M1466">
        <v>401</v>
      </c>
      <c r="P1466">
        <v>376</v>
      </c>
      <c r="Q1466">
        <v>427</v>
      </c>
      <c r="R1466">
        <v>51</v>
      </c>
      <c r="S1466">
        <v>228.9</v>
      </c>
      <c r="T1466">
        <v>379</v>
      </c>
      <c r="U1466">
        <v>377</v>
      </c>
      <c r="V1466">
        <v>500</v>
      </c>
      <c r="W1466">
        <v>2.79</v>
      </c>
    </row>
    <row r="1467" spans="1:23" x14ac:dyDescent="0.25">
      <c r="A1467" t="s">
        <v>39</v>
      </c>
      <c r="B1467">
        <v>8</v>
      </c>
      <c r="C1467">
        <v>27</v>
      </c>
      <c r="D1467">
        <v>2012</v>
      </c>
      <c r="E1467">
        <v>244.9</v>
      </c>
      <c r="F1467">
        <v>0.9</v>
      </c>
      <c r="G1467">
        <v>0.9</v>
      </c>
      <c r="H1467">
        <v>0</v>
      </c>
      <c r="I1467">
        <v>0</v>
      </c>
      <c r="J1467">
        <v>13.8</v>
      </c>
      <c r="K1467">
        <v>1884.2</v>
      </c>
      <c r="L1467">
        <v>386</v>
      </c>
      <c r="M1467">
        <v>386</v>
      </c>
      <c r="P1467">
        <v>267</v>
      </c>
      <c r="Q1467">
        <v>470</v>
      </c>
      <c r="R1467">
        <v>203</v>
      </c>
      <c r="S1467">
        <v>228.9</v>
      </c>
      <c r="T1467">
        <v>379</v>
      </c>
      <c r="U1467">
        <v>377</v>
      </c>
      <c r="V1467">
        <v>500</v>
      </c>
      <c r="W1467">
        <v>2.79</v>
      </c>
    </row>
    <row r="1468" spans="1:23" x14ac:dyDescent="0.25">
      <c r="A1468" t="s">
        <v>39</v>
      </c>
      <c r="B1468">
        <v>9</v>
      </c>
      <c r="C1468">
        <v>5</v>
      </c>
      <c r="D1468">
        <v>1991</v>
      </c>
      <c r="E1468">
        <v>23</v>
      </c>
      <c r="F1468">
        <v>23</v>
      </c>
      <c r="G1468">
        <v>14.1</v>
      </c>
      <c r="H1468">
        <v>0.9</v>
      </c>
      <c r="I1468">
        <v>3</v>
      </c>
      <c r="J1468">
        <v>16.600000000000001</v>
      </c>
      <c r="K1468">
        <v>16.600000000000001</v>
      </c>
      <c r="L1468">
        <v>372</v>
      </c>
      <c r="M1468">
        <v>363</v>
      </c>
      <c r="N1468">
        <v>509</v>
      </c>
      <c r="O1468">
        <v>146</v>
      </c>
      <c r="P1468">
        <v>311</v>
      </c>
      <c r="Q1468">
        <v>513</v>
      </c>
      <c r="R1468">
        <v>202</v>
      </c>
      <c r="S1468">
        <v>273.3</v>
      </c>
      <c r="T1468">
        <v>377</v>
      </c>
      <c r="U1468">
        <v>375</v>
      </c>
      <c r="V1468">
        <v>500</v>
      </c>
      <c r="W1468">
        <v>2.79</v>
      </c>
    </row>
    <row r="1469" spans="1:23" x14ac:dyDescent="0.25">
      <c r="A1469" t="s">
        <v>39</v>
      </c>
      <c r="B1469">
        <v>9</v>
      </c>
      <c r="C1469">
        <v>6</v>
      </c>
      <c r="D1469">
        <v>1992</v>
      </c>
      <c r="E1469">
        <v>40.700000000000003</v>
      </c>
      <c r="F1469">
        <v>17.7</v>
      </c>
      <c r="G1469">
        <v>16.8</v>
      </c>
      <c r="H1469">
        <v>0.9</v>
      </c>
      <c r="I1469">
        <v>5</v>
      </c>
      <c r="J1469">
        <v>35.4</v>
      </c>
      <c r="K1469">
        <v>52</v>
      </c>
      <c r="L1469">
        <v>370</v>
      </c>
      <c r="M1469">
        <v>362</v>
      </c>
      <c r="N1469">
        <v>532</v>
      </c>
      <c r="O1469">
        <v>170</v>
      </c>
      <c r="P1469">
        <v>292</v>
      </c>
      <c r="Q1469">
        <v>550</v>
      </c>
      <c r="R1469">
        <v>258</v>
      </c>
      <c r="S1469">
        <v>273.3</v>
      </c>
      <c r="T1469">
        <v>377</v>
      </c>
      <c r="U1469">
        <v>375</v>
      </c>
      <c r="V1469">
        <v>500</v>
      </c>
      <c r="W1469">
        <v>2.79</v>
      </c>
    </row>
    <row r="1470" spans="1:23" x14ac:dyDescent="0.25">
      <c r="A1470" t="s">
        <v>39</v>
      </c>
      <c r="B1470">
        <v>9</v>
      </c>
      <c r="C1470">
        <v>7</v>
      </c>
      <c r="D1470">
        <v>1993</v>
      </c>
      <c r="E1470">
        <v>59</v>
      </c>
      <c r="F1470">
        <v>18.3</v>
      </c>
      <c r="G1470">
        <v>18.3</v>
      </c>
      <c r="H1470">
        <v>0</v>
      </c>
      <c r="I1470">
        <v>0</v>
      </c>
      <c r="J1470">
        <v>57.3</v>
      </c>
      <c r="K1470">
        <v>109.4</v>
      </c>
      <c r="L1470">
        <v>373</v>
      </c>
      <c r="M1470">
        <v>373</v>
      </c>
      <c r="P1470">
        <v>300</v>
      </c>
      <c r="Q1470">
        <v>496</v>
      </c>
      <c r="R1470">
        <v>196</v>
      </c>
      <c r="S1470">
        <v>273.3</v>
      </c>
      <c r="T1470">
        <v>377</v>
      </c>
      <c r="U1470">
        <v>375</v>
      </c>
      <c r="V1470">
        <v>500</v>
      </c>
      <c r="W1470">
        <v>2.79</v>
      </c>
    </row>
    <row r="1471" spans="1:23" x14ac:dyDescent="0.25">
      <c r="A1471" t="s">
        <v>39</v>
      </c>
      <c r="B1471">
        <v>9</v>
      </c>
      <c r="C1471">
        <v>8</v>
      </c>
      <c r="D1471">
        <v>1994</v>
      </c>
      <c r="E1471">
        <v>80.900000000000006</v>
      </c>
      <c r="F1471">
        <v>21.9</v>
      </c>
      <c r="G1471">
        <v>21.6</v>
      </c>
      <c r="H1471">
        <v>0.3</v>
      </c>
      <c r="I1471">
        <v>1</v>
      </c>
      <c r="J1471">
        <v>96.3</v>
      </c>
      <c r="K1471">
        <v>205.6</v>
      </c>
      <c r="L1471">
        <v>356</v>
      </c>
      <c r="M1471">
        <v>353</v>
      </c>
      <c r="N1471">
        <v>539</v>
      </c>
      <c r="O1471">
        <v>186</v>
      </c>
      <c r="P1471">
        <v>279</v>
      </c>
      <c r="Q1471">
        <v>539</v>
      </c>
      <c r="R1471">
        <v>260</v>
      </c>
      <c r="S1471">
        <v>273.3</v>
      </c>
      <c r="T1471">
        <v>377</v>
      </c>
      <c r="U1471">
        <v>375</v>
      </c>
      <c r="V1471">
        <v>500</v>
      </c>
      <c r="W1471">
        <v>2.79</v>
      </c>
    </row>
    <row r="1472" spans="1:23" x14ac:dyDescent="0.25">
      <c r="A1472" t="s">
        <v>39</v>
      </c>
      <c r="B1472">
        <v>9</v>
      </c>
      <c r="C1472">
        <v>9</v>
      </c>
      <c r="D1472">
        <v>1995</v>
      </c>
      <c r="E1472">
        <v>97.7</v>
      </c>
      <c r="F1472">
        <v>16.8</v>
      </c>
      <c r="G1472">
        <v>16.2</v>
      </c>
      <c r="H1472">
        <v>0.6</v>
      </c>
      <c r="I1472">
        <v>3</v>
      </c>
      <c r="J1472">
        <v>94.3</v>
      </c>
      <c r="K1472">
        <v>299.89999999999998</v>
      </c>
      <c r="L1472">
        <v>357</v>
      </c>
      <c r="M1472">
        <v>351</v>
      </c>
      <c r="N1472">
        <v>507</v>
      </c>
      <c r="O1472">
        <v>156</v>
      </c>
      <c r="P1472">
        <v>290</v>
      </c>
      <c r="Q1472">
        <v>515</v>
      </c>
      <c r="R1472">
        <v>225</v>
      </c>
      <c r="S1472">
        <v>273.3</v>
      </c>
      <c r="T1472">
        <v>377</v>
      </c>
      <c r="U1472">
        <v>375</v>
      </c>
      <c r="V1472">
        <v>500</v>
      </c>
      <c r="W1472">
        <v>2.79</v>
      </c>
    </row>
    <row r="1473" spans="1:23" x14ac:dyDescent="0.25">
      <c r="A1473" t="s">
        <v>39</v>
      </c>
      <c r="B1473">
        <v>9</v>
      </c>
      <c r="C1473">
        <v>10</v>
      </c>
      <c r="D1473">
        <v>1996</v>
      </c>
      <c r="E1473">
        <v>116.3</v>
      </c>
      <c r="F1473">
        <v>18.600000000000001</v>
      </c>
      <c r="G1473">
        <v>18</v>
      </c>
      <c r="H1473">
        <v>0.6</v>
      </c>
      <c r="I1473">
        <v>3</v>
      </c>
      <c r="J1473">
        <v>125</v>
      </c>
      <c r="K1473">
        <v>424.9</v>
      </c>
      <c r="L1473">
        <v>349</v>
      </c>
      <c r="M1473">
        <v>344</v>
      </c>
      <c r="N1473">
        <v>508</v>
      </c>
      <c r="O1473">
        <v>164</v>
      </c>
      <c r="P1473">
        <v>282</v>
      </c>
      <c r="Q1473">
        <v>509</v>
      </c>
      <c r="R1473">
        <v>227</v>
      </c>
      <c r="S1473">
        <v>273.3</v>
      </c>
      <c r="T1473">
        <v>377</v>
      </c>
      <c r="U1473">
        <v>375</v>
      </c>
      <c r="V1473">
        <v>500</v>
      </c>
      <c r="W1473">
        <v>2.79</v>
      </c>
    </row>
    <row r="1474" spans="1:23" x14ac:dyDescent="0.25">
      <c r="A1474" t="s">
        <v>39</v>
      </c>
      <c r="B1474">
        <v>9</v>
      </c>
      <c r="C1474">
        <v>11</v>
      </c>
      <c r="D1474">
        <v>1997</v>
      </c>
      <c r="E1474">
        <v>135.19999999999999</v>
      </c>
      <c r="F1474">
        <v>18.899999999999999</v>
      </c>
      <c r="G1474">
        <v>18.600000000000001</v>
      </c>
      <c r="H1474">
        <v>0.3</v>
      </c>
      <c r="I1474">
        <v>1</v>
      </c>
      <c r="J1474">
        <v>149.30000000000001</v>
      </c>
      <c r="K1474">
        <v>574.29999999999995</v>
      </c>
      <c r="L1474">
        <v>350</v>
      </c>
      <c r="M1474">
        <v>347</v>
      </c>
      <c r="N1474">
        <v>506</v>
      </c>
      <c r="O1474">
        <v>159</v>
      </c>
      <c r="P1474">
        <v>298</v>
      </c>
      <c r="Q1474">
        <v>506</v>
      </c>
      <c r="R1474">
        <v>208</v>
      </c>
      <c r="S1474">
        <v>273.3</v>
      </c>
      <c r="T1474">
        <v>377</v>
      </c>
      <c r="U1474">
        <v>375</v>
      </c>
      <c r="V1474">
        <v>500</v>
      </c>
      <c r="W1474">
        <v>2.79</v>
      </c>
    </row>
    <row r="1475" spans="1:23" x14ac:dyDescent="0.25">
      <c r="A1475" t="s">
        <v>39</v>
      </c>
      <c r="B1475">
        <v>9</v>
      </c>
      <c r="C1475">
        <v>12</v>
      </c>
      <c r="D1475">
        <v>1998</v>
      </c>
      <c r="E1475">
        <v>150.5</v>
      </c>
      <c r="F1475">
        <v>15.3</v>
      </c>
      <c r="G1475">
        <v>15</v>
      </c>
      <c r="H1475">
        <v>0.3</v>
      </c>
      <c r="I1475">
        <v>1</v>
      </c>
      <c r="J1475">
        <v>137.30000000000001</v>
      </c>
      <c r="K1475">
        <v>711.6</v>
      </c>
      <c r="L1475">
        <v>374</v>
      </c>
      <c r="M1475">
        <v>371</v>
      </c>
      <c r="N1475">
        <v>539</v>
      </c>
      <c r="O1475">
        <v>168</v>
      </c>
      <c r="P1475">
        <v>316</v>
      </c>
      <c r="Q1475">
        <v>539</v>
      </c>
      <c r="R1475">
        <v>223</v>
      </c>
      <c r="S1475">
        <v>273.3</v>
      </c>
      <c r="T1475">
        <v>377</v>
      </c>
      <c r="U1475">
        <v>375</v>
      </c>
      <c r="V1475">
        <v>500</v>
      </c>
      <c r="W1475">
        <v>2.79</v>
      </c>
    </row>
    <row r="1476" spans="1:23" x14ac:dyDescent="0.25">
      <c r="A1476" t="s">
        <v>39</v>
      </c>
      <c r="B1476">
        <v>9</v>
      </c>
      <c r="C1476">
        <v>13</v>
      </c>
      <c r="D1476">
        <v>1999</v>
      </c>
      <c r="E1476">
        <v>168.2</v>
      </c>
      <c r="F1476">
        <v>17.7</v>
      </c>
      <c r="G1476">
        <v>17.100000000000001</v>
      </c>
      <c r="H1476">
        <v>0.6</v>
      </c>
      <c r="I1476">
        <v>3</v>
      </c>
      <c r="J1476">
        <v>177.2</v>
      </c>
      <c r="K1476">
        <v>888.8</v>
      </c>
      <c r="L1476">
        <v>367</v>
      </c>
      <c r="M1476">
        <v>362</v>
      </c>
      <c r="N1476">
        <v>535</v>
      </c>
      <c r="O1476">
        <v>173</v>
      </c>
      <c r="P1476">
        <v>301</v>
      </c>
      <c r="Q1476">
        <v>552</v>
      </c>
      <c r="R1476">
        <v>251</v>
      </c>
      <c r="S1476">
        <v>273.3</v>
      </c>
      <c r="T1476">
        <v>377</v>
      </c>
      <c r="U1476">
        <v>375</v>
      </c>
      <c r="V1476">
        <v>500</v>
      </c>
      <c r="W1476">
        <v>2.79</v>
      </c>
    </row>
    <row r="1477" spans="1:23" x14ac:dyDescent="0.25">
      <c r="A1477" t="s">
        <v>39</v>
      </c>
      <c r="B1477">
        <v>9</v>
      </c>
      <c r="C1477">
        <v>14</v>
      </c>
      <c r="D1477">
        <v>2000</v>
      </c>
      <c r="E1477">
        <v>182.3</v>
      </c>
      <c r="F1477">
        <v>14.1</v>
      </c>
      <c r="G1477">
        <v>13.8</v>
      </c>
      <c r="H1477">
        <v>0.3</v>
      </c>
      <c r="I1477">
        <v>2</v>
      </c>
      <c r="J1477">
        <v>155.30000000000001</v>
      </c>
      <c r="K1477">
        <v>1044.0999999999999</v>
      </c>
      <c r="L1477">
        <v>355</v>
      </c>
      <c r="M1477">
        <v>351</v>
      </c>
      <c r="N1477">
        <v>512</v>
      </c>
      <c r="O1477">
        <v>161</v>
      </c>
      <c r="P1477">
        <v>304</v>
      </c>
      <c r="Q1477">
        <v>512</v>
      </c>
      <c r="R1477">
        <v>208</v>
      </c>
      <c r="S1477">
        <v>273.3</v>
      </c>
      <c r="T1477">
        <v>377</v>
      </c>
      <c r="U1477">
        <v>375</v>
      </c>
      <c r="V1477">
        <v>500</v>
      </c>
      <c r="W1477">
        <v>2.79</v>
      </c>
    </row>
    <row r="1478" spans="1:23" x14ac:dyDescent="0.25">
      <c r="A1478" t="s">
        <v>39</v>
      </c>
      <c r="B1478">
        <v>9</v>
      </c>
      <c r="C1478">
        <v>15</v>
      </c>
      <c r="D1478">
        <v>2001</v>
      </c>
      <c r="E1478">
        <v>194.3</v>
      </c>
      <c r="F1478">
        <v>12</v>
      </c>
      <c r="G1478">
        <v>12</v>
      </c>
      <c r="H1478">
        <v>0</v>
      </c>
      <c r="I1478">
        <v>0</v>
      </c>
      <c r="J1478">
        <v>142</v>
      </c>
      <c r="K1478">
        <v>1186</v>
      </c>
      <c r="L1478">
        <v>359</v>
      </c>
      <c r="M1478">
        <v>359</v>
      </c>
      <c r="P1478">
        <v>311</v>
      </c>
      <c r="Q1478">
        <v>487</v>
      </c>
      <c r="R1478">
        <v>176</v>
      </c>
      <c r="S1478">
        <v>273.3</v>
      </c>
      <c r="T1478">
        <v>377</v>
      </c>
      <c r="U1478">
        <v>375</v>
      </c>
      <c r="V1478">
        <v>500</v>
      </c>
      <c r="W1478">
        <v>2.79</v>
      </c>
    </row>
    <row r="1479" spans="1:23" x14ac:dyDescent="0.25">
      <c r="A1479" t="s">
        <v>39</v>
      </c>
      <c r="B1479">
        <v>9</v>
      </c>
      <c r="C1479">
        <v>16</v>
      </c>
      <c r="D1479">
        <v>2002</v>
      </c>
      <c r="E1479">
        <v>206.6</v>
      </c>
      <c r="F1479">
        <v>12.3</v>
      </c>
      <c r="G1479">
        <v>10.8</v>
      </c>
      <c r="H1479">
        <v>1.5</v>
      </c>
      <c r="I1479">
        <v>12</v>
      </c>
      <c r="J1479">
        <v>154.9</v>
      </c>
      <c r="K1479">
        <v>1340.9</v>
      </c>
      <c r="L1479">
        <v>385</v>
      </c>
      <c r="M1479">
        <v>367</v>
      </c>
      <c r="N1479">
        <v>517</v>
      </c>
      <c r="O1479">
        <v>150</v>
      </c>
      <c r="P1479">
        <v>311</v>
      </c>
      <c r="Q1479">
        <v>527</v>
      </c>
      <c r="R1479">
        <v>216</v>
      </c>
      <c r="S1479">
        <v>273.3</v>
      </c>
      <c r="T1479">
        <v>377</v>
      </c>
      <c r="U1479">
        <v>375</v>
      </c>
      <c r="V1479">
        <v>500</v>
      </c>
      <c r="W1479">
        <v>2.79</v>
      </c>
    </row>
    <row r="1480" spans="1:23" x14ac:dyDescent="0.25">
      <c r="A1480" t="s">
        <v>39</v>
      </c>
      <c r="B1480">
        <v>9</v>
      </c>
      <c r="C1480">
        <v>17</v>
      </c>
      <c r="D1480">
        <v>2003</v>
      </c>
      <c r="E1480">
        <v>218.9</v>
      </c>
      <c r="F1480">
        <v>12.3</v>
      </c>
      <c r="G1480">
        <v>12.3</v>
      </c>
      <c r="H1480">
        <v>0</v>
      </c>
      <c r="I1480">
        <v>0</v>
      </c>
      <c r="J1480">
        <v>164.4</v>
      </c>
      <c r="K1480">
        <v>1505.4</v>
      </c>
      <c r="L1480">
        <v>376</v>
      </c>
      <c r="M1480">
        <v>376</v>
      </c>
      <c r="P1480">
        <v>324</v>
      </c>
      <c r="Q1480">
        <v>464</v>
      </c>
      <c r="R1480">
        <v>140</v>
      </c>
      <c r="S1480">
        <v>273.3</v>
      </c>
      <c r="T1480">
        <v>377</v>
      </c>
      <c r="U1480">
        <v>375</v>
      </c>
      <c r="V1480">
        <v>500</v>
      </c>
      <c r="W1480">
        <v>2.79</v>
      </c>
    </row>
    <row r="1481" spans="1:23" x14ac:dyDescent="0.25">
      <c r="A1481" t="s">
        <v>39</v>
      </c>
      <c r="B1481">
        <v>9</v>
      </c>
      <c r="C1481">
        <v>18</v>
      </c>
      <c r="D1481">
        <v>2004</v>
      </c>
      <c r="E1481">
        <v>229.7</v>
      </c>
      <c r="F1481">
        <v>10.8</v>
      </c>
      <c r="G1481">
        <v>10.8</v>
      </c>
      <c r="H1481">
        <v>0</v>
      </c>
      <c r="I1481">
        <v>0</v>
      </c>
      <c r="J1481">
        <v>152.19999999999999</v>
      </c>
      <c r="K1481">
        <v>1657.6</v>
      </c>
      <c r="L1481">
        <v>376</v>
      </c>
      <c r="M1481">
        <v>376</v>
      </c>
      <c r="P1481">
        <v>301</v>
      </c>
      <c r="Q1481">
        <v>499</v>
      </c>
      <c r="R1481">
        <v>198</v>
      </c>
      <c r="S1481">
        <v>273.3</v>
      </c>
      <c r="T1481">
        <v>377</v>
      </c>
      <c r="U1481">
        <v>375</v>
      </c>
      <c r="V1481">
        <v>500</v>
      </c>
      <c r="W1481">
        <v>2.79</v>
      </c>
    </row>
    <row r="1482" spans="1:23" x14ac:dyDescent="0.25">
      <c r="A1482" t="s">
        <v>39</v>
      </c>
      <c r="B1482">
        <v>9</v>
      </c>
      <c r="C1482">
        <v>19</v>
      </c>
      <c r="D1482">
        <v>2005</v>
      </c>
      <c r="E1482">
        <v>240.2</v>
      </c>
      <c r="F1482">
        <v>10.5</v>
      </c>
      <c r="G1482">
        <v>10.5</v>
      </c>
      <c r="H1482">
        <v>0</v>
      </c>
      <c r="I1482">
        <v>0</v>
      </c>
      <c r="J1482">
        <v>155</v>
      </c>
      <c r="K1482">
        <v>1812.6</v>
      </c>
      <c r="L1482">
        <v>377</v>
      </c>
      <c r="M1482">
        <v>377</v>
      </c>
      <c r="P1482">
        <v>324</v>
      </c>
      <c r="Q1482">
        <v>492</v>
      </c>
      <c r="R1482">
        <v>168</v>
      </c>
      <c r="S1482">
        <v>273.3</v>
      </c>
      <c r="T1482">
        <v>377</v>
      </c>
      <c r="U1482">
        <v>375</v>
      </c>
      <c r="V1482">
        <v>500</v>
      </c>
      <c r="W1482">
        <v>2.79</v>
      </c>
    </row>
    <row r="1483" spans="1:23" x14ac:dyDescent="0.25">
      <c r="A1483" t="s">
        <v>39</v>
      </c>
      <c r="B1483">
        <v>9</v>
      </c>
      <c r="C1483">
        <v>20</v>
      </c>
      <c r="D1483">
        <v>2006</v>
      </c>
      <c r="E1483">
        <v>246.2</v>
      </c>
      <c r="F1483">
        <v>6</v>
      </c>
      <c r="G1483">
        <v>6</v>
      </c>
      <c r="H1483">
        <v>0</v>
      </c>
      <c r="I1483">
        <v>0</v>
      </c>
      <c r="J1483">
        <v>91.7</v>
      </c>
      <c r="K1483">
        <v>1904.3</v>
      </c>
      <c r="L1483">
        <v>371</v>
      </c>
      <c r="M1483">
        <v>371</v>
      </c>
      <c r="P1483">
        <v>285</v>
      </c>
      <c r="Q1483">
        <v>483</v>
      </c>
      <c r="R1483">
        <v>198</v>
      </c>
      <c r="S1483">
        <v>273.3</v>
      </c>
      <c r="T1483">
        <v>377</v>
      </c>
      <c r="U1483">
        <v>375</v>
      </c>
      <c r="V1483">
        <v>500</v>
      </c>
      <c r="W1483">
        <v>2.79</v>
      </c>
    </row>
    <row r="1484" spans="1:23" x14ac:dyDescent="0.25">
      <c r="A1484" t="s">
        <v>39</v>
      </c>
      <c r="B1484">
        <v>9</v>
      </c>
      <c r="C1484">
        <v>21</v>
      </c>
      <c r="D1484">
        <v>2007</v>
      </c>
      <c r="E1484">
        <v>251.9</v>
      </c>
      <c r="F1484">
        <v>5.7</v>
      </c>
      <c r="G1484">
        <v>5.4</v>
      </c>
      <c r="H1484">
        <v>0.3</v>
      </c>
      <c r="I1484">
        <v>5</v>
      </c>
      <c r="J1484">
        <v>89.2</v>
      </c>
      <c r="K1484">
        <v>1993.5</v>
      </c>
      <c r="L1484">
        <v>415</v>
      </c>
      <c r="M1484">
        <v>409</v>
      </c>
      <c r="N1484">
        <v>521</v>
      </c>
      <c r="O1484">
        <v>112</v>
      </c>
      <c r="P1484">
        <v>317</v>
      </c>
      <c r="Q1484">
        <v>521</v>
      </c>
      <c r="R1484">
        <v>204</v>
      </c>
      <c r="S1484">
        <v>273.3</v>
      </c>
      <c r="T1484">
        <v>377</v>
      </c>
      <c r="U1484">
        <v>375</v>
      </c>
      <c r="V1484">
        <v>500</v>
      </c>
      <c r="W1484">
        <v>2.79</v>
      </c>
    </row>
    <row r="1485" spans="1:23" x14ac:dyDescent="0.25">
      <c r="A1485" t="s">
        <v>39</v>
      </c>
      <c r="B1485">
        <v>9</v>
      </c>
      <c r="C1485">
        <v>22</v>
      </c>
      <c r="D1485">
        <v>2008</v>
      </c>
      <c r="E1485">
        <v>258.5</v>
      </c>
      <c r="F1485">
        <v>6.6</v>
      </c>
      <c r="G1485">
        <v>6.3</v>
      </c>
      <c r="H1485">
        <v>0.3</v>
      </c>
      <c r="I1485">
        <v>4</v>
      </c>
      <c r="J1485">
        <v>105.8</v>
      </c>
      <c r="K1485">
        <v>2099.3000000000002</v>
      </c>
      <c r="L1485">
        <v>388</v>
      </c>
      <c r="M1485">
        <v>381</v>
      </c>
      <c r="N1485">
        <v>519</v>
      </c>
      <c r="O1485">
        <v>138</v>
      </c>
      <c r="P1485">
        <v>321</v>
      </c>
      <c r="Q1485">
        <v>519</v>
      </c>
      <c r="R1485">
        <v>198</v>
      </c>
      <c r="S1485">
        <v>273.3</v>
      </c>
      <c r="T1485">
        <v>377</v>
      </c>
      <c r="U1485">
        <v>375</v>
      </c>
      <c r="V1485">
        <v>500</v>
      </c>
      <c r="W1485">
        <v>2.79</v>
      </c>
    </row>
    <row r="1486" spans="1:23" x14ac:dyDescent="0.25">
      <c r="A1486" t="s">
        <v>39</v>
      </c>
      <c r="B1486">
        <v>9</v>
      </c>
      <c r="C1486">
        <v>23</v>
      </c>
      <c r="D1486">
        <v>2009</v>
      </c>
      <c r="E1486">
        <v>265.39999999999998</v>
      </c>
      <c r="F1486">
        <v>6.9</v>
      </c>
      <c r="G1486">
        <v>6.9</v>
      </c>
      <c r="H1486">
        <v>0</v>
      </c>
      <c r="I1486">
        <v>0</v>
      </c>
      <c r="J1486">
        <v>113.6</v>
      </c>
      <c r="K1486">
        <v>2212.8000000000002</v>
      </c>
      <c r="L1486">
        <v>406</v>
      </c>
      <c r="M1486">
        <v>406</v>
      </c>
      <c r="P1486">
        <v>318</v>
      </c>
      <c r="Q1486">
        <v>489</v>
      </c>
      <c r="R1486">
        <v>171</v>
      </c>
      <c r="S1486">
        <v>273.3</v>
      </c>
      <c r="T1486">
        <v>377</v>
      </c>
      <c r="U1486">
        <v>375</v>
      </c>
      <c r="V1486">
        <v>500</v>
      </c>
      <c r="W1486">
        <v>2.79</v>
      </c>
    </row>
    <row r="1487" spans="1:23" x14ac:dyDescent="0.25">
      <c r="A1487" t="s">
        <v>39</v>
      </c>
      <c r="B1487">
        <v>9</v>
      </c>
      <c r="C1487">
        <v>24</v>
      </c>
      <c r="D1487">
        <v>2010</v>
      </c>
      <c r="E1487">
        <v>271.39999999999998</v>
      </c>
      <c r="F1487">
        <v>6</v>
      </c>
      <c r="G1487">
        <v>4.8</v>
      </c>
      <c r="H1487">
        <v>1.2</v>
      </c>
      <c r="I1487">
        <v>20</v>
      </c>
      <c r="J1487">
        <v>101.2</v>
      </c>
      <c r="K1487">
        <v>2314</v>
      </c>
      <c r="L1487">
        <v>408</v>
      </c>
      <c r="M1487">
        <v>382</v>
      </c>
      <c r="N1487">
        <v>512</v>
      </c>
      <c r="O1487">
        <v>130</v>
      </c>
      <c r="P1487">
        <v>325</v>
      </c>
      <c r="Q1487">
        <v>517</v>
      </c>
      <c r="R1487">
        <v>192</v>
      </c>
      <c r="S1487">
        <v>273.3</v>
      </c>
      <c r="T1487">
        <v>377</v>
      </c>
      <c r="U1487">
        <v>375</v>
      </c>
      <c r="V1487">
        <v>500</v>
      </c>
      <c r="W1487">
        <v>2.79</v>
      </c>
    </row>
    <row r="1488" spans="1:23" x14ac:dyDescent="0.25">
      <c r="A1488" t="s">
        <v>39</v>
      </c>
      <c r="B1488">
        <v>9</v>
      </c>
      <c r="C1488">
        <v>25</v>
      </c>
      <c r="D1488">
        <v>2011</v>
      </c>
      <c r="E1488">
        <v>277.7</v>
      </c>
      <c r="F1488">
        <v>6.3</v>
      </c>
      <c r="G1488">
        <v>5.4</v>
      </c>
      <c r="H1488">
        <v>0.9</v>
      </c>
      <c r="I1488">
        <v>14</v>
      </c>
      <c r="J1488">
        <v>108.7</v>
      </c>
      <c r="K1488">
        <v>2422.6999999999998</v>
      </c>
      <c r="L1488">
        <v>408</v>
      </c>
      <c r="M1488">
        <v>389</v>
      </c>
      <c r="N1488">
        <v>520</v>
      </c>
      <c r="O1488">
        <v>131</v>
      </c>
      <c r="P1488">
        <v>322</v>
      </c>
      <c r="Q1488">
        <v>538</v>
      </c>
      <c r="R1488">
        <v>216</v>
      </c>
      <c r="S1488">
        <v>273.3</v>
      </c>
      <c r="T1488">
        <v>377</v>
      </c>
      <c r="U1488">
        <v>375</v>
      </c>
      <c r="V1488">
        <v>500</v>
      </c>
      <c r="W1488">
        <v>2.79</v>
      </c>
    </row>
    <row r="1489" spans="1:23" x14ac:dyDescent="0.25">
      <c r="A1489" t="s">
        <v>39</v>
      </c>
      <c r="B1489">
        <v>9</v>
      </c>
      <c r="C1489">
        <v>26</v>
      </c>
      <c r="D1489">
        <v>2012</v>
      </c>
      <c r="E1489">
        <v>281.3</v>
      </c>
      <c r="F1489">
        <v>3.6</v>
      </c>
      <c r="G1489">
        <v>3.6</v>
      </c>
      <c r="H1489">
        <v>0</v>
      </c>
      <c r="I1489">
        <v>0</v>
      </c>
      <c r="J1489">
        <v>63.2</v>
      </c>
      <c r="K1489">
        <v>2485.9</v>
      </c>
      <c r="L1489">
        <v>405</v>
      </c>
      <c r="M1489">
        <v>405</v>
      </c>
      <c r="P1489">
        <v>335</v>
      </c>
      <c r="Q1489">
        <v>468</v>
      </c>
      <c r="R1489">
        <v>133</v>
      </c>
      <c r="S1489">
        <v>273.3</v>
      </c>
      <c r="T1489">
        <v>377</v>
      </c>
      <c r="U1489">
        <v>375</v>
      </c>
      <c r="V1489">
        <v>500</v>
      </c>
      <c r="W1489">
        <v>2.79</v>
      </c>
    </row>
    <row r="1490" spans="1:23" x14ac:dyDescent="0.25">
      <c r="A1490" t="s">
        <v>39</v>
      </c>
      <c r="B1490">
        <v>10</v>
      </c>
      <c r="C1490">
        <v>3</v>
      </c>
      <c r="D1490">
        <v>1988</v>
      </c>
      <c r="E1490">
        <v>19.399999999999999</v>
      </c>
      <c r="F1490">
        <v>19.399999999999999</v>
      </c>
      <c r="G1490">
        <v>13.2</v>
      </c>
      <c r="H1490">
        <v>1.2</v>
      </c>
      <c r="I1490">
        <v>6</v>
      </c>
      <c r="J1490">
        <v>11.8</v>
      </c>
      <c r="K1490">
        <v>11.8</v>
      </c>
      <c r="L1490">
        <v>365</v>
      </c>
      <c r="M1490">
        <v>350</v>
      </c>
      <c r="N1490">
        <v>525</v>
      </c>
      <c r="O1490">
        <v>175</v>
      </c>
      <c r="P1490">
        <v>296</v>
      </c>
      <c r="Q1490">
        <v>537</v>
      </c>
      <c r="R1490">
        <v>241</v>
      </c>
      <c r="S1490">
        <v>203.4</v>
      </c>
      <c r="T1490">
        <v>405</v>
      </c>
      <c r="U1490">
        <v>408</v>
      </c>
      <c r="V1490">
        <v>500</v>
      </c>
      <c r="W1490">
        <v>2.79</v>
      </c>
    </row>
    <row r="1491" spans="1:23" x14ac:dyDescent="0.25">
      <c r="A1491" t="s">
        <v>39</v>
      </c>
      <c r="B1491">
        <v>10</v>
      </c>
      <c r="C1491">
        <v>4</v>
      </c>
      <c r="D1491">
        <v>1989</v>
      </c>
      <c r="E1491">
        <v>33.5</v>
      </c>
      <c r="F1491">
        <v>14.1</v>
      </c>
      <c r="G1491">
        <v>12.9</v>
      </c>
      <c r="H1491">
        <v>1.2</v>
      </c>
      <c r="I1491">
        <v>8</v>
      </c>
      <c r="J1491">
        <v>23.4</v>
      </c>
      <c r="K1491">
        <v>35.299999999999997</v>
      </c>
      <c r="L1491">
        <v>366</v>
      </c>
      <c r="M1491">
        <v>351</v>
      </c>
      <c r="N1491">
        <v>534</v>
      </c>
      <c r="O1491">
        <v>183</v>
      </c>
      <c r="P1491">
        <v>287</v>
      </c>
      <c r="Q1491">
        <v>570</v>
      </c>
      <c r="R1491">
        <v>283</v>
      </c>
      <c r="S1491">
        <v>203.4</v>
      </c>
      <c r="T1491">
        <v>405</v>
      </c>
      <c r="U1491">
        <v>408</v>
      </c>
      <c r="V1491">
        <v>500</v>
      </c>
      <c r="W1491">
        <v>2.79</v>
      </c>
    </row>
    <row r="1492" spans="1:23" x14ac:dyDescent="0.25">
      <c r="A1492" t="s">
        <v>39</v>
      </c>
      <c r="B1492">
        <v>10</v>
      </c>
      <c r="C1492">
        <v>5</v>
      </c>
      <c r="D1492">
        <v>1990</v>
      </c>
      <c r="E1492">
        <v>45.8</v>
      </c>
      <c r="F1492">
        <v>12.3</v>
      </c>
      <c r="G1492">
        <v>10.8</v>
      </c>
      <c r="H1492">
        <v>1.5</v>
      </c>
      <c r="I1492">
        <v>12</v>
      </c>
      <c r="J1492">
        <v>30.6</v>
      </c>
      <c r="K1492">
        <v>65.900000000000006</v>
      </c>
      <c r="L1492">
        <v>406</v>
      </c>
      <c r="M1492">
        <v>387</v>
      </c>
      <c r="N1492">
        <v>541</v>
      </c>
      <c r="O1492">
        <v>154</v>
      </c>
      <c r="P1492">
        <v>341</v>
      </c>
      <c r="Q1492">
        <v>575</v>
      </c>
      <c r="R1492">
        <v>234</v>
      </c>
      <c r="S1492">
        <v>203.4</v>
      </c>
      <c r="T1492">
        <v>405</v>
      </c>
      <c r="U1492">
        <v>408</v>
      </c>
      <c r="V1492">
        <v>500</v>
      </c>
      <c r="W1492">
        <v>2.79</v>
      </c>
    </row>
    <row r="1493" spans="1:23" x14ac:dyDescent="0.25">
      <c r="A1493" t="s">
        <v>39</v>
      </c>
      <c r="B1493">
        <v>10</v>
      </c>
      <c r="C1493">
        <v>6</v>
      </c>
      <c r="D1493">
        <v>1991</v>
      </c>
      <c r="E1493">
        <v>57.8</v>
      </c>
      <c r="F1493">
        <v>12</v>
      </c>
      <c r="G1493">
        <v>10.5</v>
      </c>
      <c r="H1493">
        <v>1.5</v>
      </c>
      <c r="I1493">
        <v>12</v>
      </c>
      <c r="J1493">
        <v>39.1</v>
      </c>
      <c r="K1493">
        <v>105</v>
      </c>
      <c r="L1493">
        <v>434</v>
      </c>
      <c r="M1493">
        <v>414</v>
      </c>
      <c r="N1493">
        <v>568</v>
      </c>
      <c r="O1493">
        <v>154</v>
      </c>
      <c r="P1493">
        <v>358</v>
      </c>
      <c r="Q1493">
        <v>589</v>
      </c>
      <c r="R1493">
        <v>231</v>
      </c>
      <c r="S1493">
        <v>203.4</v>
      </c>
      <c r="T1493">
        <v>405</v>
      </c>
      <c r="U1493">
        <v>408</v>
      </c>
      <c r="V1493">
        <v>500</v>
      </c>
      <c r="W1493">
        <v>2.79</v>
      </c>
    </row>
    <row r="1494" spans="1:23" x14ac:dyDescent="0.25">
      <c r="A1494" t="s">
        <v>39</v>
      </c>
      <c r="B1494">
        <v>10</v>
      </c>
      <c r="C1494">
        <v>7</v>
      </c>
      <c r="D1494">
        <v>1992</v>
      </c>
      <c r="E1494">
        <v>68.900000000000006</v>
      </c>
      <c r="F1494">
        <v>11.1</v>
      </c>
      <c r="G1494">
        <v>10.199999999999999</v>
      </c>
      <c r="H1494">
        <v>0.9</v>
      </c>
      <c r="I1494">
        <v>8</v>
      </c>
      <c r="J1494">
        <v>44.2</v>
      </c>
      <c r="K1494">
        <v>149.1</v>
      </c>
      <c r="L1494">
        <v>393</v>
      </c>
      <c r="M1494">
        <v>379</v>
      </c>
      <c r="N1494">
        <v>547</v>
      </c>
      <c r="O1494">
        <v>168</v>
      </c>
      <c r="P1494">
        <v>334</v>
      </c>
      <c r="Q1494">
        <v>569</v>
      </c>
      <c r="R1494">
        <v>235</v>
      </c>
      <c r="S1494">
        <v>203.4</v>
      </c>
      <c r="T1494">
        <v>405</v>
      </c>
      <c r="U1494">
        <v>408</v>
      </c>
      <c r="V1494">
        <v>500</v>
      </c>
      <c r="W1494">
        <v>2.79</v>
      </c>
    </row>
    <row r="1495" spans="1:23" x14ac:dyDescent="0.25">
      <c r="A1495" t="s">
        <v>39</v>
      </c>
      <c r="B1495">
        <v>10</v>
      </c>
      <c r="C1495">
        <v>8</v>
      </c>
      <c r="D1495">
        <v>1993</v>
      </c>
      <c r="E1495">
        <v>76.400000000000006</v>
      </c>
      <c r="F1495">
        <v>7.5</v>
      </c>
      <c r="G1495">
        <v>6.3</v>
      </c>
      <c r="H1495">
        <v>1.2</v>
      </c>
      <c r="I1495">
        <v>16</v>
      </c>
      <c r="J1495">
        <v>34.200000000000003</v>
      </c>
      <c r="K1495">
        <v>183.4</v>
      </c>
      <c r="L1495">
        <v>390</v>
      </c>
      <c r="M1495">
        <v>362</v>
      </c>
      <c r="N1495">
        <v>536</v>
      </c>
      <c r="O1495">
        <v>174</v>
      </c>
      <c r="P1495">
        <v>323</v>
      </c>
      <c r="Q1495">
        <v>550</v>
      </c>
      <c r="R1495">
        <v>227</v>
      </c>
      <c r="S1495">
        <v>203.4</v>
      </c>
      <c r="T1495">
        <v>405</v>
      </c>
      <c r="U1495">
        <v>408</v>
      </c>
      <c r="V1495">
        <v>500</v>
      </c>
      <c r="W1495">
        <v>2.79</v>
      </c>
    </row>
    <row r="1496" spans="1:23" x14ac:dyDescent="0.25">
      <c r="A1496" t="s">
        <v>39</v>
      </c>
      <c r="B1496">
        <v>10</v>
      </c>
      <c r="C1496">
        <v>9</v>
      </c>
      <c r="D1496">
        <v>1994</v>
      </c>
      <c r="E1496">
        <v>82.4</v>
      </c>
      <c r="F1496">
        <v>6</v>
      </c>
      <c r="G1496">
        <v>5.4</v>
      </c>
      <c r="H1496">
        <v>0.6</v>
      </c>
      <c r="I1496">
        <v>10</v>
      </c>
      <c r="J1496">
        <v>29.9</v>
      </c>
      <c r="K1496">
        <v>213.3</v>
      </c>
      <c r="L1496">
        <v>375</v>
      </c>
      <c r="M1496">
        <v>358</v>
      </c>
      <c r="N1496">
        <v>523</v>
      </c>
      <c r="O1496">
        <v>165</v>
      </c>
      <c r="P1496">
        <v>298</v>
      </c>
      <c r="Q1496">
        <v>536</v>
      </c>
      <c r="R1496">
        <v>238</v>
      </c>
      <c r="S1496">
        <v>203.4</v>
      </c>
      <c r="T1496">
        <v>405</v>
      </c>
      <c r="U1496">
        <v>408</v>
      </c>
      <c r="V1496">
        <v>500</v>
      </c>
      <c r="W1496">
        <v>2.79</v>
      </c>
    </row>
    <row r="1497" spans="1:23" x14ac:dyDescent="0.25">
      <c r="A1497" t="s">
        <v>39</v>
      </c>
      <c r="B1497">
        <v>10</v>
      </c>
      <c r="C1497">
        <v>10</v>
      </c>
      <c r="D1497">
        <v>1995</v>
      </c>
      <c r="E1497">
        <v>88.4</v>
      </c>
      <c r="F1497">
        <v>6</v>
      </c>
      <c r="G1497">
        <v>5.4</v>
      </c>
      <c r="H1497">
        <v>0.6</v>
      </c>
      <c r="I1497">
        <v>10</v>
      </c>
      <c r="J1497">
        <v>32.200000000000003</v>
      </c>
      <c r="K1497">
        <v>245.5</v>
      </c>
      <c r="L1497">
        <v>389</v>
      </c>
      <c r="M1497">
        <v>375</v>
      </c>
      <c r="N1497">
        <v>513</v>
      </c>
      <c r="O1497">
        <v>138</v>
      </c>
      <c r="P1497">
        <v>308</v>
      </c>
      <c r="Q1497">
        <v>513</v>
      </c>
      <c r="R1497">
        <v>205</v>
      </c>
      <c r="S1497">
        <v>203.4</v>
      </c>
      <c r="T1497">
        <v>405</v>
      </c>
      <c r="U1497">
        <v>408</v>
      </c>
      <c r="V1497">
        <v>500</v>
      </c>
      <c r="W1497">
        <v>2.79</v>
      </c>
    </row>
    <row r="1498" spans="1:23" x14ac:dyDescent="0.25">
      <c r="A1498" t="s">
        <v>39</v>
      </c>
      <c r="B1498">
        <v>10</v>
      </c>
      <c r="C1498">
        <v>11</v>
      </c>
      <c r="D1498">
        <v>1996</v>
      </c>
      <c r="E1498">
        <v>97.4</v>
      </c>
      <c r="F1498">
        <v>9</v>
      </c>
      <c r="G1498">
        <v>7.5</v>
      </c>
      <c r="H1498">
        <v>1.5</v>
      </c>
      <c r="I1498">
        <v>16</v>
      </c>
      <c r="J1498">
        <v>52.5</v>
      </c>
      <c r="K1498">
        <v>298</v>
      </c>
      <c r="L1498">
        <v>409</v>
      </c>
      <c r="M1498">
        <v>383</v>
      </c>
      <c r="N1498">
        <v>540</v>
      </c>
      <c r="O1498">
        <v>157</v>
      </c>
      <c r="P1498">
        <v>325</v>
      </c>
      <c r="Q1498">
        <v>565</v>
      </c>
      <c r="R1498">
        <v>240</v>
      </c>
      <c r="S1498">
        <v>203.4</v>
      </c>
      <c r="T1498">
        <v>405</v>
      </c>
      <c r="U1498">
        <v>408</v>
      </c>
      <c r="V1498">
        <v>500</v>
      </c>
      <c r="W1498">
        <v>2.79</v>
      </c>
    </row>
    <row r="1499" spans="1:23" x14ac:dyDescent="0.25">
      <c r="A1499" t="s">
        <v>39</v>
      </c>
      <c r="B1499">
        <v>10</v>
      </c>
      <c r="C1499">
        <v>12</v>
      </c>
      <c r="D1499">
        <v>1997</v>
      </c>
      <c r="E1499">
        <v>109.1</v>
      </c>
      <c r="F1499">
        <v>11.7</v>
      </c>
      <c r="G1499">
        <v>9.9</v>
      </c>
      <c r="H1499">
        <v>1.8</v>
      </c>
      <c r="I1499">
        <v>15</v>
      </c>
      <c r="J1499">
        <v>75.900000000000006</v>
      </c>
      <c r="K1499">
        <v>373.9</v>
      </c>
      <c r="L1499">
        <v>402</v>
      </c>
      <c r="M1499">
        <v>382</v>
      </c>
      <c r="N1499">
        <v>515</v>
      </c>
      <c r="O1499">
        <v>133</v>
      </c>
      <c r="P1499">
        <v>338</v>
      </c>
      <c r="Q1499">
        <v>529</v>
      </c>
      <c r="R1499">
        <v>191</v>
      </c>
      <c r="S1499">
        <v>203.4</v>
      </c>
      <c r="T1499">
        <v>405</v>
      </c>
      <c r="U1499">
        <v>408</v>
      </c>
      <c r="V1499">
        <v>500</v>
      </c>
      <c r="W1499">
        <v>2.79</v>
      </c>
    </row>
    <row r="1500" spans="1:23" x14ac:dyDescent="0.25">
      <c r="A1500" t="s">
        <v>39</v>
      </c>
      <c r="B1500">
        <v>10</v>
      </c>
      <c r="C1500">
        <v>13</v>
      </c>
      <c r="D1500">
        <v>1998</v>
      </c>
      <c r="E1500">
        <v>119</v>
      </c>
      <c r="F1500">
        <v>9.9</v>
      </c>
      <c r="G1500">
        <v>7.5</v>
      </c>
      <c r="H1500">
        <v>2.4</v>
      </c>
      <c r="I1500">
        <v>24</v>
      </c>
      <c r="J1500">
        <v>70.900000000000006</v>
      </c>
      <c r="K1500">
        <v>444.9</v>
      </c>
      <c r="L1500">
        <v>424</v>
      </c>
      <c r="M1500">
        <v>390</v>
      </c>
      <c r="N1500">
        <v>530</v>
      </c>
      <c r="O1500">
        <v>140</v>
      </c>
      <c r="P1500">
        <v>332</v>
      </c>
      <c r="Q1500">
        <v>548</v>
      </c>
      <c r="R1500">
        <v>216</v>
      </c>
      <c r="S1500">
        <v>203.4</v>
      </c>
      <c r="T1500">
        <v>405</v>
      </c>
      <c r="U1500">
        <v>408</v>
      </c>
      <c r="V1500">
        <v>500</v>
      </c>
      <c r="W1500">
        <v>2.79</v>
      </c>
    </row>
    <row r="1501" spans="1:23" x14ac:dyDescent="0.25">
      <c r="A1501" t="s">
        <v>39</v>
      </c>
      <c r="B1501">
        <v>10</v>
      </c>
      <c r="C1501">
        <v>14</v>
      </c>
      <c r="D1501">
        <v>1999</v>
      </c>
      <c r="E1501">
        <v>133.1</v>
      </c>
      <c r="F1501">
        <v>14.1</v>
      </c>
      <c r="G1501">
        <v>12.9</v>
      </c>
      <c r="H1501">
        <v>1.2</v>
      </c>
      <c r="I1501">
        <v>8</v>
      </c>
      <c r="J1501">
        <v>111.7</v>
      </c>
      <c r="K1501">
        <v>556.6</v>
      </c>
      <c r="L1501">
        <v>412</v>
      </c>
      <c r="M1501">
        <v>402</v>
      </c>
      <c r="N1501">
        <v>523</v>
      </c>
      <c r="O1501">
        <v>121</v>
      </c>
      <c r="P1501">
        <v>334</v>
      </c>
      <c r="Q1501">
        <v>539</v>
      </c>
      <c r="R1501">
        <v>205</v>
      </c>
      <c r="S1501">
        <v>203.4</v>
      </c>
      <c r="T1501">
        <v>405</v>
      </c>
      <c r="U1501">
        <v>408</v>
      </c>
      <c r="V1501">
        <v>500</v>
      </c>
      <c r="W1501">
        <v>2.79</v>
      </c>
    </row>
    <row r="1502" spans="1:23" x14ac:dyDescent="0.25">
      <c r="A1502" t="s">
        <v>39</v>
      </c>
      <c r="B1502">
        <v>10</v>
      </c>
      <c r="C1502">
        <v>15</v>
      </c>
      <c r="D1502">
        <v>2000</v>
      </c>
      <c r="E1502">
        <v>145.1</v>
      </c>
      <c r="F1502">
        <v>12</v>
      </c>
      <c r="G1502">
        <v>11.4</v>
      </c>
      <c r="H1502">
        <v>0.6</v>
      </c>
      <c r="I1502">
        <v>5</v>
      </c>
      <c r="J1502">
        <v>104.9</v>
      </c>
      <c r="K1502">
        <v>661.4</v>
      </c>
      <c r="L1502">
        <v>397</v>
      </c>
      <c r="M1502">
        <v>390</v>
      </c>
      <c r="N1502">
        <v>536</v>
      </c>
      <c r="O1502">
        <v>146</v>
      </c>
      <c r="P1502">
        <v>326</v>
      </c>
      <c r="Q1502">
        <v>553</v>
      </c>
      <c r="R1502">
        <v>227</v>
      </c>
      <c r="S1502">
        <v>203.4</v>
      </c>
      <c r="T1502">
        <v>405</v>
      </c>
      <c r="U1502">
        <v>408</v>
      </c>
      <c r="V1502">
        <v>500</v>
      </c>
      <c r="W1502">
        <v>2.79</v>
      </c>
    </row>
    <row r="1503" spans="1:23" x14ac:dyDescent="0.25">
      <c r="A1503" t="s">
        <v>39</v>
      </c>
      <c r="B1503">
        <v>10</v>
      </c>
      <c r="C1503">
        <v>16</v>
      </c>
      <c r="D1503">
        <v>2001</v>
      </c>
      <c r="E1503">
        <v>154.69999999999999</v>
      </c>
      <c r="F1503">
        <v>9.6</v>
      </c>
      <c r="G1503">
        <v>9</v>
      </c>
      <c r="H1503">
        <v>0.6</v>
      </c>
      <c r="I1503">
        <v>6</v>
      </c>
      <c r="J1503">
        <v>90.4</v>
      </c>
      <c r="K1503">
        <v>751.8</v>
      </c>
      <c r="L1503">
        <v>393</v>
      </c>
      <c r="M1503">
        <v>385</v>
      </c>
      <c r="N1503">
        <v>520</v>
      </c>
      <c r="O1503">
        <v>135</v>
      </c>
      <c r="P1503">
        <v>317</v>
      </c>
      <c r="Q1503">
        <v>530</v>
      </c>
      <c r="R1503">
        <v>213</v>
      </c>
      <c r="S1503">
        <v>203.4</v>
      </c>
      <c r="T1503">
        <v>405</v>
      </c>
      <c r="U1503">
        <v>408</v>
      </c>
      <c r="V1503">
        <v>500</v>
      </c>
      <c r="W1503">
        <v>2.79</v>
      </c>
    </row>
    <row r="1504" spans="1:23" x14ac:dyDescent="0.25">
      <c r="A1504" t="s">
        <v>39</v>
      </c>
      <c r="B1504">
        <v>10</v>
      </c>
      <c r="C1504">
        <v>17</v>
      </c>
      <c r="D1504">
        <v>2002</v>
      </c>
      <c r="E1504">
        <v>162.80000000000001</v>
      </c>
      <c r="F1504">
        <v>8.1</v>
      </c>
      <c r="G1504">
        <v>6.9</v>
      </c>
      <c r="H1504">
        <v>1.2</v>
      </c>
      <c r="I1504">
        <v>14</v>
      </c>
      <c r="J1504">
        <v>80.8</v>
      </c>
      <c r="K1504">
        <v>832.6</v>
      </c>
      <c r="L1504">
        <v>409</v>
      </c>
      <c r="M1504">
        <v>385</v>
      </c>
      <c r="N1504">
        <v>550</v>
      </c>
      <c r="O1504">
        <v>165</v>
      </c>
      <c r="P1504">
        <v>314</v>
      </c>
      <c r="Q1504">
        <v>597</v>
      </c>
      <c r="R1504">
        <v>283</v>
      </c>
      <c r="S1504">
        <v>203.4</v>
      </c>
      <c r="T1504">
        <v>405</v>
      </c>
      <c r="U1504">
        <v>408</v>
      </c>
      <c r="V1504">
        <v>500</v>
      </c>
      <c r="W1504">
        <v>2.79</v>
      </c>
    </row>
    <row r="1505" spans="1:23" x14ac:dyDescent="0.25">
      <c r="A1505" t="s">
        <v>39</v>
      </c>
      <c r="B1505">
        <v>10</v>
      </c>
      <c r="C1505">
        <v>18</v>
      </c>
      <c r="D1505">
        <v>2003</v>
      </c>
      <c r="E1505">
        <v>170.6</v>
      </c>
      <c r="F1505">
        <v>7.8</v>
      </c>
      <c r="G1505">
        <v>7.2</v>
      </c>
      <c r="H1505">
        <v>0.6</v>
      </c>
      <c r="I1505">
        <v>7</v>
      </c>
      <c r="J1505">
        <v>81.7</v>
      </c>
      <c r="K1505">
        <v>914.3</v>
      </c>
      <c r="L1505">
        <v>411</v>
      </c>
      <c r="M1505">
        <v>401</v>
      </c>
      <c r="N1505">
        <v>525</v>
      </c>
      <c r="O1505">
        <v>124</v>
      </c>
      <c r="P1505">
        <v>350</v>
      </c>
      <c r="Q1505">
        <v>526</v>
      </c>
      <c r="R1505">
        <v>176</v>
      </c>
      <c r="S1505">
        <v>203.4</v>
      </c>
      <c r="T1505">
        <v>405</v>
      </c>
      <c r="U1505">
        <v>408</v>
      </c>
      <c r="V1505">
        <v>500</v>
      </c>
      <c r="W1505">
        <v>2.79</v>
      </c>
    </row>
    <row r="1506" spans="1:23" x14ac:dyDescent="0.25">
      <c r="A1506" t="s">
        <v>39</v>
      </c>
      <c r="B1506">
        <v>10</v>
      </c>
      <c r="C1506">
        <v>19</v>
      </c>
      <c r="D1506">
        <v>2004</v>
      </c>
      <c r="E1506">
        <v>177.2</v>
      </c>
      <c r="F1506">
        <v>6.6</v>
      </c>
      <c r="G1506">
        <v>5.0999999999999996</v>
      </c>
      <c r="H1506">
        <v>1.5</v>
      </c>
      <c r="I1506">
        <v>22</v>
      </c>
      <c r="J1506">
        <v>72.099999999999994</v>
      </c>
      <c r="K1506">
        <v>986.5</v>
      </c>
      <c r="L1506">
        <v>422</v>
      </c>
      <c r="M1506">
        <v>391</v>
      </c>
      <c r="N1506">
        <v>530</v>
      </c>
      <c r="O1506">
        <v>139</v>
      </c>
      <c r="P1506">
        <v>341</v>
      </c>
      <c r="Q1506">
        <v>560</v>
      </c>
      <c r="R1506">
        <v>219</v>
      </c>
      <c r="S1506">
        <v>203.4</v>
      </c>
      <c r="T1506">
        <v>405</v>
      </c>
      <c r="U1506">
        <v>408</v>
      </c>
      <c r="V1506">
        <v>500</v>
      </c>
      <c r="W1506">
        <v>2.79</v>
      </c>
    </row>
    <row r="1507" spans="1:23" x14ac:dyDescent="0.25">
      <c r="A1507" t="s">
        <v>39</v>
      </c>
      <c r="B1507">
        <v>10</v>
      </c>
      <c r="C1507">
        <v>20</v>
      </c>
      <c r="D1507">
        <v>2005</v>
      </c>
      <c r="E1507">
        <v>182.3</v>
      </c>
      <c r="F1507">
        <v>5.0999999999999996</v>
      </c>
      <c r="G1507">
        <v>4.8</v>
      </c>
      <c r="H1507">
        <v>0.3</v>
      </c>
      <c r="I1507">
        <v>5</v>
      </c>
      <c r="J1507">
        <v>57.6</v>
      </c>
      <c r="K1507">
        <v>1044.0999999999999</v>
      </c>
      <c r="L1507">
        <v>396</v>
      </c>
      <c r="M1507">
        <v>387</v>
      </c>
      <c r="N1507">
        <v>533</v>
      </c>
      <c r="O1507">
        <v>146</v>
      </c>
      <c r="P1507">
        <v>339</v>
      </c>
      <c r="Q1507">
        <v>533</v>
      </c>
      <c r="R1507">
        <v>194</v>
      </c>
      <c r="S1507">
        <v>203.4</v>
      </c>
      <c r="T1507">
        <v>405</v>
      </c>
      <c r="U1507">
        <v>408</v>
      </c>
      <c r="V1507">
        <v>500</v>
      </c>
      <c r="W1507">
        <v>2.79</v>
      </c>
    </row>
    <row r="1508" spans="1:23" x14ac:dyDescent="0.25">
      <c r="A1508" t="s">
        <v>39</v>
      </c>
      <c r="B1508">
        <v>10</v>
      </c>
      <c r="C1508">
        <v>21</v>
      </c>
      <c r="D1508">
        <v>2006</v>
      </c>
      <c r="E1508">
        <v>186.8</v>
      </c>
      <c r="F1508">
        <v>4.5</v>
      </c>
      <c r="G1508">
        <v>4.5</v>
      </c>
      <c r="H1508">
        <v>0</v>
      </c>
      <c r="I1508">
        <v>0</v>
      </c>
      <c r="J1508">
        <v>52.2</v>
      </c>
      <c r="K1508">
        <v>1096.2</v>
      </c>
      <c r="L1508">
        <v>416</v>
      </c>
      <c r="M1508">
        <v>416</v>
      </c>
      <c r="P1508">
        <v>340</v>
      </c>
      <c r="Q1508">
        <v>485</v>
      </c>
      <c r="R1508">
        <v>145</v>
      </c>
      <c r="S1508">
        <v>203.4</v>
      </c>
      <c r="T1508">
        <v>405</v>
      </c>
      <c r="U1508">
        <v>408</v>
      </c>
      <c r="V1508">
        <v>500</v>
      </c>
      <c r="W1508">
        <v>2.79</v>
      </c>
    </row>
    <row r="1509" spans="1:23" x14ac:dyDescent="0.25">
      <c r="A1509" t="s">
        <v>39</v>
      </c>
      <c r="B1509">
        <v>10</v>
      </c>
      <c r="C1509">
        <v>22</v>
      </c>
      <c r="D1509">
        <v>2007</v>
      </c>
      <c r="E1509">
        <v>191</v>
      </c>
      <c r="F1509">
        <v>4.2</v>
      </c>
      <c r="G1509">
        <v>3.3</v>
      </c>
      <c r="H1509">
        <v>0.9</v>
      </c>
      <c r="I1509">
        <v>21</v>
      </c>
      <c r="J1509">
        <v>49.8</v>
      </c>
      <c r="K1509">
        <v>1146.0999999999999</v>
      </c>
      <c r="L1509">
        <v>427</v>
      </c>
      <c r="M1509">
        <v>399</v>
      </c>
      <c r="N1509">
        <v>532</v>
      </c>
      <c r="O1509">
        <v>133</v>
      </c>
      <c r="P1509">
        <v>332</v>
      </c>
      <c r="Q1509">
        <v>555</v>
      </c>
      <c r="R1509">
        <v>223</v>
      </c>
      <c r="S1509">
        <v>203.4</v>
      </c>
      <c r="T1509">
        <v>405</v>
      </c>
      <c r="U1509">
        <v>408</v>
      </c>
      <c r="V1509">
        <v>500</v>
      </c>
      <c r="W1509">
        <v>2.79</v>
      </c>
    </row>
    <row r="1510" spans="1:23" x14ac:dyDescent="0.25">
      <c r="A1510" t="s">
        <v>39</v>
      </c>
      <c r="B1510">
        <v>10</v>
      </c>
      <c r="C1510">
        <v>23</v>
      </c>
      <c r="D1510">
        <v>2008</v>
      </c>
      <c r="E1510">
        <v>195.8</v>
      </c>
      <c r="F1510">
        <v>4.8</v>
      </c>
      <c r="G1510">
        <v>4.5</v>
      </c>
      <c r="H1510">
        <v>0.3</v>
      </c>
      <c r="I1510">
        <v>6</v>
      </c>
      <c r="J1510">
        <v>58.3</v>
      </c>
      <c r="K1510">
        <v>1204.4000000000001</v>
      </c>
      <c r="L1510">
        <v>416</v>
      </c>
      <c r="M1510">
        <v>409</v>
      </c>
      <c r="N1510">
        <v>524</v>
      </c>
      <c r="O1510">
        <v>115</v>
      </c>
      <c r="P1510">
        <v>351</v>
      </c>
      <c r="Q1510">
        <v>524</v>
      </c>
      <c r="R1510">
        <v>173</v>
      </c>
      <c r="S1510">
        <v>203.4</v>
      </c>
      <c r="T1510">
        <v>405</v>
      </c>
      <c r="U1510">
        <v>408</v>
      </c>
      <c r="V1510">
        <v>500</v>
      </c>
      <c r="W1510">
        <v>2.79</v>
      </c>
    </row>
    <row r="1511" spans="1:23" x14ac:dyDescent="0.25">
      <c r="A1511" t="s">
        <v>39</v>
      </c>
      <c r="B1511">
        <v>10</v>
      </c>
      <c r="C1511">
        <v>24</v>
      </c>
      <c r="D1511">
        <v>2009</v>
      </c>
      <c r="E1511">
        <v>199.7</v>
      </c>
      <c r="F1511">
        <v>3.9</v>
      </c>
      <c r="G1511">
        <v>3.3</v>
      </c>
      <c r="H1511">
        <v>0.6</v>
      </c>
      <c r="I1511">
        <v>15</v>
      </c>
      <c r="J1511">
        <v>48.5</v>
      </c>
      <c r="K1511">
        <v>1252.9000000000001</v>
      </c>
      <c r="L1511">
        <v>421</v>
      </c>
      <c r="M1511">
        <v>402</v>
      </c>
      <c r="N1511">
        <v>521</v>
      </c>
      <c r="O1511">
        <v>119</v>
      </c>
      <c r="P1511">
        <v>342</v>
      </c>
      <c r="Q1511">
        <v>536</v>
      </c>
      <c r="R1511">
        <v>194</v>
      </c>
      <c r="S1511">
        <v>203.4</v>
      </c>
      <c r="T1511">
        <v>405</v>
      </c>
      <c r="U1511">
        <v>408</v>
      </c>
      <c r="V1511">
        <v>500</v>
      </c>
      <c r="W1511">
        <v>2.79</v>
      </c>
    </row>
    <row r="1512" spans="1:23" x14ac:dyDescent="0.25">
      <c r="A1512" t="s">
        <v>39</v>
      </c>
      <c r="B1512">
        <v>10</v>
      </c>
      <c r="C1512">
        <v>25</v>
      </c>
      <c r="D1512">
        <v>2010</v>
      </c>
      <c r="E1512">
        <v>203.3</v>
      </c>
      <c r="F1512">
        <v>3.6</v>
      </c>
      <c r="G1512">
        <v>3.3</v>
      </c>
      <c r="H1512">
        <v>0.3</v>
      </c>
      <c r="I1512">
        <v>8</v>
      </c>
      <c r="J1512">
        <v>45.6</v>
      </c>
      <c r="K1512">
        <v>1298.4000000000001</v>
      </c>
      <c r="L1512">
        <v>429</v>
      </c>
      <c r="M1512">
        <v>417</v>
      </c>
      <c r="N1512">
        <v>561</v>
      </c>
      <c r="O1512">
        <v>144</v>
      </c>
      <c r="P1512">
        <v>341</v>
      </c>
      <c r="Q1512">
        <v>561</v>
      </c>
      <c r="R1512">
        <v>220</v>
      </c>
      <c r="S1512">
        <v>203.4</v>
      </c>
      <c r="T1512">
        <v>405</v>
      </c>
      <c r="U1512">
        <v>408</v>
      </c>
      <c r="V1512">
        <v>500</v>
      </c>
      <c r="W1512">
        <v>2.79</v>
      </c>
    </row>
    <row r="1513" spans="1:23" x14ac:dyDescent="0.25">
      <c r="A1513" t="s">
        <v>39</v>
      </c>
      <c r="B1513">
        <v>10</v>
      </c>
      <c r="C1513">
        <v>26</v>
      </c>
      <c r="D1513">
        <v>2011</v>
      </c>
      <c r="E1513">
        <v>206.3</v>
      </c>
      <c r="F1513">
        <v>3</v>
      </c>
      <c r="G1513">
        <v>2.7</v>
      </c>
      <c r="H1513">
        <v>0.3</v>
      </c>
      <c r="I1513">
        <v>10</v>
      </c>
      <c r="J1513">
        <v>38.6</v>
      </c>
      <c r="K1513">
        <v>1337.1</v>
      </c>
      <c r="L1513">
        <v>422</v>
      </c>
      <c r="M1513">
        <v>409</v>
      </c>
      <c r="N1513">
        <v>537</v>
      </c>
      <c r="O1513">
        <v>128</v>
      </c>
      <c r="P1513">
        <v>353</v>
      </c>
      <c r="Q1513">
        <v>537</v>
      </c>
      <c r="R1513">
        <v>184</v>
      </c>
      <c r="S1513">
        <v>203.4</v>
      </c>
      <c r="T1513">
        <v>405</v>
      </c>
      <c r="U1513">
        <v>408</v>
      </c>
      <c r="V1513">
        <v>500</v>
      </c>
      <c r="W1513">
        <v>2.79</v>
      </c>
    </row>
    <row r="1514" spans="1:23" x14ac:dyDescent="0.25">
      <c r="A1514" t="s">
        <v>39</v>
      </c>
      <c r="B1514">
        <v>10</v>
      </c>
      <c r="C1514">
        <v>27</v>
      </c>
      <c r="D1514">
        <v>2012</v>
      </c>
      <c r="E1514">
        <v>208.4</v>
      </c>
      <c r="F1514">
        <v>2.1</v>
      </c>
      <c r="G1514">
        <v>1.8</v>
      </c>
      <c r="H1514">
        <v>0.3</v>
      </c>
      <c r="I1514">
        <v>14</v>
      </c>
      <c r="J1514">
        <v>27.4</v>
      </c>
      <c r="K1514">
        <v>1364.4</v>
      </c>
      <c r="L1514">
        <v>423</v>
      </c>
      <c r="M1514">
        <v>406</v>
      </c>
      <c r="N1514">
        <v>523</v>
      </c>
      <c r="O1514">
        <v>117</v>
      </c>
      <c r="P1514">
        <v>335</v>
      </c>
      <c r="Q1514">
        <v>523</v>
      </c>
      <c r="R1514">
        <v>188</v>
      </c>
      <c r="S1514">
        <v>203.4</v>
      </c>
      <c r="T1514">
        <v>405</v>
      </c>
      <c r="U1514">
        <v>408</v>
      </c>
      <c r="V1514">
        <v>500</v>
      </c>
      <c r="W1514">
        <v>2.79</v>
      </c>
    </row>
    <row r="1515" spans="1:23" x14ac:dyDescent="0.25">
      <c r="A1515" t="s">
        <v>39</v>
      </c>
      <c r="B1515">
        <v>11</v>
      </c>
      <c r="C1515">
        <v>5</v>
      </c>
      <c r="D1515">
        <v>1990</v>
      </c>
      <c r="E1515">
        <v>26.1</v>
      </c>
      <c r="F1515">
        <v>26.1</v>
      </c>
      <c r="G1515">
        <v>13.8</v>
      </c>
      <c r="H1515">
        <v>0.3</v>
      </c>
      <c r="I1515">
        <v>1</v>
      </c>
      <c r="J1515">
        <v>21.4</v>
      </c>
      <c r="K1515">
        <v>21.4</v>
      </c>
      <c r="L1515">
        <v>323</v>
      </c>
      <c r="M1515">
        <v>319</v>
      </c>
      <c r="N1515">
        <v>502</v>
      </c>
      <c r="O1515">
        <v>183</v>
      </c>
      <c r="P1515">
        <v>256</v>
      </c>
      <c r="Q1515">
        <v>502</v>
      </c>
      <c r="R1515">
        <v>246</v>
      </c>
      <c r="S1515">
        <v>249.6</v>
      </c>
      <c r="T1515">
        <v>367</v>
      </c>
      <c r="U1515">
        <v>369</v>
      </c>
      <c r="V1515">
        <v>500</v>
      </c>
      <c r="W1515">
        <v>2.79</v>
      </c>
    </row>
    <row r="1516" spans="1:23" x14ac:dyDescent="0.25">
      <c r="A1516" t="s">
        <v>39</v>
      </c>
      <c r="B1516">
        <v>11</v>
      </c>
      <c r="C1516">
        <v>6</v>
      </c>
      <c r="D1516">
        <v>1991</v>
      </c>
      <c r="E1516">
        <v>41.4</v>
      </c>
      <c r="F1516">
        <v>15.3</v>
      </c>
      <c r="G1516">
        <v>13.5</v>
      </c>
      <c r="H1516">
        <v>1.8</v>
      </c>
      <c r="I1516">
        <v>11</v>
      </c>
      <c r="J1516">
        <v>32.4</v>
      </c>
      <c r="K1516">
        <v>53.8</v>
      </c>
      <c r="L1516">
        <v>365</v>
      </c>
      <c r="M1516">
        <v>343</v>
      </c>
      <c r="N1516">
        <v>531</v>
      </c>
      <c r="O1516">
        <v>188</v>
      </c>
      <c r="P1516">
        <v>283</v>
      </c>
      <c r="Q1516">
        <v>551</v>
      </c>
      <c r="R1516">
        <v>268</v>
      </c>
      <c r="S1516">
        <v>249.6</v>
      </c>
      <c r="T1516">
        <v>367</v>
      </c>
      <c r="U1516">
        <v>369</v>
      </c>
      <c r="V1516">
        <v>500</v>
      </c>
      <c r="W1516">
        <v>2.79</v>
      </c>
    </row>
    <row r="1517" spans="1:23" x14ac:dyDescent="0.25">
      <c r="A1517" t="s">
        <v>39</v>
      </c>
      <c r="B1517">
        <v>11</v>
      </c>
      <c r="C1517">
        <v>7</v>
      </c>
      <c r="D1517">
        <v>1992</v>
      </c>
      <c r="E1517">
        <v>53.7</v>
      </c>
      <c r="F1517">
        <v>12.3</v>
      </c>
      <c r="G1517">
        <v>12</v>
      </c>
      <c r="H1517">
        <v>0.3</v>
      </c>
      <c r="I1517">
        <v>2</v>
      </c>
      <c r="J1517">
        <v>36.700000000000003</v>
      </c>
      <c r="K1517">
        <v>90.6</v>
      </c>
      <c r="L1517">
        <v>348</v>
      </c>
      <c r="M1517">
        <v>344</v>
      </c>
      <c r="N1517">
        <v>504</v>
      </c>
      <c r="O1517">
        <v>160</v>
      </c>
      <c r="P1517">
        <v>275</v>
      </c>
      <c r="Q1517">
        <v>504</v>
      </c>
      <c r="R1517">
        <v>229</v>
      </c>
      <c r="S1517">
        <v>249.6</v>
      </c>
      <c r="T1517">
        <v>367</v>
      </c>
      <c r="U1517">
        <v>369</v>
      </c>
      <c r="V1517">
        <v>500</v>
      </c>
      <c r="W1517">
        <v>2.79</v>
      </c>
    </row>
    <row r="1518" spans="1:23" x14ac:dyDescent="0.25">
      <c r="A1518" t="s">
        <v>39</v>
      </c>
      <c r="B1518">
        <v>11</v>
      </c>
      <c r="C1518">
        <v>8</v>
      </c>
      <c r="D1518">
        <v>1993</v>
      </c>
      <c r="E1518">
        <v>60.9</v>
      </c>
      <c r="F1518">
        <v>7.2</v>
      </c>
      <c r="G1518">
        <v>6.6</v>
      </c>
      <c r="H1518">
        <v>0.6</v>
      </c>
      <c r="I1518">
        <v>8</v>
      </c>
      <c r="J1518">
        <v>25.9</v>
      </c>
      <c r="K1518">
        <v>116.5</v>
      </c>
      <c r="L1518">
        <v>362</v>
      </c>
      <c r="M1518">
        <v>348</v>
      </c>
      <c r="N1518">
        <v>522</v>
      </c>
      <c r="O1518">
        <v>174</v>
      </c>
      <c r="P1518">
        <v>276</v>
      </c>
      <c r="Q1518">
        <v>527</v>
      </c>
      <c r="R1518">
        <v>251</v>
      </c>
      <c r="S1518">
        <v>249.6</v>
      </c>
      <c r="T1518">
        <v>367</v>
      </c>
      <c r="U1518">
        <v>369</v>
      </c>
      <c r="V1518">
        <v>500</v>
      </c>
      <c r="W1518">
        <v>2.79</v>
      </c>
    </row>
    <row r="1519" spans="1:23" x14ac:dyDescent="0.25">
      <c r="A1519" t="s">
        <v>39</v>
      </c>
      <c r="B1519">
        <v>11</v>
      </c>
      <c r="C1519">
        <v>9</v>
      </c>
      <c r="D1519">
        <v>1994</v>
      </c>
      <c r="E1519">
        <v>68.400000000000006</v>
      </c>
      <c r="F1519">
        <v>7.5</v>
      </c>
      <c r="G1519">
        <v>6.9</v>
      </c>
      <c r="H1519">
        <v>0.6</v>
      </c>
      <c r="I1519">
        <v>8</v>
      </c>
      <c r="J1519">
        <v>30.5</v>
      </c>
      <c r="K1519">
        <v>147</v>
      </c>
      <c r="L1519">
        <v>375</v>
      </c>
      <c r="M1519">
        <v>363</v>
      </c>
      <c r="N1519">
        <v>515</v>
      </c>
      <c r="O1519">
        <v>152</v>
      </c>
      <c r="P1519">
        <v>295</v>
      </c>
      <c r="Q1519">
        <v>523</v>
      </c>
      <c r="R1519">
        <v>228</v>
      </c>
      <c r="S1519">
        <v>249.6</v>
      </c>
      <c r="T1519">
        <v>367</v>
      </c>
      <c r="U1519">
        <v>369</v>
      </c>
      <c r="V1519">
        <v>500</v>
      </c>
      <c r="W1519">
        <v>2.79</v>
      </c>
    </row>
    <row r="1520" spans="1:23" x14ac:dyDescent="0.25">
      <c r="A1520" t="s">
        <v>39</v>
      </c>
      <c r="B1520">
        <v>11</v>
      </c>
      <c r="C1520">
        <v>10</v>
      </c>
      <c r="D1520">
        <v>1995</v>
      </c>
      <c r="E1520">
        <v>77.099999999999994</v>
      </c>
      <c r="F1520">
        <v>8.6999999999999993</v>
      </c>
      <c r="G1520">
        <v>8.6999999999999993</v>
      </c>
      <c r="H1520">
        <v>0</v>
      </c>
      <c r="I1520">
        <v>0</v>
      </c>
      <c r="J1520">
        <v>39.799999999999997</v>
      </c>
      <c r="K1520">
        <v>186.7</v>
      </c>
      <c r="L1520">
        <v>380</v>
      </c>
      <c r="M1520">
        <v>380</v>
      </c>
      <c r="P1520">
        <v>288</v>
      </c>
      <c r="Q1520">
        <v>498</v>
      </c>
      <c r="R1520">
        <v>210</v>
      </c>
      <c r="S1520">
        <v>249.6</v>
      </c>
      <c r="T1520">
        <v>367</v>
      </c>
      <c r="U1520">
        <v>369</v>
      </c>
      <c r="V1520">
        <v>500</v>
      </c>
      <c r="W1520">
        <v>2.79</v>
      </c>
    </row>
    <row r="1521" spans="1:23" x14ac:dyDescent="0.25">
      <c r="A1521" t="s">
        <v>39</v>
      </c>
      <c r="B1521">
        <v>11</v>
      </c>
      <c r="C1521">
        <v>11</v>
      </c>
      <c r="D1521">
        <v>1996</v>
      </c>
      <c r="E1521">
        <v>93.6</v>
      </c>
      <c r="F1521">
        <v>16.5</v>
      </c>
      <c r="G1521">
        <v>15.6</v>
      </c>
      <c r="H1521">
        <v>0.9</v>
      </c>
      <c r="I1521">
        <v>5</v>
      </c>
      <c r="J1521">
        <v>88.5</v>
      </c>
      <c r="K1521">
        <v>275.2</v>
      </c>
      <c r="L1521">
        <v>369</v>
      </c>
      <c r="M1521">
        <v>361</v>
      </c>
      <c r="N1521">
        <v>505</v>
      </c>
      <c r="O1521">
        <v>144</v>
      </c>
      <c r="P1521">
        <v>265</v>
      </c>
      <c r="Q1521">
        <v>511</v>
      </c>
      <c r="R1521">
        <v>246</v>
      </c>
      <c r="S1521">
        <v>249.6</v>
      </c>
      <c r="T1521">
        <v>367</v>
      </c>
      <c r="U1521">
        <v>369</v>
      </c>
      <c r="V1521">
        <v>500</v>
      </c>
      <c r="W1521">
        <v>2.79</v>
      </c>
    </row>
    <row r="1522" spans="1:23" x14ac:dyDescent="0.25">
      <c r="A1522" t="s">
        <v>39</v>
      </c>
      <c r="B1522">
        <v>11</v>
      </c>
      <c r="C1522">
        <v>12</v>
      </c>
      <c r="D1522">
        <v>1997</v>
      </c>
      <c r="E1522">
        <v>112.2</v>
      </c>
      <c r="F1522">
        <v>18.600000000000001</v>
      </c>
      <c r="G1522">
        <v>18.600000000000001</v>
      </c>
      <c r="H1522">
        <v>0</v>
      </c>
      <c r="I1522">
        <v>0</v>
      </c>
      <c r="J1522">
        <v>120.3</v>
      </c>
      <c r="K1522">
        <v>395.5</v>
      </c>
      <c r="L1522">
        <v>366</v>
      </c>
      <c r="M1522">
        <v>366</v>
      </c>
      <c r="P1522">
        <v>304</v>
      </c>
      <c r="Q1522">
        <v>487</v>
      </c>
      <c r="R1522">
        <v>183</v>
      </c>
      <c r="S1522">
        <v>249.6</v>
      </c>
      <c r="T1522">
        <v>367</v>
      </c>
      <c r="U1522">
        <v>369</v>
      </c>
      <c r="V1522">
        <v>500</v>
      </c>
      <c r="W1522">
        <v>2.79</v>
      </c>
    </row>
    <row r="1523" spans="1:23" x14ac:dyDescent="0.25">
      <c r="A1523" t="s">
        <v>39</v>
      </c>
      <c r="B1523">
        <v>11</v>
      </c>
      <c r="C1523">
        <v>13</v>
      </c>
      <c r="D1523">
        <v>1998</v>
      </c>
      <c r="E1523">
        <v>122.7</v>
      </c>
      <c r="F1523">
        <v>10.5</v>
      </c>
      <c r="G1523">
        <v>10.199999999999999</v>
      </c>
      <c r="H1523">
        <v>0.3</v>
      </c>
      <c r="I1523">
        <v>2</v>
      </c>
      <c r="J1523">
        <v>77.5</v>
      </c>
      <c r="K1523">
        <v>473</v>
      </c>
      <c r="L1523">
        <v>368</v>
      </c>
      <c r="M1523">
        <v>363</v>
      </c>
      <c r="N1523">
        <v>531</v>
      </c>
      <c r="O1523">
        <v>168</v>
      </c>
      <c r="P1523">
        <v>281</v>
      </c>
      <c r="Q1523">
        <v>531</v>
      </c>
      <c r="R1523">
        <v>250</v>
      </c>
      <c r="S1523">
        <v>249.6</v>
      </c>
      <c r="T1523">
        <v>367</v>
      </c>
      <c r="U1523">
        <v>369</v>
      </c>
      <c r="V1523">
        <v>500</v>
      </c>
      <c r="W1523">
        <v>2.79</v>
      </c>
    </row>
    <row r="1524" spans="1:23" x14ac:dyDescent="0.25">
      <c r="A1524" t="s">
        <v>39</v>
      </c>
      <c r="B1524">
        <v>11</v>
      </c>
      <c r="C1524">
        <v>14</v>
      </c>
      <c r="D1524">
        <v>1999</v>
      </c>
      <c r="E1524">
        <v>135.9</v>
      </c>
      <c r="F1524">
        <v>13.2</v>
      </c>
      <c r="G1524">
        <v>13.2</v>
      </c>
      <c r="H1524">
        <v>0</v>
      </c>
      <c r="I1524">
        <v>0</v>
      </c>
      <c r="J1524">
        <v>107.2</v>
      </c>
      <c r="K1524">
        <v>580.20000000000005</v>
      </c>
      <c r="L1524">
        <v>363</v>
      </c>
      <c r="M1524">
        <v>363</v>
      </c>
      <c r="P1524">
        <v>303</v>
      </c>
      <c r="Q1524">
        <v>467</v>
      </c>
      <c r="R1524">
        <v>164</v>
      </c>
      <c r="S1524">
        <v>249.6</v>
      </c>
      <c r="T1524">
        <v>367</v>
      </c>
      <c r="U1524">
        <v>369</v>
      </c>
      <c r="V1524">
        <v>500</v>
      </c>
      <c r="W1524">
        <v>2.79</v>
      </c>
    </row>
    <row r="1525" spans="1:23" x14ac:dyDescent="0.25">
      <c r="A1525" t="s">
        <v>39</v>
      </c>
      <c r="B1525">
        <v>11</v>
      </c>
      <c r="C1525">
        <v>15</v>
      </c>
      <c r="D1525">
        <v>2000</v>
      </c>
      <c r="E1525">
        <v>151.5</v>
      </c>
      <c r="F1525">
        <v>15.6</v>
      </c>
      <c r="G1525">
        <v>15.6</v>
      </c>
      <c r="H1525">
        <v>0</v>
      </c>
      <c r="I1525">
        <v>0</v>
      </c>
      <c r="J1525">
        <v>140.9</v>
      </c>
      <c r="K1525">
        <v>721.1</v>
      </c>
      <c r="L1525">
        <v>357</v>
      </c>
      <c r="M1525">
        <v>357</v>
      </c>
      <c r="P1525">
        <v>272</v>
      </c>
      <c r="Q1525">
        <v>490</v>
      </c>
      <c r="R1525">
        <v>218</v>
      </c>
      <c r="S1525">
        <v>249.6</v>
      </c>
      <c r="T1525">
        <v>367</v>
      </c>
      <c r="U1525">
        <v>369</v>
      </c>
      <c r="V1525">
        <v>500</v>
      </c>
      <c r="W1525">
        <v>2.79</v>
      </c>
    </row>
    <row r="1526" spans="1:23" x14ac:dyDescent="0.25">
      <c r="A1526" t="s">
        <v>39</v>
      </c>
      <c r="B1526">
        <v>11</v>
      </c>
      <c r="C1526">
        <v>16</v>
      </c>
      <c r="D1526">
        <v>2001</v>
      </c>
      <c r="E1526">
        <v>167.4</v>
      </c>
      <c r="F1526">
        <v>15.9</v>
      </c>
      <c r="G1526">
        <v>15.9</v>
      </c>
      <c r="H1526">
        <v>0</v>
      </c>
      <c r="I1526">
        <v>0</v>
      </c>
      <c r="J1526">
        <v>159.30000000000001</v>
      </c>
      <c r="K1526">
        <v>880.4</v>
      </c>
      <c r="L1526">
        <v>361</v>
      </c>
      <c r="M1526">
        <v>361</v>
      </c>
      <c r="P1526">
        <v>299</v>
      </c>
      <c r="Q1526">
        <v>480</v>
      </c>
      <c r="R1526">
        <v>181</v>
      </c>
      <c r="S1526">
        <v>249.6</v>
      </c>
      <c r="T1526">
        <v>367</v>
      </c>
      <c r="U1526">
        <v>369</v>
      </c>
      <c r="V1526">
        <v>500</v>
      </c>
      <c r="W1526">
        <v>2.79</v>
      </c>
    </row>
    <row r="1527" spans="1:23" x14ac:dyDescent="0.25">
      <c r="A1527" t="s">
        <v>39</v>
      </c>
      <c r="B1527">
        <v>11</v>
      </c>
      <c r="C1527">
        <v>17</v>
      </c>
      <c r="D1527">
        <v>2002</v>
      </c>
      <c r="E1527">
        <v>180.3</v>
      </c>
      <c r="F1527">
        <v>12.9</v>
      </c>
      <c r="G1527">
        <v>12.9</v>
      </c>
      <c r="H1527">
        <v>0</v>
      </c>
      <c r="I1527">
        <v>0</v>
      </c>
      <c r="J1527">
        <v>140.9</v>
      </c>
      <c r="K1527">
        <v>1021.3</v>
      </c>
      <c r="L1527">
        <v>355</v>
      </c>
      <c r="M1527">
        <v>355</v>
      </c>
      <c r="P1527">
        <v>269</v>
      </c>
      <c r="Q1527">
        <v>496</v>
      </c>
      <c r="R1527">
        <v>227</v>
      </c>
      <c r="S1527">
        <v>249.6</v>
      </c>
      <c r="T1527">
        <v>367</v>
      </c>
      <c r="U1527">
        <v>369</v>
      </c>
      <c r="V1527">
        <v>500</v>
      </c>
      <c r="W1527">
        <v>2.79</v>
      </c>
    </row>
    <row r="1528" spans="1:23" x14ac:dyDescent="0.25">
      <c r="A1528" t="s">
        <v>39</v>
      </c>
      <c r="B1528">
        <v>11</v>
      </c>
      <c r="C1528">
        <v>18</v>
      </c>
      <c r="D1528">
        <v>2003</v>
      </c>
      <c r="E1528">
        <v>191.7</v>
      </c>
      <c r="F1528">
        <v>11.4</v>
      </c>
      <c r="G1528">
        <v>11.4</v>
      </c>
      <c r="H1528">
        <v>0</v>
      </c>
      <c r="I1528">
        <v>0</v>
      </c>
      <c r="J1528">
        <v>133.19999999999999</v>
      </c>
      <c r="K1528">
        <v>1154.5</v>
      </c>
      <c r="L1528">
        <v>346</v>
      </c>
      <c r="M1528">
        <v>346</v>
      </c>
      <c r="P1528">
        <v>305</v>
      </c>
      <c r="Q1528">
        <v>466</v>
      </c>
      <c r="R1528">
        <v>161</v>
      </c>
      <c r="S1528">
        <v>249.6</v>
      </c>
      <c r="T1528">
        <v>367</v>
      </c>
      <c r="U1528">
        <v>369</v>
      </c>
      <c r="V1528">
        <v>500</v>
      </c>
      <c r="W1528">
        <v>2.79</v>
      </c>
    </row>
    <row r="1529" spans="1:23" x14ac:dyDescent="0.25">
      <c r="A1529" t="s">
        <v>39</v>
      </c>
      <c r="B1529">
        <v>11</v>
      </c>
      <c r="C1529">
        <v>19</v>
      </c>
      <c r="D1529">
        <v>2004</v>
      </c>
      <c r="E1529">
        <v>199.5</v>
      </c>
      <c r="F1529">
        <v>7.8</v>
      </c>
      <c r="G1529">
        <v>7.8</v>
      </c>
      <c r="H1529">
        <v>0</v>
      </c>
      <c r="I1529">
        <v>0</v>
      </c>
      <c r="J1529">
        <v>95.9</v>
      </c>
      <c r="K1529">
        <v>1250.4000000000001</v>
      </c>
      <c r="L1529">
        <v>350</v>
      </c>
      <c r="M1529">
        <v>350</v>
      </c>
      <c r="P1529">
        <v>287</v>
      </c>
      <c r="Q1529">
        <v>477</v>
      </c>
      <c r="R1529">
        <v>190</v>
      </c>
      <c r="S1529">
        <v>249.6</v>
      </c>
      <c r="T1529">
        <v>367</v>
      </c>
      <c r="U1529">
        <v>369</v>
      </c>
      <c r="V1529">
        <v>500</v>
      </c>
      <c r="W1529">
        <v>2.79</v>
      </c>
    </row>
    <row r="1530" spans="1:23" x14ac:dyDescent="0.25">
      <c r="A1530" t="s">
        <v>39</v>
      </c>
      <c r="B1530">
        <v>11</v>
      </c>
      <c r="C1530">
        <v>20</v>
      </c>
      <c r="D1530">
        <v>2005</v>
      </c>
      <c r="E1530">
        <v>207.9</v>
      </c>
      <c r="F1530">
        <v>8.4</v>
      </c>
      <c r="G1530">
        <v>8.4</v>
      </c>
      <c r="H1530">
        <v>0</v>
      </c>
      <c r="I1530">
        <v>0</v>
      </c>
      <c r="J1530">
        <v>107.5</v>
      </c>
      <c r="K1530">
        <v>1357.9</v>
      </c>
      <c r="L1530">
        <v>356</v>
      </c>
      <c r="M1530">
        <v>356</v>
      </c>
      <c r="P1530">
        <v>294</v>
      </c>
      <c r="Q1530">
        <v>467</v>
      </c>
      <c r="R1530">
        <v>173</v>
      </c>
      <c r="S1530">
        <v>249.6</v>
      </c>
      <c r="T1530">
        <v>367</v>
      </c>
      <c r="U1530">
        <v>369</v>
      </c>
      <c r="V1530">
        <v>500</v>
      </c>
      <c r="W1530">
        <v>2.79</v>
      </c>
    </row>
    <row r="1531" spans="1:23" x14ac:dyDescent="0.25">
      <c r="A1531" t="s">
        <v>39</v>
      </c>
      <c r="B1531">
        <v>11</v>
      </c>
      <c r="C1531">
        <v>21</v>
      </c>
      <c r="D1531">
        <v>2006</v>
      </c>
      <c r="E1531">
        <v>215.1</v>
      </c>
      <c r="F1531">
        <v>7.2</v>
      </c>
      <c r="G1531">
        <v>7.2</v>
      </c>
      <c r="H1531">
        <v>0</v>
      </c>
      <c r="I1531">
        <v>0</v>
      </c>
      <c r="J1531">
        <v>95.7</v>
      </c>
      <c r="K1531">
        <v>1453.6</v>
      </c>
      <c r="L1531">
        <v>352</v>
      </c>
      <c r="M1531">
        <v>352</v>
      </c>
      <c r="P1531">
        <v>294</v>
      </c>
      <c r="Q1531">
        <v>451</v>
      </c>
      <c r="R1531">
        <v>157</v>
      </c>
      <c r="S1531">
        <v>249.6</v>
      </c>
      <c r="T1531">
        <v>367</v>
      </c>
      <c r="U1531">
        <v>369</v>
      </c>
      <c r="V1531">
        <v>500</v>
      </c>
      <c r="W1531">
        <v>2.79</v>
      </c>
    </row>
    <row r="1532" spans="1:23" x14ac:dyDescent="0.25">
      <c r="A1532" t="s">
        <v>39</v>
      </c>
      <c r="B1532">
        <v>11</v>
      </c>
      <c r="C1532">
        <v>22</v>
      </c>
      <c r="D1532">
        <v>2007</v>
      </c>
      <c r="E1532">
        <v>221.7</v>
      </c>
      <c r="F1532">
        <v>6.6</v>
      </c>
      <c r="G1532">
        <v>6</v>
      </c>
      <c r="H1532">
        <v>0.6</v>
      </c>
      <c r="I1532">
        <v>9</v>
      </c>
      <c r="J1532">
        <v>90.6</v>
      </c>
      <c r="K1532">
        <v>1544.1</v>
      </c>
      <c r="L1532">
        <v>394</v>
      </c>
      <c r="M1532">
        <v>382</v>
      </c>
      <c r="N1532">
        <v>520</v>
      </c>
      <c r="O1532">
        <v>138</v>
      </c>
      <c r="P1532">
        <v>328</v>
      </c>
      <c r="Q1532">
        <v>522</v>
      </c>
      <c r="R1532">
        <v>194</v>
      </c>
      <c r="S1532">
        <v>249.6</v>
      </c>
      <c r="T1532">
        <v>367</v>
      </c>
      <c r="U1532">
        <v>369</v>
      </c>
      <c r="V1532">
        <v>500</v>
      </c>
      <c r="W1532">
        <v>2.79</v>
      </c>
    </row>
    <row r="1533" spans="1:23" x14ac:dyDescent="0.25">
      <c r="A1533" t="s">
        <v>39</v>
      </c>
      <c r="B1533">
        <v>11</v>
      </c>
      <c r="C1533">
        <v>23</v>
      </c>
      <c r="D1533">
        <v>2008</v>
      </c>
      <c r="E1533">
        <v>230.4</v>
      </c>
      <c r="F1533">
        <v>8.6999999999999993</v>
      </c>
      <c r="G1533">
        <v>8.6999999999999993</v>
      </c>
      <c r="H1533">
        <v>0</v>
      </c>
      <c r="I1533">
        <v>0</v>
      </c>
      <c r="J1533">
        <v>123.6</v>
      </c>
      <c r="K1533">
        <v>1667.7</v>
      </c>
      <c r="L1533">
        <v>373</v>
      </c>
      <c r="M1533">
        <v>373</v>
      </c>
      <c r="P1533">
        <v>297</v>
      </c>
      <c r="Q1533">
        <v>459</v>
      </c>
      <c r="R1533">
        <v>162</v>
      </c>
      <c r="S1533">
        <v>249.6</v>
      </c>
      <c r="T1533">
        <v>367</v>
      </c>
      <c r="U1533">
        <v>369</v>
      </c>
      <c r="V1533">
        <v>500</v>
      </c>
      <c r="W1533">
        <v>2.79</v>
      </c>
    </row>
    <row r="1534" spans="1:23" x14ac:dyDescent="0.25">
      <c r="A1534" t="s">
        <v>39</v>
      </c>
      <c r="B1534">
        <v>11</v>
      </c>
      <c r="C1534">
        <v>24</v>
      </c>
      <c r="D1534">
        <v>2009</v>
      </c>
      <c r="E1534">
        <v>237.6</v>
      </c>
      <c r="F1534">
        <v>7.2</v>
      </c>
      <c r="G1534">
        <v>6.6</v>
      </c>
      <c r="H1534">
        <v>0.6</v>
      </c>
      <c r="I1534">
        <v>8</v>
      </c>
      <c r="J1534">
        <v>105.9</v>
      </c>
      <c r="K1534">
        <v>1773.5</v>
      </c>
      <c r="L1534">
        <v>397</v>
      </c>
      <c r="M1534">
        <v>387</v>
      </c>
      <c r="N1534">
        <v>512</v>
      </c>
      <c r="O1534">
        <v>125</v>
      </c>
      <c r="P1534">
        <v>344</v>
      </c>
      <c r="Q1534">
        <v>524</v>
      </c>
      <c r="R1534">
        <v>180</v>
      </c>
      <c r="S1534">
        <v>249.6</v>
      </c>
      <c r="T1534">
        <v>367</v>
      </c>
      <c r="U1534">
        <v>369</v>
      </c>
      <c r="V1534">
        <v>500</v>
      </c>
      <c r="W1534">
        <v>2.79</v>
      </c>
    </row>
    <row r="1535" spans="1:23" x14ac:dyDescent="0.25">
      <c r="A1535" t="s">
        <v>39</v>
      </c>
      <c r="B1535">
        <v>11</v>
      </c>
      <c r="C1535">
        <v>25</v>
      </c>
      <c r="D1535">
        <v>2010</v>
      </c>
      <c r="E1535">
        <v>246.6</v>
      </c>
      <c r="F1535">
        <v>9</v>
      </c>
      <c r="G1535">
        <v>8.4</v>
      </c>
      <c r="H1535">
        <v>0.6</v>
      </c>
      <c r="I1535">
        <v>6</v>
      </c>
      <c r="J1535">
        <v>136.9</v>
      </c>
      <c r="K1535">
        <v>1910.5</v>
      </c>
      <c r="L1535">
        <v>399</v>
      </c>
      <c r="M1535">
        <v>390</v>
      </c>
      <c r="N1535">
        <v>514</v>
      </c>
      <c r="O1535">
        <v>124</v>
      </c>
      <c r="P1535">
        <v>337</v>
      </c>
      <c r="Q1535">
        <v>523</v>
      </c>
      <c r="R1535">
        <v>186</v>
      </c>
      <c r="S1535">
        <v>249.6</v>
      </c>
      <c r="T1535">
        <v>367</v>
      </c>
      <c r="U1535">
        <v>369</v>
      </c>
      <c r="V1535">
        <v>500</v>
      </c>
      <c r="W1535">
        <v>2.79</v>
      </c>
    </row>
    <row r="1536" spans="1:23" x14ac:dyDescent="0.25">
      <c r="A1536" t="s">
        <v>39</v>
      </c>
      <c r="B1536">
        <v>11</v>
      </c>
      <c r="C1536">
        <v>26</v>
      </c>
      <c r="D1536">
        <v>2011</v>
      </c>
      <c r="E1536">
        <v>254.7</v>
      </c>
      <c r="F1536">
        <v>8.1</v>
      </c>
      <c r="G1536">
        <v>7.2</v>
      </c>
      <c r="H1536">
        <v>0.9</v>
      </c>
      <c r="I1536">
        <v>11</v>
      </c>
      <c r="J1536">
        <v>127.6</v>
      </c>
      <c r="K1536">
        <v>2038</v>
      </c>
      <c r="L1536">
        <v>399</v>
      </c>
      <c r="M1536">
        <v>384</v>
      </c>
      <c r="N1536">
        <v>517</v>
      </c>
      <c r="O1536">
        <v>133</v>
      </c>
      <c r="P1536">
        <v>330</v>
      </c>
      <c r="Q1536">
        <v>524</v>
      </c>
      <c r="R1536">
        <v>194</v>
      </c>
      <c r="S1536">
        <v>249.6</v>
      </c>
      <c r="T1536">
        <v>367</v>
      </c>
      <c r="U1536">
        <v>369</v>
      </c>
      <c r="V1536">
        <v>500</v>
      </c>
      <c r="W1536">
        <v>2.79</v>
      </c>
    </row>
    <row r="1537" spans="1:23" x14ac:dyDescent="0.25">
      <c r="A1537" t="s">
        <v>39</v>
      </c>
      <c r="B1537">
        <v>11</v>
      </c>
      <c r="C1537">
        <v>27</v>
      </c>
      <c r="D1537">
        <v>2012</v>
      </c>
      <c r="E1537">
        <v>261.60000000000002</v>
      </c>
      <c r="F1537">
        <v>6.9</v>
      </c>
      <c r="G1537">
        <v>6.3</v>
      </c>
      <c r="H1537">
        <v>0.6</v>
      </c>
      <c r="I1537">
        <v>8</v>
      </c>
      <c r="J1537">
        <v>111.9</v>
      </c>
      <c r="K1537">
        <v>2149.9</v>
      </c>
      <c r="L1537">
        <v>400</v>
      </c>
      <c r="M1537">
        <v>388</v>
      </c>
      <c r="N1537">
        <v>521</v>
      </c>
      <c r="O1537">
        <v>133</v>
      </c>
      <c r="P1537">
        <v>346</v>
      </c>
      <c r="Q1537">
        <v>540</v>
      </c>
      <c r="R1537">
        <v>194</v>
      </c>
      <c r="S1537">
        <v>249.6</v>
      </c>
      <c r="T1537">
        <v>367</v>
      </c>
      <c r="U1537">
        <v>369</v>
      </c>
      <c r="V1537">
        <v>500</v>
      </c>
      <c r="W1537">
        <v>2.79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643"/>
  <sheetViews>
    <sheetView workbookViewId="0">
      <pane ySplit="1" topLeftCell="A7" activePane="bottomLeft" state="frozen"/>
      <selection pane="bottomLeft" sqref="A1:XFD1048576"/>
    </sheetView>
  </sheetViews>
  <sheetFormatPr defaultRowHeight="15" outlineLevelRow="2" x14ac:dyDescent="0.25"/>
  <cols>
    <col min="1" max="1" width="12.140625" customWidth="1"/>
  </cols>
  <sheetData>
    <row r="1" spans="1:29" x14ac:dyDescent="0.25">
      <c r="A1" t="str">
        <f t="shared" ref="A1" si="0">CONCATENATE(B1," - ",E1)</f>
        <v>Plot - Year</v>
      </c>
      <c r="B1" s="2" t="s">
        <v>0</v>
      </c>
      <c r="C1" s="2" t="s">
        <v>60</v>
      </c>
      <c r="D1" s="2" t="s">
        <v>40</v>
      </c>
      <c r="E1" s="3" t="s">
        <v>3</v>
      </c>
      <c r="F1" s="4" t="s">
        <v>41</v>
      </c>
      <c r="G1" s="4" t="s">
        <v>42</v>
      </c>
      <c r="H1" s="4" t="s">
        <v>43</v>
      </c>
      <c r="I1" s="4" t="s">
        <v>44</v>
      </c>
      <c r="J1" s="3" t="s">
        <v>45</v>
      </c>
      <c r="K1" s="4" t="s">
        <v>46</v>
      </c>
      <c r="L1" s="4" t="s">
        <v>47</v>
      </c>
      <c r="M1" s="3" t="s">
        <v>48</v>
      </c>
      <c r="N1" s="3" t="s">
        <v>49</v>
      </c>
      <c r="O1" s="3" t="s">
        <v>50</v>
      </c>
      <c r="P1" s="3" t="s">
        <v>51</v>
      </c>
      <c r="Q1" s="3" t="s">
        <v>52</v>
      </c>
      <c r="R1" s="3" t="s">
        <v>53</v>
      </c>
      <c r="S1" s="3" t="s">
        <v>54</v>
      </c>
      <c r="T1" s="4" t="s">
        <v>55</v>
      </c>
      <c r="U1" s="3" t="s">
        <v>56</v>
      </c>
      <c r="V1" s="3" t="s">
        <v>57</v>
      </c>
      <c r="W1" s="2" t="s">
        <v>58</v>
      </c>
      <c r="X1" s="2" t="s">
        <v>59</v>
      </c>
      <c r="AA1" s="1"/>
      <c r="AB1" s="1"/>
      <c r="AC1" s="1"/>
    </row>
    <row r="2" spans="1:29" hidden="1" outlineLevel="2" x14ac:dyDescent="0.25">
      <c r="A2" t="str">
        <f>CONCATENATE(B2," - ",E2)</f>
        <v>AK10 - 1987</v>
      </c>
      <c r="B2" t="s">
        <v>39</v>
      </c>
      <c r="C2">
        <v>1</v>
      </c>
      <c r="D2">
        <v>2</v>
      </c>
      <c r="E2">
        <v>1987</v>
      </c>
      <c r="F2">
        <v>36.9</v>
      </c>
      <c r="G2">
        <v>36.9</v>
      </c>
      <c r="H2">
        <v>16.2</v>
      </c>
      <c r="I2">
        <v>5.7</v>
      </c>
      <c r="J2">
        <v>15</v>
      </c>
      <c r="K2">
        <v>42.8</v>
      </c>
      <c r="L2">
        <v>42.8</v>
      </c>
      <c r="M2">
        <v>430</v>
      </c>
      <c r="N2">
        <v>395</v>
      </c>
      <c r="O2">
        <v>528</v>
      </c>
      <c r="P2">
        <v>133</v>
      </c>
      <c r="Q2">
        <v>143</v>
      </c>
      <c r="R2">
        <v>569</v>
      </c>
      <c r="S2">
        <v>426</v>
      </c>
      <c r="T2">
        <v>215.7</v>
      </c>
      <c r="U2">
        <v>428</v>
      </c>
      <c r="V2">
        <v>418</v>
      </c>
      <c r="W2">
        <v>500</v>
      </c>
      <c r="X2">
        <v>2.79</v>
      </c>
    </row>
    <row r="3" spans="1:29" hidden="1" outlineLevel="2" x14ac:dyDescent="0.25">
      <c r="A3" t="str">
        <f>CONCATENATE(B3," - ",E3)</f>
        <v>AK10 - 1987</v>
      </c>
      <c r="B3" t="s">
        <v>39</v>
      </c>
      <c r="C3">
        <v>4</v>
      </c>
      <c r="D3">
        <v>1</v>
      </c>
      <c r="E3">
        <v>1987</v>
      </c>
      <c r="F3">
        <v>3</v>
      </c>
      <c r="G3">
        <v>3</v>
      </c>
      <c r="H3">
        <v>3</v>
      </c>
      <c r="I3">
        <v>0</v>
      </c>
      <c r="J3">
        <v>0</v>
      </c>
      <c r="K3">
        <v>0.3</v>
      </c>
      <c r="L3">
        <v>0.3</v>
      </c>
      <c r="M3">
        <v>312</v>
      </c>
      <c r="N3">
        <v>312</v>
      </c>
      <c r="Q3">
        <v>178</v>
      </c>
      <c r="R3">
        <v>448</v>
      </c>
      <c r="S3">
        <v>270</v>
      </c>
      <c r="T3">
        <v>174</v>
      </c>
      <c r="U3">
        <v>381</v>
      </c>
      <c r="V3">
        <v>390</v>
      </c>
      <c r="W3">
        <v>500</v>
      </c>
      <c r="X3">
        <v>2.79</v>
      </c>
    </row>
    <row r="4" spans="1:29" hidden="1" outlineLevel="2" x14ac:dyDescent="0.25">
      <c r="A4" t="str">
        <f>CONCATENATE(B4," - ",E4)</f>
        <v>AK10 - 1987</v>
      </c>
      <c r="B4" t="s">
        <v>39</v>
      </c>
      <c r="C4">
        <v>6</v>
      </c>
      <c r="D4">
        <v>2</v>
      </c>
      <c r="E4">
        <v>1987</v>
      </c>
      <c r="F4">
        <v>15.9</v>
      </c>
      <c r="G4">
        <v>15.9</v>
      </c>
      <c r="H4">
        <v>9.9</v>
      </c>
      <c r="I4">
        <v>0</v>
      </c>
      <c r="J4">
        <v>0</v>
      </c>
      <c r="K4">
        <v>7.9</v>
      </c>
      <c r="L4">
        <v>7.9</v>
      </c>
      <c r="M4">
        <v>365</v>
      </c>
      <c r="N4">
        <v>365</v>
      </c>
      <c r="Q4">
        <v>307</v>
      </c>
      <c r="R4">
        <v>431</v>
      </c>
      <c r="S4">
        <v>124</v>
      </c>
      <c r="T4">
        <v>272.7</v>
      </c>
      <c r="U4">
        <v>388</v>
      </c>
      <c r="V4">
        <v>387</v>
      </c>
      <c r="W4">
        <v>500</v>
      </c>
      <c r="X4">
        <v>2.79</v>
      </c>
    </row>
    <row r="5" spans="1:29" hidden="1" outlineLevel="2" x14ac:dyDescent="0.25">
      <c r="A5" t="str">
        <f>CONCATENATE(B5," - ",E5)</f>
        <v>AK10 - 1987</v>
      </c>
      <c r="B5" t="s">
        <v>39</v>
      </c>
      <c r="C5">
        <v>7</v>
      </c>
      <c r="D5">
        <v>2</v>
      </c>
      <c r="E5">
        <v>1987</v>
      </c>
      <c r="F5">
        <v>17</v>
      </c>
      <c r="G5">
        <v>17</v>
      </c>
      <c r="H5">
        <v>12</v>
      </c>
      <c r="I5">
        <v>0</v>
      </c>
      <c r="J5">
        <v>0</v>
      </c>
      <c r="K5">
        <v>9.1</v>
      </c>
      <c r="L5">
        <v>9.1</v>
      </c>
      <c r="M5">
        <v>345</v>
      </c>
      <c r="N5">
        <v>345</v>
      </c>
      <c r="Q5">
        <v>181</v>
      </c>
      <c r="R5">
        <v>476</v>
      </c>
      <c r="S5">
        <v>295</v>
      </c>
      <c r="T5">
        <v>289.2</v>
      </c>
      <c r="U5">
        <v>379</v>
      </c>
      <c r="V5">
        <v>380</v>
      </c>
      <c r="W5">
        <v>500</v>
      </c>
      <c r="X5">
        <v>2.79</v>
      </c>
    </row>
    <row r="6" spans="1:29" hidden="1" outlineLevel="2" x14ac:dyDescent="0.25">
      <c r="A6" t="str">
        <f>CONCATENATE(B6," - ",E6)</f>
        <v>AK10 - 1987</v>
      </c>
      <c r="B6" t="s">
        <v>39</v>
      </c>
      <c r="C6">
        <v>8</v>
      </c>
      <c r="D6">
        <v>2</v>
      </c>
      <c r="E6">
        <v>1987</v>
      </c>
      <c r="F6">
        <v>43</v>
      </c>
      <c r="G6">
        <v>43</v>
      </c>
      <c r="H6">
        <v>27</v>
      </c>
      <c r="I6">
        <v>0</v>
      </c>
      <c r="J6">
        <v>0</v>
      </c>
      <c r="K6">
        <v>58.1</v>
      </c>
      <c r="L6">
        <v>58.1</v>
      </c>
      <c r="M6">
        <v>296</v>
      </c>
      <c r="N6">
        <v>296</v>
      </c>
      <c r="Q6">
        <v>157</v>
      </c>
      <c r="R6">
        <v>410</v>
      </c>
      <c r="S6">
        <v>253</v>
      </c>
      <c r="T6">
        <v>228.9</v>
      </c>
      <c r="U6">
        <v>379</v>
      </c>
      <c r="V6">
        <v>377</v>
      </c>
      <c r="W6">
        <v>500</v>
      </c>
      <c r="X6">
        <v>2.79</v>
      </c>
    </row>
    <row r="7" spans="1:29" outlineLevel="1" collapsed="1" x14ac:dyDescent="0.25">
      <c r="A7" s="8" t="s">
        <v>169</v>
      </c>
      <c r="D7">
        <f t="shared" ref="D7:V7" si="1">SUBTOTAL(1,D2:D6)</f>
        <v>1.8</v>
      </c>
      <c r="E7">
        <f t="shared" si="1"/>
        <v>1987</v>
      </c>
      <c r="F7">
        <f t="shared" si="1"/>
        <v>23.16</v>
      </c>
      <c r="G7">
        <f t="shared" si="1"/>
        <v>23.16</v>
      </c>
      <c r="H7">
        <f t="shared" si="1"/>
        <v>13.62</v>
      </c>
      <c r="I7">
        <f t="shared" si="1"/>
        <v>1.1400000000000001</v>
      </c>
      <c r="J7">
        <f t="shared" si="1"/>
        <v>3</v>
      </c>
      <c r="K7">
        <f t="shared" si="1"/>
        <v>23.639999999999997</v>
      </c>
      <c r="L7">
        <f t="shared" si="1"/>
        <v>23.639999999999997</v>
      </c>
      <c r="M7">
        <f t="shared" si="1"/>
        <v>349.6</v>
      </c>
      <c r="N7">
        <f t="shared" si="1"/>
        <v>342.6</v>
      </c>
      <c r="O7">
        <f t="shared" si="1"/>
        <v>528</v>
      </c>
      <c r="P7">
        <f t="shared" si="1"/>
        <v>133</v>
      </c>
      <c r="Q7">
        <f t="shared" si="1"/>
        <v>193.2</v>
      </c>
      <c r="R7">
        <f t="shared" si="1"/>
        <v>466.8</v>
      </c>
      <c r="S7">
        <f t="shared" si="1"/>
        <v>273.60000000000002</v>
      </c>
      <c r="T7">
        <f t="shared" si="1"/>
        <v>236.1</v>
      </c>
      <c r="U7">
        <f t="shared" si="1"/>
        <v>391</v>
      </c>
      <c r="V7">
        <f t="shared" si="1"/>
        <v>390.4</v>
      </c>
    </row>
    <row r="8" spans="1:29" hidden="1" outlineLevel="2" x14ac:dyDescent="0.25">
      <c r="A8" t="str">
        <f t="shared" ref="A8:A14" si="2">CONCATENATE(B8," - ",E8)</f>
        <v>AK10 - 1988</v>
      </c>
      <c r="B8" t="s">
        <v>39</v>
      </c>
      <c r="C8">
        <v>1</v>
      </c>
      <c r="D8">
        <v>3</v>
      </c>
      <c r="E8">
        <v>1988</v>
      </c>
      <c r="F8">
        <v>50.7</v>
      </c>
      <c r="G8">
        <v>13.8</v>
      </c>
      <c r="H8">
        <v>11.1</v>
      </c>
      <c r="I8">
        <v>2.7</v>
      </c>
      <c r="J8">
        <v>19</v>
      </c>
      <c r="K8">
        <v>38</v>
      </c>
      <c r="L8">
        <v>80.8</v>
      </c>
      <c r="M8">
        <v>428</v>
      </c>
      <c r="N8">
        <v>397</v>
      </c>
      <c r="O8">
        <v>556</v>
      </c>
      <c r="P8">
        <v>159</v>
      </c>
      <c r="Q8">
        <v>344</v>
      </c>
      <c r="R8">
        <v>616</v>
      </c>
      <c r="S8">
        <v>272</v>
      </c>
      <c r="T8">
        <v>215.7</v>
      </c>
      <c r="U8">
        <v>428</v>
      </c>
      <c r="V8">
        <v>418</v>
      </c>
      <c r="W8">
        <v>500</v>
      </c>
      <c r="X8">
        <v>2.79</v>
      </c>
    </row>
    <row r="9" spans="1:29" hidden="1" outlineLevel="2" x14ac:dyDescent="0.25">
      <c r="A9" t="str">
        <f t="shared" si="2"/>
        <v>AK10 - 1988</v>
      </c>
      <c r="B9" t="s">
        <v>39</v>
      </c>
      <c r="C9">
        <v>2</v>
      </c>
      <c r="D9">
        <v>3</v>
      </c>
      <c r="E9">
        <v>1988</v>
      </c>
      <c r="F9">
        <v>37.9</v>
      </c>
      <c r="G9">
        <v>37.9</v>
      </c>
      <c r="H9">
        <v>12.6</v>
      </c>
      <c r="I9">
        <v>0.3</v>
      </c>
      <c r="J9">
        <v>0</v>
      </c>
      <c r="K9">
        <v>45.1</v>
      </c>
      <c r="L9">
        <v>45.1</v>
      </c>
      <c r="M9">
        <v>385</v>
      </c>
      <c r="N9">
        <v>382</v>
      </c>
      <c r="O9">
        <v>503</v>
      </c>
      <c r="P9">
        <v>121</v>
      </c>
      <c r="Q9">
        <v>154</v>
      </c>
      <c r="R9">
        <v>503</v>
      </c>
      <c r="S9">
        <v>349</v>
      </c>
      <c r="T9">
        <v>237</v>
      </c>
      <c r="U9">
        <v>407</v>
      </c>
      <c r="V9">
        <v>410</v>
      </c>
      <c r="W9">
        <v>500</v>
      </c>
      <c r="X9">
        <v>2.79</v>
      </c>
    </row>
    <row r="10" spans="1:29" hidden="1" outlineLevel="2" x14ac:dyDescent="0.25">
      <c r="A10" t="str">
        <f t="shared" si="2"/>
        <v>AK10 - 1988</v>
      </c>
      <c r="B10" t="s">
        <v>39</v>
      </c>
      <c r="C10">
        <v>4</v>
      </c>
      <c r="D10">
        <v>2</v>
      </c>
      <c r="E10">
        <v>1988</v>
      </c>
      <c r="F10">
        <v>16.8</v>
      </c>
      <c r="G10">
        <v>13.8</v>
      </c>
      <c r="H10">
        <v>13.8</v>
      </c>
      <c r="I10">
        <v>0</v>
      </c>
      <c r="J10">
        <v>0</v>
      </c>
      <c r="K10">
        <v>8.6</v>
      </c>
      <c r="L10">
        <v>8.9</v>
      </c>
      <c r="M10">
        <v>347</v>
      </c>
      <c r="N10">
        <v>347</v>
      </c>
      <c r="Q10">
        <v>282</v>
      </c>
      <c r="R10">
        <v>494</v>
      </c>
      <c r="S10">
        <v>212</v>
      </c>
      <c r="T10">
        <v>174</v>
      </c>
      <c r="U10">
        <v>381</v>
      </c>
      <c r="V10">
        <v>390</v>
      </c>
      <c r="W10">
        <v>500</v>
      </c>
      <c r="X10">
        <v>2.79</v>
      </c>
    </row>
    <row r="11" spans="1:29" hidden="1" outlineLevel="2" x14ac:dyDescent="0.25">
      <c r="A11" t="str">
        <f t="shared" si="2"/>
        <v>AK10 - 1988</v>
      </c>
      <c r="B11" t="s">
        <v>39</v>
      </c>
      <c r="C11">
        <v>6</v>
      </c>
      <c r="D11">
        <v>3</v>
      </c>
      <c r="E11">
        <v>1988</v>
      </c>
      <c r="F11">
        <v>38.1</v>
      </c>
      <c r="G11">
        <v>22.2</v>
      </c>
      <c r="H11">
        <v>21.9</v>
      </c>
      <c r="I11">
        <v>0.3</v>
      </c>
      <c r="J11">
        <v>1</v>
      </c>
      <c r="K11">
        <v>37.700000000000003</v>
      </c>
      <c r="L11">
        <v>45.6</v>
      </c>
      <c r="M11">
        <v>366</v>
      </c>
      <c r="N11">
        <v>364</v>
      </c>
      <c r="O11">
        <v>527</v>
      </c>
      <c r="P11">
        <v>163</v>
      </c>
      <c r="Q11">
        <v>290</v>
      </c>
      <c r="R11">
        <v>527</v>
      </c>
      <c r="S11">
        <v>237</v>
      </c>
      <c r="T11">
        <v>272.7</v>
      </c>
      <c r="U11">
        <v>388</v>
      </c>
      <c r="V11">
        <v>387</v>
      </c>
      <c r="W11">
        <v>500</v>
      </c>
      <c r="X11">
        <v>2.79</v>
      </c>
    </row>
    <row r="12" spans="1:29" hidden="1" outlineLevel="2" x14ac:dyDescent="0.25">
      <c r="A12" t="str">
        <f t="shared" si="2"/>
        <v>AK10 - 1988</v>
      </c>
      <c r="B12" t="s">
        <v>39</v>
      </c>
      <c r="C12">
        <v>7</v>
      </c>
      <c r="D12">
        <v>3</v>
      </c>
      <c r="E12">
        <v>1988</v>
      </c>
      <c r="F12">
        <v>37.700000000000003</v>
      </c>
      <c r="G12">
        <v>20.7</v>
      </c>
      <c r="H12">
        <v>20.7</v>
      </c>
      <c r="I12">
        <v>0</v>
      </c>
      <c r="J12">
        <v>0</v>
      </c>
      <c r="K12">
        <v>35.6</v>
      </c>
      <c r="L12">
        <v>44.7</v>
      </c>
      <c r="M12">
        <v>343</v>
      </c>
      <c r="N12">
        <v>343</v>
      </c>
      <c r="Q12">
        <v>289</v>
      </c>
      <c r="R12">
        <v>462</v>
      </c>
      <c r="S12">
        <v>173</v>
      </c>
      <c r="T12">
        <v>289.2</v>
      </c>
      <c r="U12">
        <v>379</v>
      </c>
      <c r="V12">
        <v>380</v>
      </c>
      <c r="W12">
        <v>500</v>
      </c>
      <c r="X12">
        <v>2.79</v>
      </c>
    </row>
    <row r="13" spans="1:29" hidden="1" outlineLevel="2" x14ac:dyDescent="0.25">
      <c r="A13" t="str">
        <f t="shared" si="2"/>
        <v>AK10 - 1988</v>
      </c>
      <c r="B13" t="s">
        <v>39</v>
      </c>
      <c r="C13">
        <v>8</v>
      </c>
      <c r="D13">
        <v>3</v>
      </c>
      <c r="E13">
        <v>1988</v>
      </c>
      <c r="F13">
        <v>65.8</v>
      </c>
      <c r="G13">
        <v>22.8</v>
      </c>
      <c r="H13">
        <v>22.8</v>
      </c>
      <c r="I13">
        <v>0</v>
      </c>
      <c r="J13">
        <v>0</v>
      </c>
      <c r="K13">
        <v>77.900000000000006</v>
      </c>
      <c r="L13">
        <v>136</v>
      </c>
      <c r="M13">
        <v>316</v>
      </c>
      <c r="N13">
        <v>316</v>
      </c>
      <c r="Q13">
        <v>257</v>
      </c>
      <c r="R13">
        <v>426</v>
      </c>
      <c r="S13">
        <v>169</v>
      </c>
      <c r="T13">
        <v>228.9</v>
      </c>
      <c r="U13">
        <v>379</v>
      </c>
      <c r="V13">
        <v>377</v>
      </c>
      <c r="W13">
        <v>500</v>
      </c>
      <c r="X13">
        <v>2.79</v>
      </c>
    </row>
    <row r="14" spans="1:29" hidden="1" outlineLevel="2" x14ac:dyDescent="0.25">
      <c r="A14" t="str">
        <f t="shared" si="2"/>
        <v>AK10 - 1988</v>
      </c>
      <c r="B14" t="s">
        <v>39</v>
      </c>
      <c r="C14">
        <v>10</v>
      </c>
      <c r="D14">
        <v>3</v>
      </c>
      <c r="E14">
        <v>1988</v>
      </c>
      <c r="F14">
        <v>19.399999999999999</v>
      </c>
      <c r="G14">
        <v>19.399999999999999</v>
      </c>
      <c r="H14">
        <v>13.2</v>
      </c>
      <c r="I14">
        <v>1.2</v>
      </c>
      <c r="J14">
        <v>6</v>
      </c>
      <c r="K14">
        <v>11.8</v>
      </c>
      <c r="L14">
        <v>11.8</v>
      </c>
      <c r="M14">
        <v>365</v>
      </c>
      <c r="N14">
        <v>350</v>
      </c>
      <c r="O14">
        <v>525</v>
      </c>
      <c r="P14">
        <v>175</v>
      </c>
      <c r="Q14">
        <v>296</v>
      </c>
      <c r="R14">
        <v>537</v>
      </c>
      <c r="S14">
        <v>241</v>
      </c>
      <c r="T14">
        <v>203.4</v>
      </c>
      <c r="U14">
        <v>405</v>
      </c>
      <c r="V14">
        <v>408</v>
      </c>
      <c r="W14">
        <v>500</v>
      </c>
      <c r="X14">
        <v>2.79</v>
      </c>
    </row>
    <row r="15" spans="1:29" outlineLevel="1" collapsed="1" x14ac:dyDescent="0.25">
      <c r="A15" s="8" t="s">
        <v>170</v>
      </c>
      <c r="D15">
        <f t="shared" ref="D15:V15" si="3">SUBTOTAL(1,D8:D14)</f>
        <v>2.8571428571428572</v>
      </c>
      <c r="E15">
        <f t="shared" si="3"/>
        <v>1988</v>
      </c>
      <c r="F15">
        <f t="shared" si="3"/>
        <v>38.057142857142857</v>
      </c>
      <c r="G15">
        <f t="shared" si="3"/>
        <v>21.514285714285716</v>
      </c>
      <c r="H15">
        <f t="shared" si="3"/>
        <v>16.585714285714285</v>
      </c>
      <c r="I15">
        <f t="shared" si="3"/>
        <v>0.6428571428571429</v>
      </c>
      <c r="J15">
        <f t="shared" si="3"/>
        <v>3.7142857142857144</v>
      </c>
      <c r="K15">
        <f t="shared" si="3"/>
        <v>36.385714285714286</v>
      </c>
      <c r="L15">
        <f t="shared" si="3"/>
        <v>53.271428571428579</v>
      </c>
      <c r="M15">
        <f t="shared" si="3"/>
        <v>364.28571428571428</v>
      </c>
      <c r="N15">
        <f t="shared" si="3"/>
        <v>357</v>
      </c>
      <c r="O15">
        <f t="shared" si="3"/>
        <v>527.75</v>
      </c>
      <c r="P15">
        <f t="shared" si="3"/>
        <v>154.5</v>
      </c>
      <c r="Q15">
        <f t="shared" si="3"/>
        <v>273.14285714285717</v>
      </c>
      <c r="R15">
        <f t="shared" si="3"/>
        <v>509.28571428571428</v>
      </c>
      <c r="S15">
        <f t="shared" si="3"/>
        <v>236.14285714285714</v>
      </c>
      <c r="T15">
        <f t="shared" si="3"/>
        <v>231.55714285714291</v>
      </c>
      <c r="U15">
        <f t="shared" si="3"/>
        <v>395.28571428571428</v>
      </c>
      <c r="V15">
        <f t="shared" si="3"/>
        <v>395.71428571428572</v>
      </c>
    </row>
    <row r="16" spans="1:29" hidden="1" outlineLevel="2" x14ac:dyDescent="0.25">
      <c r="A16" t="str">
        <f t="shared" ref="A16:A23" si="4">CONCATENATE(B16," - ",E16)</f>
        <v>AK10 - 1989</v>
      </c>
      <c r="B16" t="s">
        <v>39</v>
      </c>
      <c r="C16">
        <v>1</v>
      </c>
      <c r="D16">
        <v>4</v>
      </c>
      <c r="E16">
        <v>1989</v>
      </c>
      <c r="F16">
        <v>67.2</v>
      </c>
      <c r="G16">
        <v>16.5</v>
      </c>
      <c r="H16">
        <v>15</v>
      </c>
      <c r="I16">
        <v>1.5</v>
      </c>
      <c r="J16">
        <v>9</v>
      </c>
      <c r="K16">
        <v>61.1</v>
      </c>
      <c r="L16">
        <v>141.9</v>
      </c>
      <c r="M16">
        <v>402</v>
      </c>
      <c r="N16">
        <v>389</v>
      </c>
      <c r="O16">
        <v>535</v>
      </c>
      <c r="P16">
        <v>146</v>
      </c>
      <c r="Q16">
        <v>334</v>
      </c>
      <c r="R16">
        <v>572</v>
      </c>
      <c r="S16">
        <v>238</v>
      </c>
      <c r="T16">
        <v>215.7</v>
      </c>
      <c r="U16">
        <v>428</v>
      </c>
      <c r="V16">
        <v>418</v>
      </c>
      <c r="W16">
        <v>500</v>
      </c>
      <c r="X16">
        <v>2.79</v>
      </c>
    </row>
    <row r="17" spans="1:24" hidden="1" outlineLevel="2" x14ac:dyDescent="0.25">
      <c r="A17" t="str">
        <f t="shared" si="4"/>
        <v>AK10 - 1989</v>
      </c>
      <c r="B17" t="s">
        <v>39</v>
      </c>
      <c r="C17">
        <v>2</v>
      </c>
      <c r="D17">
        <v>4</v>
      </c>
      <c r="E17">
        <v>1989</v>
      </c>
      <c r="F17">
        <v>61</v>
      </c>
      <c r="G17">
        <v>23.1</v>
      </c>
      <c r="H17">
        <v>22.2</v>
      </c>
      <c r="I17">
        <v>0.9</v>
      </c>
      <c r="J17">
        <v>3</v>
      </c>
      <c r="K17">
        <v>71.8</v>
      </c>
      <c r="L17">
        <v>116.9</v>
      </c>
      <c r="M17">
        <v>358</v>
      </c>
      <c r="N17">
        <v>352</v>
      </c>
      <c r="O17">
        <v>523</v>
      </c>
      <c r="P17">
        <v>171</v>
      </c>
      <c r="Q17">
        <v>280</v>
      </c>
      <c r="R17">
        <v>525</v>
      </c>
      <c r="S17">
        <v>245</v>
      </c>
      <c r="T17">
        <v>237</v>
      </c>
      <c r="U17">
        <v>407</v>
      </c>
      <c r="V17">
        <v>410</v>
      </c>
      <c r="W17">
        <v>500</v>
      </c>
      <c r="X17">
        <v>2.79</v>
      </c>
    </row>
    <row r="18" spans="1:24" hidden="1" outlineLevel="2" x14ac:dyDescent="0.25">
      <c r="A18" t="str">
        <f t="shared" si="4"/>
        <v>AK10 - 1989</v>
      </c>
      <c r="B18" t="s">
        <v>39</v>
      </c>
      <c r="C18">
        <v>4</v>
      </c>
      <c r="D18">
        <v>3</v>
      </c>
      <c r="E18">
        <v>1989</v>
      </c>
      <c r="F18">
        <v>35.700000000000003</v>
      </c>
      <c r="G18">
        <v>18.899999999999999</v>
      </c>
      <c r="H18">
        <v>17.399999999999999</v>
      </c>
      <c r="I18">
        <v>1.5</v>
      </c>
      <c r="J18">
        <v>7</v>
      </c>
      <c r="K18">
        <v>31.2</v>
      </c>
      <c r="L18">
        <v>40</v>
      </c>
      <c r="M18">
        <v>359</v>
      </c>
      <c r="N18">
        <v>347</v>
      </c>
      <c r="O18">
        <v>507</v>
      </c>
      <c r="P18">
        <v>160</v>
      </c>
      <c r="Q18">
        <v>268</v>
      </c>
      <c r="R18">
        <v>522</v>
      </c>
      <c r="S18">
        <v>254</v>
      </c>
      <c r="T18">
        <v>174</v>
      </c>
      <c r="U18">
        <v>381</v>
      </c>
      <c r="V18">
        <v>390</v>
      </c>
      <c r="W18">
        <v>500</v>
      </c>
      <c r="X18">
        <v>2.79</v>
      </c>
    </row>
    <row r="19" spans="1:24" hidden="1" outlineLevel="2" x14ac:dyDescent="0.25">
      <c r="A19" t="str">
        <f t="shared" si="4"/>
        <v>AK10 - 1989</v>
      </c>
      <c r="B19" t="s">
        <v>39</v>
      </c>
      <c r="C19">
        <v>5</v>
      </c>
      <c r="D19">
        <v>4</v>
      </c>
      <c r="E19">
        <v>1989</v>
      </c>
      <c r="F19">
        <v>27.7</v>
      </c>
      <c r="G19">
        <v>27.7</v>
      </c>
      <c r="H19">
        <v>20.7</v>
      </c>
      <c r="I19">
        <v>0</v>
      </c>
      <c r="J19">
        <v>0</v>
      </c>
      <c r="K19">
        <v>24.1</v>
      </c>
      <c r="L19">
        <v>24.1</v>
      </c>
      <c r="M19">
        <v>387</v>
      </c>
      <c r="N19">
        <v>387</v>
      </c>
      <c r="Q19">
        <v>120</v>
      </c>
      <c r="R19">
        <v>497</v>
      </c>
      <c r="S19">
        <v>377</v>
      </c>
      <c r="T19">
        <v>256.2</v>
      </c>
      <c r="U19">
        <v>421</v>
      </c>
      <c r="V19">
        <v>409</v>
      </c>
      <c r="W19">
        <v>500</v>
      </c>
      <c r="X19">
        <v>2.79</v>
      </c>
    </row>
    <row r="20" spans="1:24" hidden="1" outlineLevel="2" x14ac:dyDescent="0.25">
      <c r="A20" t="str">
        <f t="shared" si="4"/>
        <v>AK10 - 1989</v>
      </c>
      <c r="B20" t="s">
        <v>39</v>
      </c>
      <c r="C20">
        <v>6</v>
      </c>
      <c r="D20">
        <v>4</v>
      </c>
      <c r="E20">
        <v>1989</v>
      </c>
      <c r="F20">
        <v>58.2</v>
      </c>
      <c r="G20">
        <v>20.100000000000001</v>
      </c>
      <c r="H20">
        <v>19.5</v>
      </c>
      <c r="I20">
        <v>0.6</v>
      </c>
      <c r="J20">
        <v>2</v>
      </c>
      <c r="K20">
        <v>60.8</v>
      </c>
      <c r="L20">
        <v>106.4</v>
      </c>
      <c r="M20">
        <v>362</v>
      </c>
      <c r="N20">
        <v>357</v>
      </c>
      <c r="O20">
        <v>519</v>
      </c>
      <c r="P20">
        <v>162</v>
      </c>
      <c r="Q20">
        <v>294</v>
      </c>
      <c r="R20">
        <v>534</v>
      </c>
      <c r="S20">
        <v>240</v>
      </c>
      <c r="T20">
        <v>272.7</v>
      </c>
      <c r="U20">
        <v>388</v>
      </c>
      <c r="V20">
        <v>387</v>
      </c>
      <c r="W20">
        <v>500</v>
      </c>
      <c r="X20">
        <v>2.79</v>
      </c>
    </row>
    <row r="21" spans="1:24" hidden="1" outlineLevel="2" x14ac:dyDescent="0.25">
      <c r="A21" t="str">
        <f t="shared" si="4"/>
        <v>AK10 - 1989</v>
      </c>
      <c r="B21" t="s">
        <v>39</v>
      </c>
      <c r="C21">
        <v>7</v>
      </c>
      <c r="D21">
        <v>4</v>
      </c>
      <c r="E21">
        <v>1989</v>
      </c>
      <c r="F21">
        <v>57.8</v>
      </c>
      <c r="G21">
        <v>20.100000000000001</v>
      </c>
      <c r="H21">
        <v>20.100000000000001</v>
      </c>
      <c r="I21">
        <v>0</v>
      </c>
      <c r="J21">
        <v>0</v>
      </c>
      <c r="K21">
        <v>60.3</v>
      </c>
      <c r="L21">
        <v>105</v>
      </c>
      <c r="M21">
        <v>323</v>
      </c>
      <c r="N21">
        <v>323</v>
      </c>
      <c r="Q21">
        <v>248</v>
      </c>
      <c r="R21">
        <v>475</v>
      </c>
      <c r="S21">
        <v>227</v>
      </c>
      <c r="T21">
        <v>289.2</v>
      </c>
      <c r="U21">
        <v>379</v>
      </c>
      <c r="V21">
        <v>380</v>
      </c>
      <c r="W21">
        <v>500</v>
      </c>
      <c r="X21">
        <v>2.79</v>
      </c>
    </row>
    <row r="22" spans="1:24" hidden="1" outlineLevel="2" x14ac:dyDescent="0.25">
      <c r="A22" t="str">
        <f t="shared" si="4"/>
        <v>AK10 - 1989</v>
      </c>
      <c r="B22" t="s">
        <v>39</v>
      </c>
      <c r="C22">
        <v>8</v>
      </c>
      <c r="D22">
        <v>4</v>
      </c>
      <c r="E22">
        <v>1989</v>
      </c>
      <c r="F22">
        <v>88.3</v>
      </c>
      <c r="G22">
        <v>22.5</v>
      </c>
      <c r="H22">
        <v>22.2</v>
      </c>
      <c r="I22">
        <v>0.3</v>
      </c>
      <c r="J22">
        <v>1</v>
      </c>
      <c r="K22">
        <v>108.9</v>
      </c>
      <c r="L22">
        <v>244.9</v>
      </c>
      <c r="M22">
        <v>341</v>
      </c>
      <c r="N22">
        <v>339</v>
      </c>
      <c r="O22">
        <v>525</v>
      </c>
      <c r="P22">
        <v>186</v>
      </c>
      <c r="Q22">
        <v>269</v>
      </c>
      <c r="R22">
        <v>525</v>
      </c>
      <c r="S22">
        <v>256</v>
      </c>
      <c r="T22">
        <v>228.9</v>
      </c>
      <c r="U22">
        <v>379</v>
      </c>
      <c r="V22">
        <v>377</v>
      </c>
      <c r="W22">
        <v>500</v>
      </c>
      <c r="X22">
        <v>2.79</v>
      </c>
    </row>
    <row r="23" spans="1:24" hidden="1" outlineLevel="2" x14ac:dyDescent="0.25">
      <c r="A23" t="str">
        <f t="shared" si="4"/>
        <v>AK10 - 1989</v>
      </c>
      <c r="B23" t="s">
        <v>39</v>
      </c>
      <c r="C23">
        <v>10</v>
      </c>
      <c r="D23">
        <v>4</v>
      </c>
      <c r="E23">
        <v>1989</v>
      </c>
      <c r="F23">
        <v>33.5</v>
      </c>
      <c r="G23">
        <v>14.1</v>
      </c>
      <c r="H23">
        <v>12.9</v>
      </c>
      <c r="I23">
        <v>1.2</v>
      </c>
      <c r="J23">
        <v>8</v>
      </c>
      <c r="K23">
        <v>23.4</v>
      </c>
      <c r="L23">
        <v>35.299999999999997</v>
      </c>
      <c r="M23">
        <v>366</v>
      </c>
      <c r="N23">
        <v>351</v>
      </c>
      <c r="O23">
        <v>534</v>
      </c>
      <c r="P23">
        <v>183</v>
      </c>
      <c r="Q23">
        <v>287</v>
      </c>
      <c r="R23">
        <v>570</v>
      </c>
      <c r="S23">
        <v>283</v>
      </c>
      <c r="T23">
        <v>203.4</v>
      </c>
      <c r="U23">
        <v>405</v>
      </c>
      <c r="V23">
        <v>408</v>
      </c>
      <c r="W23">
        <v>500</v>
      </c>
      <c r="X23">
        <v>2.79</v>
      </c>
    </row>
    <row r="24" spans="1:24" outlineLevel="1" collapsed="1" x14ac:dyDescent="0.25">
      <c r="A24" s="8" t="s">
        <v>171</v>
      </c>
      <c r="D24">
        <f t="shared" ref="D24:V24" si="5">SUBTOTAL(1,D16:D23)</f>
        <v>3.875</v>
      </c>
      <c r="E24">
        <f t="shared" si="5"/>
        <v>1989</v>
      </c>
      <c r="F24">
        <f t="shared" si="5"/>
        <v>53.674999999999997</v>
      </c>
      <c r="G24">
        <f t="shared" si="5"/>
        <v>20.375</v>
      </c>
      <c r="H24">
        <f t="shared" si="5"/>
        <v>18.75</v>
      </c>
      <c r="I24">
        <f t="shared" si="5"/>
        <v>0.75</v>
      </c>
      <c r="J24">
        <f t="shared" si="5"/>
        <v>3.75</v>
      </c>
      <c r="K24">
        <f t="shared" si="5"/>
        <v>55.2</v>
      </c>
      <c r="L24">
        <f t="shared" si="5"/>
        <v>101.8125</v>
      </c>
      <c r="M24">
        <f t="shared" si="5"/>
        <v>362.25</v>
      </c>
      <c r="N24">
        <f t="shared" si="5"/>
        <v>355.625</v>
      </c>
      <c r="O24">
        <f t="shared" si="5"/>
        <v>523.83333333333337</v>
      </c>
      <c r="P24">
        <f t="shared" si="5"/>
        <v>168</v>
      </c>
      <c r="Q24">
        <f t="shared" si="5"/>
        <v>262.5</v>
      </c>
      <c r="R24">
        <f t="shared" si="5"/>
        <v>527.5</v>
      </c>
      <c r="S24">
        <f t="shared" si="5"/>
        <v>265</v>
      </c>
      <c r="T24">
        <f t="shared" si="5"/>
        <v>234.63750000000005</v>
      </c>
      <c r="U24">
        <f t="shared" si="5"/>
        <v>398.5</v>
      </c>
      <c r="V24">
        <f t="shared" si="5"/>
        <v>397.375</v>
      </c>
    </row>
    <row r="25" spans="1:24" hidden="1" outlineLevel="2" x14ac:dyDescent="0.25">
      <c r="A25" t="str">
        <f t="shared" ref="A25:A34" si="6">CONCATENATE(B25," - ",E25)</f>
        <v>AK10 - 1990</v>
      </c>
      <c r="B25" t="s">
        <v>39</v>
      </c>
      <c r="C25">
        <v>1</v>
      </c>
      <c r="D25">
        <v>5</v>
      </c>
      <c r="E25">
        <v>1990</v>
      </c>
      <c r="F25">
        <v>82.8</v>
      </c>
      <c r="G25">
        <v>15.6</v>
      </c>
      <c r="H25">
        <v>14.1</v>
      </c>
      <c r="I25">
        <v>1.5</v>
      </c>
      <c r="J25">
        <v>9</v>
      </c>
      <c r="K25">
        <v>73.5</v>
      </c>
      <c r="L25">
        <v>215.4</v>
      </c>
      <c r="M25">
        <v>404</v>
      </c>
      <c r="N25">
        <v>387</v>
      </c>
      <c r="O25">
        <v>562</v>
      </c>
      <c r="P25">
        <v>175</v>
      </c>
      <c r="Q25">
        <v>319</v>
      </c>
      <c r="R25">
        <v>588</v>
      </c>
      <c r="S25">
        <v>269</v>
      </c>
      <c r="T25">
        <v>215.7</v>
      </c>
      <c r="U25">
        <v>428</v>
      </c>
      <c r="V25">
        <v>418</v>
      </c>
      <c r="W25">
        <v>500</v>
      </c>
      <c r="X25">
        <v>2.79</v>
      </c>
    </row>
    <row r="26" spans="1:24" hidden="1" outlineLevel="2" x14ac:dyDescent="0.25">
      <c r="A26" t="str">
        <f t="shared" si="6"/>
        <v>AK10 - 1990</v>
      </c>
      <c r="B26" t="s">
        <v>39</v>
      </c>
      <c r="C26">
        <v>2</v>
      </c>
      <c r="D26">
        <v>5</v>
      </c>
      <c r="E26">
        <v>1990</v>
      </c>
      <c r="F26">
        <v>77.2</v>
      </c>
      <c r="G26">
        <v>16.2</v>
      </c>
      <c r="H26">
        <v>15.3</v>
      </c>
      <c r="I26">
        <v>0.9</v>
      </c>
      <c r="J26">
        <v>5</v>
      </c>
      <c r="K26">
        <v>70.3</v>
      </c>
      <c r="L26">
        <v>187.2</v>
      </c>
      <c r="M26">
        <v>348</v>
      </c>
      <c r="N26">
        <v>337</v>
      </c>
      <c r="O26">
        <v>552</v>
      </c>
      <c r="P26">
        <v>215</v>
      </c>
      <c r="Q26">
        <v>278</v>
      </c>
      <c r="R26">
        <v>580</v>
      </c>
      <c r="S26">
        <v>302</v>
      </c>
      <c r="T26">
        <v>237</v>
      </c>
      <c r="U26">
        <v>407</v>
      </c>
      <c r="V26">
        <v>410</v>
      </c>
      <c r="W26">
        <v>500</v>
      </c>
      <c r="X26">
        <v>2.79</v>
      </c>
    </row>
    <row r="27" spans="1:24" hidden="1" outlineLevel="2" x14ac:dyDescent="0.25">
      <c r="A27" t="str">
        <f t="shared" si="6"/>
        <v>AK10 - 1990</v>
      </c>
      <c r="B27" t="s">
        <v>39</v>
      </c>
      <c r="C27">
        <v>3</v>
      </c>
      <c r="D27">
        <v>5</v>
      </c>
      <c r="E27">
        <v>1990</v>
      </c>
      <c r="F27">
        <v>17.899999999999999</v>
      </c>
      <c r="G27">
        <v>17.899999999999999</v>
      </c>
      <c r="H27">
        <v>11.1</v>
      </c>
      <c r="I27">
        <v>1.8</v>
      </c>
      <c r="J27">
        <v>10</v>
      </c>
      <c r="K27">
        <v>10.1</v>
      </c>
      <c r="L27">
        <v>10.1</v>
      </c>
      <c r="M27">
        <v>383</v>
      </c>
      <c r="N27">
        <v>358</v>
      </c>
      <c r="O27">
        <v>535</v>
      </c>
      <c r="P27">
        <v>177</v>
      </c>
      <c r="Q27">
        <v>142</v>
      </c>
      <c r="R27">
        <v>554</v>
      </c>
      <c r="S27">
        <v>412</v>
      </c>
      <c r="T27">
        <v>245.7</v>
      </c>
      <c r="U27">
        <v>415</v>
      </c>
      <c r="V27">
        <v>411</v>
      </c>
      <c r="W27">
        <v>500</v>
      </c>
      <c r="X27">
        <v>2.79</v>
      </c>
    </row>
    <row r="28" spans="1:24" hidden="1" outlineLevel="2" x14ac:dyDescent="0.25">
      <c r="A28" t="str">
        <f t="shared" si="6"/>
        <v>AK10 - 1990</v>
      </c>
      <c r="B28" t="s">
        <v>39</v>
      </c>
      <c r="C28">
        <v>4</v>
      </c>
      <c r="D28">
        <v>4</v>
      </c>
      <c r="E28">
        <v>1990</v>
      </c>
      <c r="F28">
        <v>53.4</v>
      </c>
      <c r="G28">
        <v>17.7</v>
      </c>
      <c r="H28">
        <v>17.100000000000001</v>
      </c>
      <c r="I28">
        <v>0.6</v>
      </c>
      <c r="J28">
        <v>3</v>
      </c>
      <c r="K28">
        <v>49.5</v>
      </c>
      <c r="L28">
        <v>89.6</v>
      </c>
      <c r="M28">
        <v>359</v>
      </c>
      <c r="N28">
        <v>354</v>
      </c>
      <c r="O28">
        <v>516</v>
      </c>
      <c r="P28">
        <v>162</v>
      </c>
      <c r="Q28">
        <v>293</v>
      </c>
      <c r="R28">
        <v>524</v>
      </c>
      <c r="S28">
        <v>231</v>
      </c>
      <c r="T28">
        <v>174</v>
      </c>
      <c r="U28">
        <v>381</v>
      </c>
      <c r="V28">
        <v>390</v>
      </c>
      <c r="W28">
        <v>500</v>
      </c>
      <c r="X28">
        <v>2.79</v>
      </c>
    </row>
    <row r="29" spans="1:24" hidden="1" outlineLevel="2" x14ac:dyDescent="0.25">
      <c r="A29" t="str">
        <f t="shared" si="6"/>
        <v>AK10 - 1990</v>
      </c>
      <c r="B29" t="s">
        <v>39</v>
      </c>
      <c r="C29">
        <v>5</v>
      </c>
      <c r="D29">
        <v>5</v>
      </c>
      <c r="E29">
        <v>1990</v>
      </c>
      <c r="F29">
        <v>46.6</v>
      </c>
      <c r="G29">
        <v>18.899999999999999</v>
      </c>
      <c r="H29">
        <v>15.3</v>
      </c>
      <c r="I29">
        <v>3.6</v>
      </c>
      <c r="J29">
        <v>19</v>
      </c>
      <c r="K29">
        <v>44.1</v>
      </c>
      <c r="L29">
        <v>68.2</v>
      </c>
      <c r="M29">
        <v>410</v>
      </c>
      <c r="N29">
        <v>383</v>
      </c>
      <c r="O29">
        <v>526</v>
      </c>
      <c r="P29">
        <v>143</v>
      </c>
      <c r="Q29">
        <v>340</v>
      </c>
      <c r="R29">
        <v>555</v>
      </c>
      <c r="S29">
        <v>215</v>
      </c>
      <c r="T29">
        <v>256.2</v>
      </c>
      <c r="U29">
        <v>421</v>
      </c>
      <c r="V29">
        <v>409</v>
      </c>
      <c r="W29">
        <v>500</v>
      </c>
      <c r="X29">
        <v>2.79</v>
      </c>
    </row>
    <row r="30" spans="1:24" hidden="1" outlineLevel="2" x14ac:dyDescent="0.25">
      <c r="A30" t="str">
        <f t="shared" si="6"/>
        <v>AK10 - 1990</v>
      </c>
      <c r="B30" t="s">
        <v>39</v>
      </c>
      <c r="C30">
        <v>6</v>
      </c>
      <c r="D30">
        <v>5</v>
      </c>
      <c r="E30">
        <v>1990</v>
      </c>
      <c r="F30">
        <v>77.099999999999994</v>
      </c>
      <c r="G30">
        <v>18.899999999999999</v>
      </c>
      <c r="H30">
        <v>17.399999999999999</v>
      </c>
      <c r="I30">
        <v>1.5</v>
      </c>
      <c r="J30">
        <v>7</v>
      </c>
      <c r="K30">
        <v>80.3</v>
      </c>
      <c r="L30">
        <v>186.7</v>
      </c>
      <c r="M30">
        <v>369</v>
      </c>
      <c r="N30">
        <v>357</v>
      </c>
      <c r="O30">
        <v>514</v>
      </c>
      <c r="P30">
        <v>157</v>
      </c>
      <c r="Q30">
        <v>284</v>
      </c>
      <c r="R30">
        <v>524</v>
      </c>
      <c r="S30">
        <v>240</v>
      </c>
      <c r="T30">
        <v>272.7</v>
      </c>
      <c r="U30">
        <v>388</v>
      </c>
      <c r="V30">
        <v>387</v>
      </c>
      <c r="W30">
        <v>500</v>
      </c>
      <c r="X30">
        <v>2.79</v>
      </c>
    </row>
    <row r="31" spans="1:24" hidden="1" outlineLevel="2" x14ac:dyDescent="0.25">
      <c r="A31" t="str">
        <f t="shared" si="6"/>
        <v>AK10 - 1990</v>
      </c>
      <c r="B31" t="s">
        <v>39</v>
      </c>
      <c r="C31">
        <v>7</v>
      </c>
      <c r="D31">
        <v>5</v>
      </c>
      <c r="E31">
        <v>1990</v>
      </c>
      <c r="F31">
        <v>74.3</v>
      </c>
      <c r="G31">
        <v>16.5</v>
      </c>
      <c r="H31">
        <v>16.5</v>
      </c>
      <c r="I31">
        <v>0</v>
      </c>
      <c r="J31">
        <v>0</v>
      </c>
      <c r="K31">
        <v>68.5</v>
      </c>
      <c r="L31">
        <v>173.4</v>
      </c>
      <c r="M31">
        <v>330</v>
      </c>
      <c r="N31">
        <v>330</v>
      </c>
      <c r="Q31">
        <v>283</v>
      </c>
      <c r="R31">
        <v>476</v>
      </c>
      <c r="S31">
        <v>193</v>
      </c>
      <c r="T31">
        <v>289.2</v>
      </c>
      <c r="U31">
        <v>379</v>
      </c>
      <c r="V31">
        <v>380</v>
      </c>
      <c r="W31">
        <v>500</v>
      </c>
      <c r="X31">
        <v>2.79</v>
      </c>
    </row>
    <row r="32" spans="1:24" hidden="1" outlineLevel="2" x14ac:dyDescent="0.25">
      <c r="A32" t="str">
        <f t="shared" si="6"/>
        <v>AK10 - 1990</v>
      </c>
      <c r="B32" t="s">
        <v>39</v>
      </c>
      <c r="C32">
        <v>8</v>
      </c>
      <c r="D32">
        <v>5</v>
      </c>
      <c r="E32">
        <v>1990</v>
      </c>
      <c r="F32">
        <v>106.3</v>
      </c>
      <c r="G32">
        <v>18</v>
      </c>
      <c r="H32">
        <v>17.399999999999999</v>
      </c>
      <c r="I32">
        <v>0.6</v>
      </c>
      <c r="J32">
        <v>3</v>
      </c>
      <c r="K32">
        <v>110</v>
      </c>
      <c r="L32">
        <v>355</v>
      </c>
      <c r="M32">
        <v>350</v>
      </c>
      <c r="N32">
        <v>345</v>
      </c>
      <c r="O32">
        <v>511</v>
      </c>
      <c r="P32">
        <v>166</v>
      </c>
      <c r="Q32">
        <v>274</v>
      </c>
      <c r="R32">
        <v>521</v>
      </c>
      <c r="S32">
        <v>247</v>
      </c>
      <c r="T32">
        <v>228.9</v>
      </c>
      <c r="U32">
        <v>379</v>
      </c>
      <c r="V32">
        <v>377</v>
      </c>
      <c r="W32">
        <v>500</v>
      </c>
      <c r="X32">
        <v>2.79</v>
      </c>
    </row>
    <row r="33" spans="1:24" hidden="1" outlineLevel="2" x14ac:dyDescent="0.25">
      <c r="A33" t="str">
        <f t="shared" si="6"/>
        <v>AK10 - 1990</v>
      </c>
      <c r="B33" t="s">
        <v>39</v>
      </c>
      <c r="C33">
        <v>10</v>
      </c>
      <c r="D33">
        <v>5</v>
      </c>
      <c r="E33">
        <v>1990</v>
      </c>
      <c r="F33">
        <v>45.8</v>
      </c>
      <c r="G33">
        <v>12.3</v>
      </c>
      <c r="H33">
        <v>10.8</v>
      </c>
      <c r="I33">
        <v>1.5</v>
      </c>
      <c r="J33">
        <v>12</v>
      </c>
      <c r="K33">
        <v>30.6</v>
      </c>
      <c r="L33">
        <v>65.900000000000006</v>
      </c>
      <c r="M33">
        <v>406</v>
      </c>
      <c r="N33">
        <v>387</v>
      </c>
      <c r="O33">
        <v>541</v>
      </c>
      <c r="P33">
        <v>154</v>
      </c>
      <c r="Q33">
        <v>341</v>
      </c>
      <c r="R33">
        <v>575</v>
      </c>
      <c r="S33">
        <v>234</v>
      </c>
      <c r="T33">
        <v>203.4</v>
      </c>
      <c r="U33">
        <v>405</v>
      </c>
      <c r="V33">
        <v>408</v>
      </c>
      <c r="W33">
        <v>500</v>
      </c>
      <c r="X33">
        <v>2.79</v>
      </c>
    </row>
    <row r="34" spans="1:24" hidden="1" outlineLevel="2" x14ac:dyDescent="0.25">
      <c r="A34" t="str">
        <f t="shared" si="6"/>
        <v>AK10 - 1990</v>
      </c>
      <c r="B34" t="s">
        <v>39</v>
      </c>
      <c r="C34">
        <v>11</v>
      </c>
      <c r="D34">
        <v>5</v>
      </c>
      <c r="E34">
        <v>1990</v>
      </c>
      <c r="F34">
        <v>26.1</v>
      </c>
      <c r="G34">
        <v>26.1</v>
      </c>
      <c r="H34">
        <v>13.8</v>
      </c>
      <c r="I34">
        <v>0.3</v>
      </c>
      <c r="J34">
        <v>1</v>
      </c>
      <c r="K34">
        <v>21.4</v>
      </c>
      <c r="L34">
        <v>21.4</v>
      </c>
      <c r="M34">
        <v>323</v>
      </c>
      <c r="N34">
        <v>319</v>
      </c>
      <c r="O34">
        <v>502</v>
      </c>
      <c r="P34">
        <v>183</v>
      </c>
      <c r="Q34">
        <v>256</v>
      </c>
      <c r="R34">
        <v>502</v>
      </c>
      <c r="S34">
        <v>246</v>
      </c>
      <c r="T34">
        <v>249.6</v>
      </c>
      <c r="U34">
        <v>367</v>
      </c>
      <c r="V34">
        <v>369</v>
      </c>
      <c r="W34">
        <v>500</v>
      </c>
      <c r="X34">
        <v>2.79</v>
      </c>
    </row>
    <row r="35" spans="1:24" outlineLevel="1" collapsed="1" x14ac:dyDescent="0.25">
      <c r="A35" s="8" t="s">
        <v>172</v>
      </c>
      <c r="D35">
        <f t="shared" ref="D35:V35" si="7">SUBTOTAL(1,D25:D34)</f>
        <v>4.9000000000000004</v>
      </c>
      <c r="E35">
        <f t="shared" si="7"/>
        <v>1990</v>
      </c>
      <c r="F35">
        <f t="shared" si="7"/>
        <v>60.75</v>
      </c>
      <c r="G35">
        <f t="shared" si="7"/>
        <v>17.809999999999999</v>
      </c>
      <c r="H35">
        <f t="shared" si="7"/>
        <v>14.880000000000004</v>
      </c>
      <c r="I35">
        <f t="shared" si="7"/>
        <v>1.23</v>
      </c>
      <c r="J35">
        <f t="shared" si="7"/>
        <v>6.9</v>
      </c>
      <c r="K35">
        <f t="shared" si="7"/>
        <v>55.83</v>
      </c>
      <c r="L35">
        <f t="shared" si="7"/>
        <v>137.29000000000002</v>
      </c>
      <c r="M35">
        <f t="shared" si="7"/>
        <v>368.2</v>
      </c>
      <c r="N35">
        <f t="shared" si="7"/>
        <v>355.7</v>
      </c>
      <c r="O35">
        <f t="shared" si="7"/>
        <v>528.77777777777783</v>
      </c>
      <c r="P35">
        <f t="shared" si="7"/>
        <v>170.22222222222223</v>
      </c>
      <c r="Q35">
        <f t="shared" si="7"/>
        <v>281</v>
      </c>
      <c r="R35">
        <f t="shared" si="7"/>
        <v>539.9</v>
      </c>
      <c r="S35">
        <f t="shared" si="7"/>
        <v>258.89999999999998</v>
      </c>
      <c r="T35">
        <f t="shared" si="7"/>
        <v>237.24</v>
      </c>
      <c r="U35">
        <f t="shared" si="7"/>
        <v>397</v>
      </c>
      <c r="V35">
        <f t="shared" si="7"/>
        <v>395.9</v>
      </c>
    </row>
    <row r="36" spans="1:24" hidden="1" outlineLevel="2" x14ac:dyDescent="0.25">
      <c r="A36" t="str">
        <f t="shared" ref="A36:A46" si="8">CONCATENATE(B36," - ",E36)</f>
        <v>AK10 - 1991</v>
      </c>
      <c r="B36" t="s">
        <v>39</v>
      </c>
      <c r="C36">
        <v>1</v>
      </c>
      <c r="D36">
        <v>6</v>
      </c>
      <c r="E36">
        <v>1991</v>
      </c>
      <c r="F36">
        <v>101.4</v>
      </c>
      <c r="G36">
        <v>18.600000000000001</v>
      </c>
      <c r="H36">
        <v>16.2</v>
      </c>
      <c r="I36">
        <v>2.4</v>
      </c>
      <c r="J36">
        <v>12</v>
      </c>
      <c r="K36">
        <v>107.6</v>
      </c>
      <c r="L36">
        <v>323</v>
      </c>
      <c r="M36">
        <v>431</v>
      </c>
      <c r="N36">
        <v>412</v>
      </c>
      <c r="O36">
        <v>561</v>
      </c>
      <c r="P36">
        <v>149</v>
      </c>
      <c r="Q36">
        <v>366</v>
      </c>
      <c r="R36">
        <v>588</v>
      </c>
      <c r="S36">
        <v>222</v>
      </c>
      <c r="T36">
        <v>215.7</v>
      </c>
      <c r="U36">
        <v>428</v>
      </c>
      <c r="V36">
        <v>418</v>
      </c>
      <c r="W36">
        <v>500</v>
      </c>
      <c r="X36">
        <v>2.79</v>
      </c>
    </row>
    <row r="37" spans="1:24" hidden="1" outlineLevel="2" x14ac:dyDescent="0.25">
      <c r="A37" t="str">
        <f t="shared" si="8"/>
        <v>AK10 - 1991</v>
      </c>
      <c r="B37" t="s">
        <v>39</v>
      </c>
      <c r="C37">
        <v>2</v>
      </c>
      <c r="D37">
        <v>6</v>
      </c>
      <c r="E37">
        <v>1991</v>
      </c>
      <c r="F37">
        <v>89.8</v>
      </c>
      <c r="G37">
        <v>12.6</v>
      </c>
      <c r="H37">
        <v>11.1</v>
      </c>
      <c r="I37">
        <v>1.5</v>
      </c>
      <c r="J37">
        <v>11</v>
      </c>
      <c r="K37">
        <v>66.099999999999994</v>
      </c>
      <c r="L37">
        <v>253.3</v>
      </c>
      <c r="M37">
        <v>423</v>
      </c>
      <c r="N37">
        <v>405</v>
      </c>
      <c r="O37">
        <v>554</v>
      </c>
      <c r="P37">
        <v>149</v>
      </c>
      <c r="Q37">
        <v>335</v>
      </c>
      <c r="R37">
        <v>585</v>
      </c>
      <c r="S37">
        <v>250</v>
      </c>
      <c r="T37">
        <v>237</v>
      </c>
      <c r="U37">
        <v>407</v>
      </c>
      <c r="V37">
        <v>410</v>
      </c>
      <c r="W37">
        <v>500</v>
      </c>
      <c r="X37">
        <v>2.79</v>
      </c>
    </row>
    <row r="38" spans="1:24" hidden="1" outlineLevel="2" x14ac:dyDescent="0.25">
      <c r="A38" t="str">
        <f t="shared" si="8"/>
        <v>AK10 - 1991</v>
      </c>
      <c r="B38" t="s">
        <v>39</v>
      </c>
      <c r="C38">
        <v>3</v>
      </c>
      <c r="D38">
        <v>6</v>
      </c>
      <c r="E38">
        <v>1991</v>
      </c>
      <c r="F38">
        <v>38.6</v>
      </c>
      <c r="G38">
        <v>20.7</v>
      </c>
      <c r="H38">
        <v>19.5</v>
      </c>
      <c r="I38">
        <v>1.2</v>
      </c>
      <c r="J38">
        <v>5</v>
      </c>
      <c r="K38">
        <v>36.700000000000003</v>
      </c>
      <c r="L38">
        <v>46.8</v>
      </c>
      <c r="M38">
        <v>383</v>
      </c>
      <c r="N38">
        <v>376</v>
      </c>
      <c r="O38">
        <v>505</v>
      </c>
      <c r="P38">
        <v>129</v>
      </c>
      <c r="Q38">
        <v>304</v>
      </c>
      <c r="R38">
        <v>519</v>
      </c>
      <c r="S38">
        <v>215</v>
      </c>
      <c r="T38">
        <v>245.7</v>
      </c>
      <c r="U38">
        <v>415</v>
      </c>
      <c r="V38">
        <v>411</v>
      </c>
      <c r="W38">
        <v>500</v>
      </c>
      <c r="X38">
        <v>2.79</v>
      </c>
    </row>
    <row r="39" spans="1:24" hidden="1" outlineLevel="2" x14ac:dyDescent="0.25">
      <c r="A39" t="str">
        <f t="shared" si="8"/>
        <v>AK10 - 1991</v>
      </c>
      <c r="B39" t="s">
        <v>39</v>
      </c>
      <c r="C39">
        <v>4</v>
      </c>
      <c r="D39">
        <v>5</v>
      </c>
      <c r="E39">
        <v>1991</v>
      </c>
      <c r="F39">
        <v>69.3</v>
      </c>
      <c r="G39">
        <v>15.9</v>
      </c>
      <c r="H39">
        <v>13.2</v>
      </c>
      <c r="I39">
        <v>2.7</v>
      </c>
      <c r="J39">
        <v>16</v>
      </c>
      <c r="K39">
        <v>61.3</v>
      </c>
      <c r="L39">
        <v>150.9</v>
      </c>
      <c r="M39">
        <v>378</v>
      </c>
      <c r="N39">
        <v>347</v>
      </c>
      <c r="O39">
        <v>529</v>
      </c>
      <c r="P39">
        <v>182</v>
      </c>
      <c r="Q39">
        <v>295</v>
      </c>
      <c r="R39">
        <v>569</v>
      </c>
      <c r="S39">
        <v>274</v>
      </c>
      <c r="T39">
        <v>174</v>
      </c>
      <c r="U39">
        <v>381</v>
      </c>
      <c r="V39">
        <v>390</v>
      </c>
      <c r="W39">
        <v>500</v>
      </c>
      <c r="X39">
        <v>2.79</v>
      </c>
    </row>
    <row r="40" spans="1:24" hidden="1" outlineLevel="2" x14ac:dyDescent="0.25">
      <c r="A40" t="str">
        <f t="shared" si="8"/>
        <v>AK10 - 1991</v>
      </c>
      <c r="B40" t="s">
        <v>39</v>
      </c>
      <c r="C40">
        <v>5</v>
      </c>
      <c r="D40">
        <v>6</v>
      </c>
      <c r="E40">
        <v>1991</v>
      </c>
      <c r="F40">
        <v>69.400000000000006</v>
      </c>
      <c r="G40">
        <v>22.8</v>
      </c>
      <c r="H40">
        <v>21</v>
      </c>
      <c r="I40">
        <v>1.8</v>
      </c>
      <c r="J40">
        <v>7</v>
      </c>
      <c r="K40">
        <v>83.1</v>
      </c>
      <c r="L40">
        <v>151.30000000000001</v>
      </c>
      <c r="M40">
        <v>452</v>
      </c>
      <c r="N40">
        <v>445</v>
      </c>
      <c r="O40">
        <v>522</v>
      </c>
      <c r="P40">
        <v>77</v>
      </c>
      <c r="Q40">
        <v>377</v>
      </c>
      <c r="R40">
        <v>543</v>
      </c>
      <c r="S40">
        <v>166</v>
      </c>
      <c r="T40">
        <v>256.2</v>
      </c>
      <c r="U40">
        <v>421</v>
      </c>
      <c r="V40">
        <v>409</v>
      </c>
      <c r="W40">
        <v>500</v>
      </c>
      <c r="X40">
        <v>2.79</v>
      </c>
    </row>
    <row r="41" spans="1:24" hidden="1" outlineLevel="2" x14ac:dyDescent="0.25">
      <c r="A41" t="str">
        <f t="shared" si="8"/>
        <v>AK10 - 1991</v>
      </c>
      <c r="B41" t="s">
        <v>39</v>
      </c>
      <c r="C41">
        <v>6</v>
      </c>
      <c r="D41">
        <v>6</v>
      </c>
      <c r="E41">
        <v>1991</v>
      </c>
      <c r="F41">
        <v>97.5</v>
      </c>
      <c r="G41">
        <v>20.399999999999999</v>
      </c>
      <c r="H41">
        <v>18.3</v>
      </c>
      <c r="I41">
        <v>2.1</v>
      </c>
      <c r="J41">
        <v>10</v>
      </c>
      <c r="K41">
        <v>111.9</v>
      </c>
      <c r="L41">
        <v>298.60000000000002</v>
      </c>
      <c r="M41">
        <v>398</v>
      </c>
      <c r="N41">
        <v>383</v>
      </c>
      <c r="O41">
        <v>531</v>
      </c>
      <c r="P41">
        <v>148</v>
      </c>
      <c r="Q41">
        <v>328</v>
      </c>
      <c r="R41">
        <v>551</v>
      </c>
      <c r="S41">
        <v>223</v>
      </c>
      <c r="T41">
        <v>272.7</v>
      </c>
      <c r="U41">
        <v>388</v>
      </c>
      <c r="V41">
        <v>387</v>
      </c>
      <c r="W41">
        <v>500</v>
      </c>
      <c r="X41">
        <v>2.79</v>
      </c>
    </row>
    <row r="42" spans="1:24" hidden="1" outlineLevel="2" x14ac:dyDescent="0.25">
      <c r="A42" t="str">
        <f t="shared" si="8"/>
        <v>AK10 - 1991</v>
      </c>
      <c r="B42" t="s">
        <v>39</v>
      </c>
      <c r="C42">
        <v>7</v>
      </c>
      <c r="D42">
        <v>6</v>
      </c>
      <c r="E42">
        <v>1991</v>
      </c>
      <c r="F42">
        <v>91.1</v>
      </c>
      <c r="G42">
        <v>16.8</v>
      </c>
      <c r="H42">
        <v>15.9</v>
      </c>
      <c r="I42">
        <v>0.9</v>
      </c>
      <c r="J42">
        <v>5</v>
      </c>
      <c r="K42">
        <v>87.3</v>
      </c>
      <c r="L42">
        <v>260.7</v>
      </c>
      <c r="M42">
        <v>358</v>
      </c>
      <c r="N42">
        <v>348</v>
      </c>
      <c r="O42">
        <v>532</v>
      </c>
      <c r="P42">
        <v>184</v>
      </c>
      <c r="Q42">
        <v>293</v>
      </c>
      <c r="R42">
        <v>549</v>
      </c>
      <c r="S42">
        <v>256</v>
      </c>
      <c r="T42">
        <v>289.2</v>
      </c>
      <c r="U42">
        <v>379</v>
      </c>
      <c r="V42">
        <v>380</v>
      </c>
      <c r="W42">
        <v>500</v>
      </c>
      <c r="X42">
        <v>2.79</v>
      </c>
    </row>
    <row r="43" spans="1:24" hidden="1" outlineLevel="2" x14ac:dyDescent="0.25">
      <c r="A43" t="str">
        <f t="shared" si="8"/>
        <v>AK10 - 1991</v>
      </c>
      <c r="B43" t="s">
        <v>39</v>
      </c>
      <c r="C43">
        <v>8</v>
      </c>
      <c r="D43">
        <v>6</v>
      </c>
      <c r="E43">
        <v>1991</v>
      </c>
      <c r="F43">
        <v>123.1</v>
      </c>
      <c r="G43">
        <v>16.8</v>
      </c>
      <c r="H43">
        <v>15.6</v>
      </c>
      <c r="I43">
        <v>1.2</v>
      </c>
      <c r="J43">
        <v>7</v>
      </c>
      <c r="K43">
        <v>121.1</v>
      </c>
      <c r="L43">
        <v>476.1</v>
      </c>
      <c r="M43">
        <v>357</v>
      </c>
      <c r="N43">
        <v>343</v>
      </c>
      <c r="O43">
        <v>546</v>
      </c>
      <c r="P43">
        <v>203</v>
      </c>
      <c r="Q43">
        <v>287</v>
      </c>
      <c r="R43">
        <v>565</v>
      </c>
      <c r="S43">
        <v>278</v>
      </c>
      <c r="T43">
        <v>228.9</v>
      </c>
      <c r="U43">
        <v>379</v>
      </c>
      <c r="V43">
        <v>377</v>
      </c>
      <c r="W43">
        <v>500</v>
      </c>
      <c r="X43">
        <v>2.79</v>
      </c>
    </row>
    <row r="44" spans="1:24" hidden="1" outlineLevel="2" x14ac:dyDescent="0.25">
      <c r="A44" t="str">
        <f t="shared" si="8"/>
        <v>AK10 - 1991</v>
      </c>
      <c r="B44" t="s">
        <v>39</v>
      </c>
      <c r="C44">
        <v>9</v>
      </c>
      <c r="D44">
        <v>5</v>
      </c>
      <c r="E44">
        <v>1991</v>
      </c>
      <c r="F44">
        <v>23</v>
      </c>
      <c r="G44">
        <v>23</v>
      </c>
      <c r="H44">
        <v>14.1</v>
      </c>
      <c r="I44">
        <v>0.9</v>
      </c>
      <c r="J44">
        <v>3</v>
      </c>
      <c r="K44">
        <v>16.600000000000001</v>
      </c>
      <c r="L44">
        <v>16.600000000000001</v>
      </c>
      <c r="M44">
        <v>372</v>
      </c>
      <c r="N44">
        <v>363</v>
      </c>
      <c r="O44">
        <v>509</v>
      </c>
      <c r="P44">
        <v>146</v>
      </c>
      <c r="Q44">
        <v>311</v>
      </c>
      <c r="R44">
        <v>513</v>
      </c>
      <c r="S44">
        <v>202</v>
      </c>
      <c r="T44">
        <v>273.3</v>
      </c>
      <c r="U44">
        <v>377</v>
      </c>
      <c r="V44">
        <v>375</v>
      </c>
      <c r="W44">
        <v>500</v>
      </c>
      <c r="X44">
        <v>2.79</v>
      </c>
    </row>
    <row r="45" spans="1:24" hidden="1" outlineLevel="2" x14ac:dyDescent="0.25">
      <c r="A45" t="str">
        <f t="shared" si="8"/>
        <v>AK10 - 1991</v>
      </c>
      <c r="B45" t="s">
        <v>39</v>
      </c>
      <c r="C45">
        <v>10</v>
      </c>
      <c r="D45">
        <v>6</v>
      </c>
      <c r="E45">
        <v>1991</v>
      </c>
      <c r="F45">
        <v>57.8</v>
      </c>
      <c r="G45">
        <v>12</v>
      </c>
      <c r="H45">
        <v>10.5</v>
      </c>
      <c r="I45">
        <v>1.5</v>
      </c>
      <c r="J45">
        <v>12</v>
      </c>
      <c r="K45">
        <v>39.1</v>
      </c>
      <c r="L45">
        <v>105</v>
      </c>
      <c r="M45">
        <v>434</v>
      </c>
      <c r="N45">
        <v>414</v>
      </c>
      <c r="O45">
        <v>568</v>
      </c>
      <c r="P45">
        <v>154</v>
      </c>
      <c r="Q45">
        <v>358</v>
      </c>
      <c r="R45">
        <v>589</v>
      </c>
      <c r="S45">
        <v>231</v>
      </c>
      <c r="T45">
        <v>203.4</v>
      </c>
      <c r="U45">
        <v>405</v>
      </c>
      <c r="V45">
        <v>408</v>
      </c>
      <c r="W45">
        <v>500</v>
      </c>
      <c r="X45">
        <v>2.79</v>
      </c>
    </row>
    <row r="46" spans="1:24" hidden="1" outlineLevel="2" x14ac:dyDescent="0.25">
      <c r="A46" t="str">
        <f t="shared" si="8"/>
        <v>AK10 - 1991</v>
      </c>
      <c r="B46" t="s">
        <v>39</v>
      </c>
      <c r="C46">
        <v>11</v>
      </c>
      <c r="D46">
        <v>6</v>
      </c>
      <c r="E46">
        <v>1991</v>
      </c>
      <c r="F46">
        <v>41.4</v>
      </c>
      <c r="G46">
        <v>15.3</v>
      </c>
      <c r="H46">
        <v>13.5</v>
      </c>
      <c r="I46">
        <v>1.8</v>
      </c>
      <c r="J46">
        <v>11</v>
      </c>
      <c r="K46">
        <v>32.4</v>
      </c>
      <c r="L46">
        <v>53.8</v>
      </c>
      <c r="M46">
        <v>365</v>
      </c>
      <c r="N46">
        <v>343</v>
      </c>
      <c r="O46">
        <v>531</v>
      </c>
      <c r="P46">
        <v>188</v>
      </c>
      <c r="Q46">
        <v>283</v>
      </c>
      <c r="R46">
        <v>551</v>
      </c>
      <c r="S46">
        <v>268</v>
      </c>
      <c r="T46">
        <v>249.6</v>
      </c>
      <c r="U46">
        <v>367</v>
      </c>
      <c r="V46">
        <v>369</v>
      </c>
      <c r="W46">
        <v>500</v>
      </c>
      <c r="X46">
        <v>2.79</v>
      </c>
    </row>
    <row r="47" spans="1:24" outlineLevel="1" collapsed="1" x14ac:dyDescent="0.25">
      <c r="A47" s="8" t="s">
        <v>173</v>
      </c>
      <c r="D47">
        <f t="shared" ref="D47:V47" si="9">SUBTOTAL(1,D36:D46)</f>
        <v>5.8181818181818183</v>
      </c>
      <c r="E47">
        <f t="shared" si="9"/>
        <v>1991</v>
      </c>
      <c r="F47">
        <f t="shared" si="9"/>
        <v>72.945454545454538</v>
      </c>
      <c r="G47">
        <f t="shared" si="9"/>
        <v>17.718181818181819</v>
      </c>
      <c r="H47">
        <f t="shared" si="9"/>
        <v>15.354545454545455</v>
      </c>
      <c r="I47">
        <f t="shared" si="9"/>
        <v>1.6363636363636365</v>
      </c>
      <c r="J47">
        <f t="shared" si="9"/>
        <v>9</v>
      </c>
      <c r="K47">
        <f t="shared" si="9"/>
        <v>69.381818181818176</v>
      </c>
      <c r="L47">
        <f t="shared" si="9"/>
        <v>194.19090909090912</v>
      </c>
      <c r="M47">
        <f t="shared" si="9"/>
        <v>395.54545454545456</v>
      </c>
      <c r="N47">
        <f t="shared" si="9"/>
        <v>379.90909090909093</v>
      </c>
      <c r="O47">
        <f t="shared" si="9"/>
        <v>535.27272727272725</v>
      </c>
      <c r="P47">
        <f t="shared" si="9"/>
        <v>155.36363636363637</v>
      </c>
      <c r="Q47">
        <f t="shared" si="9"/>
        <v>321.54545454545456</v>
      </c>
      <c r="R47">
        <f t="shared" si="9"/>
        <v>556.5454545454545</v>
      </c>
      <c r="S47">
        <f t="shared" si="9"/>
        <v>235</v>
      </c>
      <c r="T47">
        <f t="shared" si="9"/>
        <v>240.51818181818183</v>
      </c>
      <c r="U47">
        <f t="shared" si="9"/>
        <v>395.18181818181819</v>
      </c>
      <c r="V47">
        <f t="shared" si="9"/>
        <v>394</v>
      </c>
    </row>
    <row r="48" spans="1:24" hidden="1" outlineLevel="2" x14ac:dyDescent="0.25">
      <c r="A48" t="str">
        <f t="shared" ref="A48:A58" si="10">CONCATENATE(B48," - ",E48)</f>
        <v>AK10 - 1992</v>
      </c>
      <c r="B48" t="s">
        <v>39</v>
      </c>
      <c r="C48">
        <v>1</v>
      </c>
      <c r="D48">
        <v>7</v>
      </c>
      <c r="E48">
        <v>1992</v>
      </c>
      <c r="F48">
        <v>115.5</v>
      </c>
      <c r="G48">
        <v>14.1</v>
      </c>
      <c r="H48">
        <v>12</v>
      </c>
      <c r="I48">
        <v>2.1</v>
      </c>
      <c r="J48">
        <v>14</v>
      </c>
      <c r="K48">
        <v>96.1</v>
      </c>
      <c r="L48">
        <v>419.1</v>
      </c>
      <c r="M48">
        <v>441</v>
      </c>
      <c r="N48">
        <v>424</v>
      </c>
      <c r="O48">
        <v>538</v>
      </c>
      <c r="P48">
        <v>114</v>
      </c>
      <c r="Q48">
        <v>347</v>
      </c>
      <c r="R48">
        <v>559</v>
      </c>
      <c r="S48">
        <v>212</v>
      </c>
      <c r="T48">
        <v>215.7</v>
      </c>
      <c r="U48">
        <v>428</v>
      </c>
      <c r="V48">
        <v>418</v>
      </c>
      <c r="W48">
        <v>500</v>
      </c>
      <c r="X48">
        <v>2.79</v>
      </c>
    </row>
    <row r="49" spans="1:24" hidden="1" outlineLevel="2" x14ac:dyDescent="0.25">
      <c r="A49" t="str">
        <f t="shared" si="10"/>
        <v>AK10 - 1992</v>
      </c>
      <c r="B49" t="s">
        <v>39</v>
      </c>
      <c r="C49">
        <v>2</v>
      </c>
      <c r="D49">
        <v>7</v>
      </c>
      <c r="E49">
        <v>1992</v>
      </c>
      <c r="F49">
        <v>103.9</v>
      </c>
      <c r="G49">
        <v>14.1</v>
      </c>
      <c r="H49">
        <v>13.5</v>
      </c>
      <c r="I49">
        <v>0.6</v>
      </c>
      <c r="J49">
        <v>4</v>
      </c>
      <c r="K49">
        <v>85.8</v>
      </c>
      <c r="L49">
        <v>339.1</v>
      </c>
      <c r="M49">
        <v>392</v>
      </c>
      <c r="N49">
        <v>385</v>
      </c>
      <c r="O49">
        <v>540</v>
      </c>
      <c r="P49">
        <v>155</v>
      </c>
      <c r="Q49">
        <v>339</v>
      </c>
      <c r="R49">
        <v>559</v>
      </c>
      <c r="S49">
        <v>220</v>
      </c>
      <c r="T49">
        <v>237</v>
      </c>
      <c r="U49">
        <v>407</v>
      </c>
      <c r="V49">
        <v>410</v>
      </c>
      <c r="W49">
        <v>500</v>
      </c>
      <c r="X49">
        <v>2.79</v>
      </c>
    </row>
    <row r="50" spans="1:24" hidden="1" outlineLevel="2" x14ac:dyDescent="0.25">
      <c r="A50" t="str">
        <f t="shared" si="10"/>
        <v>AK10 - 1992</v>
      </c>
      <c r="B50" t="s">
        <v>39</v>
      </c>
      <c r="C50">
        <v>3</v>
      </c>
      <c r="D50">
        <v>7</v>
      </c>
      <c r="E50">
        <v>1992</v>
      </c>
      <c r="F50">
        <v>59.9</v>
      </c>
      <c r="G50">
        <v>21.3</v>
      </c>
      <c r="H50">
        <v>19.2</v>
      </c>
      <c r="I50">
        <v>2.1</v>
      </c>
      <c r="J50">
        <v>9</v>
      </c>
      <c r="K50">
        <v>65.900000000000006</v>
      </c>
      <c r="L50">
        <v>112.7</v>
      </c>
      <c r="M50">
        <v>389</v>
      </c>
      <c r="N50">
        <v>373</v>
      </c>
      <c r="O50">
        <v>535</v>
      </c>
      <c r="P50">
        <v>162</v>
      </c>
      <c r="Q50">
        <v>314</v>
      </c>
      <c r="R50">
        <v>557</v>
      </c>
      <c r="S50">
        <v>243</v>
      </c>
      <c r="T50">
        <v>245.7</v>
      </c>
      <c r="U50">
        <v>415</v>
      </c>
      <c r="V50">
        <v>411</v>
      </c>
      <c r="W50">
        <v>500</v>
      </c>
      <c r="X50">
        <v>2.79</v>
      </c>
    </row>
    <row r="51" spans="1:24" hidden="1" outlineLevel="2" x14ac:dyDescent="0.25">
      <c r="A51" t="str">
        <f t="shared" si="10"/>
        <v>AK10 - 1992</v>
      </c>
      <c r="B51" t="s">
        <v>39</v>
      </c>
      <c r="C51">
        <v>4</v>
      </c>
      <c r="D51">
        <v>6</v>
      </c>
      <c r="E51">
        <v>1992</v>
      </c>
      <c r="F51">
        <v>87.9</v>
      </c>
      <c r="G51">
        <v>18.600000000000001</v>
      </c>
      <c r="H51">
        <v>15.9</v>
      </c>
      <c r="I51">
        <v>2.7</v>
      </c>
      <c r="J51">
        <v>14</v>
      </c>
      <c r="K51">
        <v>91.9</v>
      </c>
      <c r="L51">
        <v>242.7</v>
      </c>
      <c r="M51">
        <v>426</v>
      </c>
      <c r="N51">
        <v>410</v>
      </c>
      <c r="O51">
        <v>521</v>
      </c>
      <c r="P51">
        <v>111</v>
      </c>
      <c r="Q51">
        <v>364</v>
      </c>
      <c r="R51">
        <v>544</v>
      </c>
      <c r="S51">
        <v>180</v>
      </c>
      <c r="T51">
        <v>174</v>
      </c>
      <c r="U51">
        <v>381</v>
      </c>
      <c r="V51">
        <v>390</v>
      </c>
      <c r="W51">
        <v>500</v>
      </c>
      <c r="X51">
        <v>2.79</v>
      </c>
    </row>
    <row r="52" spans="1:24" hidden="1" outlineLevel="2" x14ac:dyDescent="0.25">
      <c r="A52" t="str">
        <f t="shared" si="10"/>
        <v>AK10 - 1992</v>
      </c>
      <c r="B52" t="s">
        <v>39</v>
      </c>
      <c r="C52">
        <v>5</v>
      </c>
      <c r="D52">
        <v>7</v>
      </c>
      <c r="E52">
        <v>1992</v>
      </c>
      <c r="F52">
        <v>88.3</v>
      </c>
      <c r="G52">
        <v>18.899999999999999</v>
      </c>
      <c r="H52">
        <v>17.399999999999999</v>
      </c>
      <c r="I52">
        <v>1.5</v>
      </c>
      <c r="J52">
        <v>7</v>
      </c>
      <c r="K52">
        <v>93.6</v>
      </c>
      <c r="L52">
        <v>244.9</v>
      </c>
      <c r="M52">
        <v>419</v>
      </c>
      <c r="N52">
        <v>409</v>
      </c>
      <c r="O52">
        <v>535</v>
      </c>
      <c r="P52">
        <v>126</v>
      </c>
      <c r="Q52">
        <v>347</v>
      </c>
      <c r="R52">
        <v>563</v>
      </c>
      <c r="S52">
        <v>216</v>
      </c>
      <c r="T52">
        <v>256.2</v>
      </c>
      <c r="U52">
        <v>421</v>
      </c>
      <c r="V52">
        <v>409</v>
      </c>
      <c r="W52">
        <v>500</v>
      </c>
      <c r="X52">
        <v>2.79</v>
      </c>
    </row>
    <row r="53" spans="1:24" hidden="1" outlineLevel="2" x14ac:dyDescent="0.25">
      <c r="A53" t="str">
        <f t="shared" si="10"/>
        <v>AK10 - 1992</v>
      </c>
      <c r="B53" t="s">
        <v>39</v>
      </c>
      <c r="C53">
        <v>6</v>
      </c>
      <c r="D53">
        <v>7</v>
      </c>
      <c r="E53">
        <v>1992</v>
      </c>
      <c r="F53">
        <v>114.3</v>
      </c>
      <c r="G53">
        <v>16.8</v>
      </c>
      <c r="H53">
        <v>16.8</v>
      </c>
      <c r="I53">
        <v>0</v>
      </c>
      <c r="J53">
        <v>0</v>
      </c>
      <c r="K53">
        <v>111.8</v>
      </c>
      <c r="L53">
        <v>410.4</v>
      </c>
      <c r="M53">
        <v>370</v>
      </c>
      <c r="N53">
        <v>370</v>
      </c>
      <c r="Q53">
        <v>326</v>
      </c>
      <c r="R53">
        <v>486</v>
      </c>
      <c r="S53">
        <v>160</v>
      </c>
      <c r="T53">
        <v>272.7</v>
      </c>
      <c r="U53">
        <v>388</v>
      </c>
      <c r="V53">
        <v>387</v>
      </c>
      <c r="W53">
        <v>500</v>
      </c>
      <c r="X53">
        <v>2.79</v>
      </c>
    </row>
    <row r="54" spans="1:24" hidden="1" outlineLevel="2" x14ac:dyDescent="0.25">
      <c r="A54" t="str">
        <f t="shared" si="10"/>
        <v>AK10 - 1992</v>
      </c>
      <c r="B54" t="s">
        <v>39</v>
      </c>
      <c r="C54">
        <v>7</v>
      </c>
      <c r="D54">
        <v>7</v>
      </c>
      <c r="E54">
        <v>1992</v>
      </c>
      <c r="F54">
        <v>104.9</v>
      </c>
      <c r="G54">
        <v>13.8</v>
      </c>
      <c r="H54">
        <v>12.9</v>
      </c>
      <c r="I54">
        <v>0.9</v>
      </c>
      <c r="J54">
        <v>6</v>
      </c>
      <c r="K54">
        <v>85</v>
      </c>
      <c r="L54">
        <v>345.7</v>
      </c>
      <c r="M54">
        <v>359</v>
      </c>
      <c r="N54">
        <v>348</v>
      </c>
      <c r="O54">
        <v>514</v>
      </c>
      <c r="P54">
        <v>166</v>
      </c>
      <c r="Q54">
        <v>293</v>
      </c>
      <c r="R54">
        <v>517</v>
      </c>
      <c r="S54">
        <v>224</v>
      </c>
      <c r="T54">
        <v>289.2</v>
      </c>
      <c r="U54">
        <v>379</v>
      </c>
      <c r="V54">
        <v>380</v>
      </c>
      <c r="W54">
        <v>500</v>
      </c>
      <c r="X54">
        <v>2.79</v>
      </c>
    </row>
    <row r="55" spans="1:24" hidden="1" outlineLevel="2" x14ac:dyDescent="0.25">
      <c r="A55" t="str">
        <f t="shared" si="10"/>
        <v>AK10 - 1992</v>
      </c>
      <c r="B55" t="s">
        <v>39</v>
      </c>
      <c r="C55">
        <v>8</v>
      </c>
      <c r="D55">
        <v>7</v>
      </c>
      <c r="E55">
        <v>1992</v>
      </c>
      <c r="F55">
        <v>136.6</v>
      </c>
      <c r="G55">
        <v>13.5</v>
      </c>
      <c r="H55">
        <v>12.3</v>
      </c>
      <c r="I55">
        <v>1.2</v>
      </c>
      <c r="J55">
        <v>8</v>
      </c>
      <c r="K55">
        <v>110.1</v>
      </c>
      <c r="L55">
        <v>586.20000000000005</v>
      </c>
      <c r="M55">
        <v>374</v>
      </c>
      <c r="N55">
        <v>358</v>
      </c>
      <c r="O55">
        <v>533</v>
      </c>
      <c r="P55">
        <v>175</v>
      </c>
      <c r="Q55">
        <v>297</v>
      </c>
      <c r="R55">
        <v>547</v>
      </c>
      <c r="S55">
        <v>250</v>
      </c>
      <c r="T55">
        <v>228.9</v>
      </c>
      <c r="U55">
        <v>379</v>
      </c>
      <c r="V55">
        <v>377</v>
      </c>
      <c r="W55">
        <v>500</v>
      </c>
      <c r="X55">
        <v>2.79</v>
      </c>
    </row>
    <row r="56" spans="1:24" hidden="1" outlineLevel="2" x14ac:dyDescent="0.25">
      <c r="A56" t="str">
        <f t="shared" si="10"/>
        <v>AK10 - 1992</v>
      </c>
      <c r="B56" t="s">
        <v>39</v>
      </c>
      <c r="C56">
        <v>9</v>
      </c>
      <c r="D56">
        <v>6</v>
      </c>
      <c r="E56">
        <v>1992</v>
      </c>
      <c r="F56">
        <v>40.700000000000003</v>
      </c>
      <c r="G56">
        <v>17.7</v>
      </c>
      <c r="H56">
        <v>16.8</v>
      </c>
      <c r="I56">
        <v>0.9</v>
      </c>
      <c r="J56">
        <v>5</v>
      </c>
      <c r="K56">
        <v>35.4</v>
      </c>
      <c r="L56">
        <v>52</v>
      </c>
      <c r="M56">
        <v>370</v>
      </c>
      <c r="N56">
        <v>362</v>
      </c>
      <c r="O56">
        <v>532</v>
      </c>
      <c r="P56">
        <v>170</v>
      </c>
      <c r="Q56">
        <v>292</v>
      </c>
      <c r="R56">
        <v>550</v>
      </c>
      <c r="S56">
        <v>258</v>
      </c>
      <c r="T56">
        <v>273.3</v>
      </c>
      <c r="U56">
        <v>377</v>
      </c>
      <c r="V56">
        <v>375</v>
      </c>
      <c r="W56">
        <v>500</v>
      </c>
      <c r="X56">
        <v>2.79</v>
      </c>
    </row>
    <row r="57" spans="1:24" hidden="1" outlineLevel="2" x14ac:dyDescent="0.25">
      <c r="A57" t="str">
        <f t="shared" si="10"/>
        <v>AK10 - 1992</v>
      </c>
      <c r="B57" t="s">
        <v>39</v>
      </c>
      <c r="C57">
        <v>10</v>
      </c>
      <c r="D57">
        <v>7</v>
      </c>
      <c r="E57">
        <v>1992</v>
      </c>
      <c r="F57">
        <v>68.900000000000006</v>
      </c>
      <c r="G57">
        <v>11.1</v>
      </c>
      <c r="H57">
        <v>10.199999999999999</v>
      </c>
      <c r="I57">
        <v>0.9</v>
      </c>
      <c r="J57">
        <v>8</v>
      </c>
      <c r="K57">
        <v>44.2</v>
      </c>
      <c r="L57">
        <v>149.1</v>
      </c>
      <c r="M57">
        <v>393</v>
      </c>
      <c r="N57">
        <v>379</v>
      </c>
      <c r="O57">
        <v>547</v>
      </c>
      <c r="P57">
        <v>168</v>
      </c>
      <c r="Q57">
        <v>334</v>
      </c>
      <c r="R57">
        <v>569</v>
      </c>
      <c r="S57">
        <v>235</v>
      </c>
      <c r="T57">
        <v>203.4</v>
      </c>
      <c r="U57">
        <v>405</v>
      </c>
      <c r="V57">
        <v>408</v>
      </c>
      <c r="W57">
        <v>500</v>
      </c>
      <c r="X57">
        <v>2.79</v>
      </c>
    </row>
    <row r="58" spans="1:24" hidden="1" outlineLevel="2" x14ac:dyDescent="0.25">
      <c r="A58" t="str">
        <f t="shared" si="10"/>
        <v>AK10 - 1992</v>
      </c>
      <c r="B58" t="s">
        <v>39</v>
      </c>
      <c r="C58">
        <v>11</v>
      </c>
      <c r="D58">
        <v>7</v>
      </c>
      <c r="E58">
        <v>1992</v>
      </c>
      <c r="F58">
        <v>53.7</v>
      </c>
      <c r="G58">
        <v>12.3</v>
      </c>
      <c r="H58">
        <v>12</v>
      </c>
      <c r="I58">
        <v>0.3</v>
      </c>
      <c r="J58">
        <v>2</v>
      </c>
      <c r="K58">
        <v>36.700000000000003</v>
      </c>
      <c r="L58">
        <v>90.6</v>
      </c>
      <c r="M58">
        <v>348</v>
      </c>
      <c r="N58">
        <v>344</v>
      </c>
      <c r="O58">
        <v>504</v>
      </c>
      <c r="P58">
        <v>160</v>
      </c>
      <c r="Q58">
        <v>275</v>
      </c>
      <c r="R58">
        <v>504</v>
      </c>
      <c r="S58">
        <v>229</v>
      </c>
      <c r="T58">
        <v>249.6</v>
      </c>
      <c r="U58">
        <v>367</v>
      </c>
      <c r="V58">
        <v>369</v>
      </c>
      <c r="W58">
        <v>500</v>
      </c>
      <c r="X58">
        <v>2.79</v>
      </c>
    </row>
    <row r="59" spans="1:24" outlineLevel="1" collapsed="1" x14ac:dyDescent="0.25">
      <c r="A59" s="8" t="s">
        <v>174</v>
      </c>
      <c r="D59">
        <f t="shared" ref="D59:V59" si="11">SUBTOTAL(1,D48:D58)</f>
        <v>6.8181818181818183</v>
      </c>
      <c r="E59">
        <f t="shared" si="11"/>
        <v>1992</v>
      </c>
      <c r="F59">
        <f t="shared" si="11"/>
        <v>88.600000000000009</v>
      </c>
      <c r="G59">
        <f t="shared" si="11"/>
        <v>15.654545454545454</v>
      </c>
      <c r="H59">
        <f t="shared" si="11"/>
        <v>14.454545454545455</v>
      </c>
      <c r="I59">
        <f t="shared" si="11"/>
        <v>1.2000000000000002</v>
      </c>
      <c r="J59">
        <f t="shared" si="11"/>
        <v>7</v>
      </c>
      <c r="K59">
        <f t="shared" si="11"/>
        <v>77.86363636363636</v>
      </c>
      <c r="L59">
        <f t="shared" si="11"/>
        <v>272.04545454545456</v>
      </c>
      <c r="M59">
        <f t="shared" si="11"/>
        <v>389.18181818181819</v>
      </c>
      <c r="N59">
        <f t="shared" si="11"/>
        <v>378.36363636363637</v>
      </c>
      <c r="O59">
        <f t="shared" si="11"/>
        <v>529.9</v>
      </c>
      <c r="P59">
        <f t="shared" si="11"/>
        <v>150.69999999999999</v>
      </c>
      <c r="Q59">
        <f t="shared" si="11"/>
        <v>320.72727272727275</v>
      </c>
      <c r="R59">
        <f t="shared" si="11"/>
        <v>541.36363636363637</v>
      </c>
      <c r="S59">
        <f t="shared" si="11"/>
        <v>220.63636363636363</v>
      </c>
      <c r="T59">
        <f t="shared" si="11"/>
        <v>240.51818181818183</v>
      </c>
      <c r="U59">
        <f t="shared" si="11"/>
        <v>395.18181818181819</v>
      </c>
      <c r="V59">
        <f t="shared" si="11"/>
        <v>394</v>
      </c>
    </row>
    <row r="60" spans="1:24" hidden="1" outlineLevel="2" x14ac:dyDescent="0.25">
      <c r="A60" t="str">
        <f t="shared" ref="A60:A70" si="12">CONCATENATE(B60," - ",E60)</f>
        <v>AK10 - 1993</v>
      </c>
      <c r="B60" t="s">
        <v>39</v>
      </c>
      <c r="C60">
        <v>1</v>
      </c>
      <c r="D60">
        <v>8</v>
      </c>
      <c r="E60">
        <v>1993</v>
      </c>
      <c r="F60">
        <v>134.69999999999999</v>
      </c>
      <c r="G60">
        <v>19.2</v>
      </c>
      <c r="H60">
        <v>16.8</v>
      </c>
      <c r="I60">
        <v>2.4</v>
      </c>
      <c r="J60">
        <v>12</v>
      </c>
      <c r="K60">
        <v>150.9</v>
      </c>
      <c r="L60">
        <v>570</v>
      </c>
      <c r="M60">
        <v>423</v>
      </c>
      <c r="N60">
        <v>408</v>
      </c>
      <c r="O60">
        <v>526</v>
      </c>
      <c r="P60">
        <v>118</v>
      </c>
      <c r="Q60">
        <v>346</v>
      </c>
      <c r="R60">
        <v>544</v>
      </c>
      <c r="S60">
        <v>198</v>
      </c>
      <c r="T60">
        <v>215.7</v>
      </c>
      <c r="U60">
        <v>428</v>
      </c>
      <c r="V60">
        <v>418</v>
      </c>
      <c r="W60">
        <v>500</v>
      </c>
      <c r="X60">
        <v>2.79</v>
      </c>
    </row>
    <row r="61" spans="1:24" hidden="1" outlineLevel="2" x14ac:dyDescent="0.25">
      <c r="A61" t="str">
        <f t="shared" si="12"/>
        <v>AK10 - 1993</v>
      </c>
      <c r="B61" t="s">
        <v>39</v>
      </c>
      <c r="C61">
        <v>2</v>
      </c>
      <c r="D61">
        <v>8</v>
      </c>
      <c r="E61">
        <v>1993</v>
      </c>
      <c r="F61">
        <v>114.7</v>
      </c>
      <c r="G61">
        <v>10.8</v>
      </c>
      <c r="H61">
        <v>8.4</v>
      </c>
      <c r="I61">
        <v>2.4</v>
      </c>
      <c r="J61">
        <v>22</v>
      </c>
      <c r="K61">
        <v>74.2</v>
      </c>
      <c r="L61">
        <v>413.3</v>
      </c>
      <c r="M61">
        <v>414</v>
      </c>
      <c r="N61">
        <v>376</v>
      </c>
      <c r="O61">
        <v>549</v>
      </c>
      <c r="P61">
        <v>173</v>
      </c>
      <c r="Q61">
        <v>328</v>
      </c>
      <c r="R61">
        <v>570</v>
      </c>
      <c r="S61">
        <v>242</v>
      </c>
      <c r="T61">
        <v>237</v>
      </c>
      <c r="U61">
        <v>407</v>
      </c>
      <c r="V61">
        <v>410</v>
      </c>
      <c r="W61">
        <v>500</v>
      </c>
      <c r="X61">
        <v>2.79</v>
      </c>
    </row>
    <row r="62" spans="1:24" hidden="1" outlineLevel="2" x14ac:dyDescent="0.25">
      <c r="A62" t="str">
        <f t="shared" si="12"/>
        <v>AK10 - 1993</v>
      </c>
      <c r="B62" t="s">
        <v>39</v>
      </c>
      <c r="C62">
        <v>3</v>
      </c>
      <c r="D62">
        <v>8</v>
      </c>
      <c r="E62">
        <v>1993</v>
      </c>
      <c r="F62">
        <v>79.400000000000006</v>
      </c>
      <c r="G62">
        <v>19.5</v>
      </c>
      <c r="H62">
        <v>17.7</v>
      </c>
      <c r="I62">
        <v>1.8</v>
      </c>
      <c r="J62">
        <v>9</v>
      </c>
      <c r="K62">
        <v>85.3</v>
      </c>
      <c r="L62">
        <v>198.1</v>
      </c>
      <c r="M62">
        <v>406</v>
      </c>
      <c r="N62">
        <v>395</v>
      </c>
      <c r="O62">
        <v>516</v>
      </c>
      <c r="P62">
        <v>121</v>
      </c>
      <c r="Q62">
        <v>336</v>
      </c>
      <c r="R62">
        <v>543</v>
      </c>
      <c r="S62">
        <v>207</v>
      </c>
      <c r="T62">
        <v>245.7</v>
      </c>
      <c r="U62">
        <v>415</v>
      </c>
      <c r="V62">
        <v>411</v>
      </c>
      <c r="W62">
        <v>500</v>
      </c>
      <c r="X62">
        <v>2.79</v>
      </c>
    </row>
    <row r="63" spans="1:24" hidden="1" outlineLevel="2" x14ac:dyDescent="0.25">
      <c r="A63" t="str">
        <f t="shared" si="12"/>
        <v>AK10 - 1993</v>
      </c>
      <c r="B63" t="s">
        <v>39</v>
      </c>
      <c r="C63">
        <v>4</v>
      </c>
      <c r="D63">
        <v>7</v>
      </c>
      <c r="E63">
        <v>1993</v>
      </c>
      <c r="F63">
        <v>103.5</v>
      </c>
      <c r="G63">
        <v>15.6</v>
      </c>
      <c r="H63">
        <v>15.6</v>
      </c>
      <c r="I63">
        <v>0</v>
      </c>
      <c r="J63">
        <v>0</v>
      </c>
      <c r="K63">
        <v>93.8</v>
      </c>
      <c r="L63">
        <v>336.5</v>
      </c>
      <c r="M63">
        <v>376</v>
      </c>
      <c r="N63">
        <v>376</v>
      </c>
      <c r="Q63">
        <v>310</v>
      </c>
      <c r="R63">
        <v>466</v>
      </c>
      <c r="S63">
        <v>156</v>
      </c>
      <c r="T63">
        <v>174</v>
      </c>
      <c r="U63">
        <v>381</v>
      </c>
      <c r="V63">
        <v>390</v>
      </c>
      <c r="W63">
        <v>500</v>
      </c>
      <c r="X63">
        <v>2.79</v>
      </c>
    </row>
    <row r="64" spans="1:24" hidden="1" outlineLevel="2" x14ac:dyDescent="0.25">
      <c r="A64" t="str">
        <f t="shared" si="12"/>
        <v>AK10 - 1993</v>
      </c>
      <c r="B64" t="s">
        <v>39</v>
      </c>
      <c r="C64">
        <v>5</v>
      </c>
      <c r="D64">
        <v>8</v>
      </c>
      <c r="E64">
        <v>1993</v>
      </c>
      <c r="F64">
        <v>103</v>
      </c>
      <c r="G64">
        <v>14.7</v>
      </c>
      <c r="H64">
        <v>14.1</v>
      </c>
      <c r="I64">
        <v>0.6</v>
      </c>
      <c r="J64">
        <v>4</v>
      </c>
      <c r="K64">
        <v>88.3</v>
      </c>
      <c r="L64">
        <v>333.3</v>
      </c>
      <c r="M64">
        <v>413</v>
      </c>
      <c r="N64">
        <v>409</v>
      </c>
      <c r="O64">
        <v>510</v>
      </c>
      <c r="P64">
        <v>101</v>
      </c>
      <c r="Q64">
        <v>345</v>
      </c>
      <c r="R64">
        <v>521</v>
      </c>
      <c r="S64">
        <v>176</v>
      </c>
      <c r="T64">
        <v>256.2</v>
      </c>
      <c r="U64">
        <v>421</v>
      </c>
      <c r="V64">
        <v>409</v>
      </c>
      <c r="W64">
        <v>500</v>
      </c>
      <c r="X64">
        <v>2.79</v>
      </c>
    </row>
    <row r="65" spans="1:24" hidden="1" outlineLevel="2" x14ac:dyDescent="0.25">
      <c r="A65" t="str">
        <f t="shared" si="12"/>
        <v>AK10 - 1993</v>
      </c>
      <c r="B65" t="s">
        <v>39</v>
      </c>
      <c r="C65">
        <v>6</v>
      </c>
      <c r="D65">
        <v>8</v>
      </c>
      <c r="E65">
        <v>1993</v>
      </c>
      <c r="F65">
        <v>123.6</v>
      </c>
      <c r="G65">
        <v>9.3000000000000007</v>
      </c>
      <c r="H65">
        <v>9</v>
      </c>
      <c r="I65">
        <v>0.3</v>
      </c>
      <c r="J65">
        <v>3</v>
      </c>
      <c r="K65">
        <v>69.5</v>
      </c>
      <c r="L65">
        <v>479.9</v>
      </c>
      <c r="M65">
        <v>368</v>
      </c>
      <c r="N65">
        <v>363</v>
      </c>
      <c r="O65">
        <v>507</v>
      </c>
      <c r="P65">
        <v>144</v>
      </c>
      <c r="Q65">
        <v>296</v>
      </c>
      <c r="R65">
        <v>507</v>
      </c>
      <c r="S65">
        <v>211</v>
      </c>
      <c r="T65">
        <v>272.7</v>
      </c>
      <c r="U65">
        <v>388</v>
      </c>
      <c r="V65">
        <v>387</v>
      </c>
      <c r="W65">
        <v>500</v>
      </c>
      <c r="X65">
        <v>2.79</v>
      </c>
    </row>
    <row r="66" spans="1:24" hidden="1" outlineLevel="2" x14ac:dyDescent="0.25">
      <c r="A66" t="str">
        <f t="shared" si="12"/>
        <v>AK10 - 1993</v>
      </c>
      <c r="B66" t="s">
        <v>39</v>
      </c>
      <c r="C66">
        <v>7</v>
      </c>
      <c r="D66">
        <v>8</v>
      </c>
      <c r="E66">
        <v>1993</v>
      </c>
      <c r="F66">
        <v>120.5</v>
      </c>
      <c r="G66">
        <v>15.6</v>
      </c>
      <c r="H66">
        <v>15.3</v>
      </c>
      <c r="I66">
        <v>0.3</v>
      </c>
      <c r="J66">
        <v>1</v>
      </c>
      <c r="K66">
        <v>110.5</v>
      </c>
      <c r="L66">
        <v>456.2</v>
      </c>
      <c r="M66">
        <v>370</v>
      </c>
      <c r="N66">
        <v>368</v>
      </c>
      <c r="O66">
        <v>510</v>
      </c>
      <c r="P66">
        <v>142</v>
      </c>
      <c r="Q66">
        <v>294</v>
      </c>
      <c r="R66">
        <v>510</v>
      </c>
      <c r="S66">
        <v>216</v>
      </c>
      <c r="T66">
        <v>289.2</v>
      </c>
      <c r="U66">
        <v>379</v>
      </c>
      <c r="V66">
        <v>380</v>
      </c>
      <c r="W66">
        <v>500</v>
      </c>
      <c r="X66">
        <v>2.79</v>
      </c>
    </row>
    <row r="67" spans="1:24" hidden="1" outlineLevel="2" x14ac:dyDescent="0.25">
      <c r="A67" t="str">
        <f t="shared" si="12"/>
        <v>AK10 - 1993</v>
      </c>
      <c r="B67" t="s">
        <v>39</v>
      </c>
      <c r="C67">
        <v>8</v>
      </c>
      <c r="D67">
        <v>8</v>
      </c>
      <c r="E67">
        <v>1993</v>
      </c>
      <c r="F67">
        <v>150.69999999999999</v>
      </c>
      <c r="G67">
        <v>14.1</v>
      </c>
      <c r="H67">
        <v>13.2</v>
      </c>
      <c r="I67">
        <v>0.9</v>
      </c>
      <c r="J67">
        <v>6</v>
      </c>
      <c r="K67">
        <v>127.3</v>
      </c>
      <c r="L67">
        <v>713.5</v>
      </c>
      <c r="M67">
        <v>377</v>
      </c>
      <c r="N67">
        <v>366</v>
      </c>
      <c r="O67">
        <v>539</v>
      </c>
      <c r="P67">
        <v>173</v>
      </c>
      <c r="Q67">
        <v>292</v>
      </c>
      <c r="R67">
        <v>562</v>
      </c>
      <c r="S67">
        <v>270</v>
      </c>
      <c r="T67">
        <v>228.9</v>
      </c>
      <c r="U67">
        <v>379</v>
      </c>
      <c r="V67">
        <v>377</v>
      </c>
      <c r="W67">
        <v>500</v>
      </c>
      <c r="X67">
        <v>2.79</v>
      </c>
    </row>
    <row r="68" spans="1:24" hidden="1" outlineLevel="2" x14ac:dyDescent="0.25">
      <c r="A68" t="str">
        <f t="shared" si="12"/>
        <v>AK10 - 1993</v>
      </c>
      <c r="B68" t="s">
        <v>39</v>
      </c>
      <c r="C68">
        <v>9</v>
      </c>
      <c r="D68">
        <v>7</v>
      </c>
      <c r="E68">
        <v>1993</v>
      </c>
      <c r="F68">
        <v>59</v>
      </c>
      <c r="G68">
        <v>18.3</v>
      </c>
      <c r="H68">
        <v>18.3</v>
      </c>
      <c r="I68">
        <v>0</v>
      </c>
      <c r="J68">
        <v>0</v>
      </c>
      <c r="K68">
        <v>57.3</v>
      </c>
      <c r="L68">
        <v>109.4</v>
      </c>
      <c r="M68">
        <v>373</v>
      </c>
      <c r="N68">
        <v>373</v>
      </c>
      <c r="Q68">
        <v>300</v>
      </c>
      <c r="R68">
        <v>496</v>
      </c>
      <c r="S68">
        <v>196</v>
      </c>
      <c r="T68">
        <v>273.3</v>
      </c>
      <c r="U68">
        <v>377</v>
      </c>
      <c r="V68">
        <v>375</v>
      </c>
      <c r="W68">
        <v>500</v>
      </c>
      <c r="X68">
        <v>2.79</v>
      </c>
    </row>
    <row r="69" spans="1:24" hidden="1" outlineLevel="2" x14ac:dyDescent="0.25">
      <c r="A69" t="str">
        <f t="shared" si="12"/>
        <v>AK10 - 1993</v>
      </c>
      <c r="B69" t="s">
        <v>39</v>
      </c>
      <c r="C69">
        <v>10</v>
      </c>
      <c r="D69">
        <v>8</v>
      </c>
      <c r="E69">
        <v>1993</v>
      </c>
      <c r="F69">
        <v>76.400000000000006</v>
      </c>
      <c r="G69">
        <v>7.5</v>
      </c>
      <c r="H69">
        <v>6.3</v>
      </c>
      <c r="I69">
        <v>1.2</v>
      </c>
      <c r="J69">
        <v>16</v>
      </c>
      <c r="K69">
        <v>34.200000000000003</v>
      </c>
      <c r="L69">
        <v>183.4</v>
      </c>
      <c r="M69">
        <v>390</v>
      </c>
      <c r="N69">
        <v>362</v>
      </c>
      <c r="O69">
        <v>536</v>
      </c>
      <c r="P69">
        <v>174</v>
      </c>
      <c r="Q69">
        <v>323</v>
      </c>
      <c r="R69">
        <v>550</v>
      </c>
      <c r="S69">
        <v>227</v>
      </c>
      <c r="T69">
        <v>203.4</v>
      </c>
      <c r="U69">
        <v>405</v>
      </c>
      <c r="V69">
        <v>408</v>
      </c>
      <c r="W69">
        <v>500</v>
      </c>
      <c r="X69">
        <v>2.79</v>
      </c>
    </row>
    <row r="70" spans="1:24" hidden="1" outlineLevel="2" x14ac:dyDescent="0.25">
      <c r="A70" t="str">
        <f t="shared" si="12"/>
        <v>AK10 - 1993</v>
      </c>
      <c r="B70" t="s">
        <v>39</v>
      </c>
      <c r="C70">
        <v>11</v>
      </c>
      <c r="D70">
        <v>8</v>
      </c>
      <c r="E70">
        <v>1993</v>
      </c>
      <c r="F70">
        <v>60.9</v>
      </c>
      <c r="G70">
        <v>7.2</v>
      </c>
      <c r="H70">
        <v>6.6</v>
      </c>
      <c r="I70">
        <v>0.6</v>
      </c>
      <c r="J70">
        <v>8</v>
      </c>
      <c r="K70">
        <v>25.9</v>
      </c>
      <c r="L70">
        <v>116.5</v>
      </c>
      <c r="M70">
        <v>362</v>
      </c>
      <c r="N70">
        <v>348</v>
      </c>
      <c r="O70">
        <v>522</v>
      </c>
      <c r="P70">
        <v>174</v>
      </c>
      <c r="Q70">
        <v>276</v>
      </c>
      <c r="R70">
        <v>527</v>
      </c>
      <c r="S70">
        <v>251</v>
      </c>
      <c r="T70">
        <v>249.6</v>
      </c>
      <c r="U70">
        <v>367</v>
      </c>
      <c r="V70">
        <v>369</v>
      </c>
      <c r="W70">
        <v>500</v>
      </c>
      <c r="X70">
        <v>2.79</v>
      </c>
    </row>
    <row r="71" spans="1:24" outlineLevel="1" collapsed="1" x14ac:dyDescent="0.25">
      <c r="A71" s="8" t="s">
        <v>175</v>
      </c>
      <c r="D71">
        <f t="shared" ref="D71:V71" si="13">SUBTOTAL(1,D60:D70)</f>
        <v>7.8181818181818183</v>
      </c>
      <c r="E71">
        <f t="shared" si="13"/>
        <v>1993</v>
      </c>
      <c r="F71">
        <f t="shared" si="13"/>
        <v>102.4</v>
      </c>
      <c r="G71">
        <f t="shared" si="13"/>
        <v>13.799999999999999</v>
      </c>
      <c r="H71">
        <f t="shared" si="13"/>
        <v>12.845454545454546</v>
      </c>
      <c r="I71">
        <f t="shared" si="13"/>
        <v>0.95454545454545436</v>
      </c>
      <c r="J71">
        <f t="shared" si="13"/>
        <v>7.3636363636363633</v>
      </c>
      <c r="K71">
        <f t="shared" si="13"/>
        <v>83.381818181818176</v>
      </c>
      <c r="L71">
        <f t="shared" si="13"/>
        <v>355.46363636363634</v>
      </c>
      <c r="M71">
        <f t="shared" si="13"/>
        <v>388.36363636363637</v>
      </c>
      <c r="N71">
        <f t="shared" si="13"/>
        <v>376.72727272727275</v>
      </c>
      <c r="O71">
        <f t="shared" si="13"/>
        <v>523.88888888888891</v>
      </c>
      <c r="P71">
        <f t="shared" si="13"/>
        <v>146.66666666666666</v>
      </c>
      <c r="Q71">
        <f t="shared" si="13"/>
        <v>313.27272727272725</v>
      </c>
      <c r="R71">
        <f t="shared" si="13"/>
        <v>526.90909090909088</v>
      </c>
      <c r="S71">
        <f t="shared" si="13"/>
        <v>213.63636363636363</v>
      </c>
      <c r="T71">
        <f t="shared" si="13"/>
        <v>240.51818181818183</v>
      </c>
      <c r="U71">
        <f t="shared" si="13"/>
        <v>395.18181818181819</v>
      </c>
      <c r="V71">
        <f t="shared" si="13"/>
        <v>394</v>
      </c>
    </row>
    <row r="72" spans="1:24" hidden="1" outlineLevel="2" x14ac:dyDescent="0.25">
      <c r="A72" t="str">
        <f t="shared" ref="A72:A82" si="14">CONCATENATE(B72," - ",E72)</f>
        <v>AK10 - 1994</v>
      </c>
      <c r="B72" t="s">
        <v>39</v>
      </c>
      <c r="C72">
        <v>1</v>
      </c>
      <c r="D72">
        <v>9</v>
      </c>
      <c r="E72">
        <v>1994</v>
      </c>
      <c r="F72">
        <v>151.19999999999999</v>
      </c>
      <c r="G72">
        <v>16.5</v>
      </c>
      <c r="H72">
        <v>14.1</v>
      </c>
      <c r="I72">
        <v>2.4</v>
      </c>
      <c r="J72">
        <v>14</v>
      </c>
      <c r="K72">
        <v>148.19999999999999</v>
      </c>
      <c r="L72">
        <v>718.2</v>
      </c>
      <c r="M72">
        <v>429</v>
      </c>
      <c r="N72">
        <v>411</v>
      </c>
      <c r="O72">
        <v>531</v>
      </c>
      <c r="P72">
        <v>120</v>
      </c>
      <c r="Q72">
        <v>344</v>
      </c>
      <c r="R72">
        <v>577</v>
      </c>
      <c r="S72">
        <v>233</v>
      </c>
      <c r="T72">
        <v>215.7</v>
      </c>
      <c r="U72">
        <v>428</v>
      </c>
      <c r="V72">
        <v>418</v>
      </c>
      <c r="W72">
        <v>500</v>
      </c>
      <c r="X72">
        <v>2.79</v>
      </c>
    </row>
    <row r="73" spans="1:24" hidden="1" outlineLevel="2" x14ac:dyDescent="0.25">
      <c r="A73" t="str">
        <f t="shared" si="14"/>
        <v>AK10 - 1994</v>
      </c>
      <c r="B73" t="s">
        <v>39</v>
      </c>
      <c r="C73">
        <v>2</v>
      </c>
      <c r="D73">
        <v>9</v>
      </c>
      <c r="E73">
        <v>1994</v>
      </c>
      <c r="F73">
        <v>123.4</v>
      </c>
      <c r="G73">
        <v>8.6999999999999993</v>
      </c>
      <c r="H73">
        <v>6.9</v>
      </c>
      <c r="I73">
        <v>1.8</v>
      </c>
      <c r="J73">
        <v>20</v>
      </c>
      <c r="K73">
        <v>65.099999999999994</v>
      </c>
      <c r="L73">
        <v>478.4</v>
      </c>
      <c r="M73">
        <v>449</v>
      </c>
      <c r="N73">
        <v>423</v>
      </c>
      <c r="O73">
        <v>548</v>
      </c>
      <c r="P73">
        <v>125</v>
      </c>
      <c r="Q73">
        <v>370</v>
      </c>
      <c r="R73">
        <v>584</v>
      </c>
      <c r="S73">
        <v>214</v>
      </c>
      <c r="T73">
        <v>237</v>
      </c>
      <c r="U73">
        <v>407</v>
      </c>
      <c r="V73">
        <v>410</v>
      </c>
      <c r="W73">
        <v>500</v>
      </c>
      <c r="X73">
        <v>2.79</v>
      </c>
    </row>
    <row r="74" spans="1:24" hidden="1" outlineLevel="2" x14ac:dyDescent="0.25">
      <c r="A74" t="str">
        <f t="shared" si="14"/>
        <v>AK10 - 1994</v>
      </c>
      <c r="B74" t="s">
        <v>39</v>
      </c>
      <c r="C74">
        <v>3</v>
      </c>
      <c r="D74">
        <v>9</v>
      </c>
      <c r="E74">
        <v>1994</v>
      </c>
      <c r="F74">
        <v>102.2</v>
      </c>
      <c r="G74">
        <v>22.8</v>
      </c>
      <c r="H74">
        <v>21.9</v>
      </c>
      <c r="I74">
        <v>0.9</v>
      </c>
      <c r="J74">
        <v>3</v>
      </c>
      <c r="K74">
        <v>130.1</v>
      </c>
      <c r="L74">
        <v>328.1</v>
      </c>
      <c r="M74">
        <v>400</v>
      </c>
      <c r="N74">
        <v>394</v>
      </c>
      <c r="O74">
        <v>530</v>
      </c>
      <c r="P74">
        <v>136</v>
      </c>
      <c r="Q74">
        <v>340</v>
      </c>
      <c r="R74">
        <v>546</v>
      </c>
      <c r="S74">
        <v>206</v>
      </c>
      <c r="T74">
        <v>245.7</v>
      </c>
      <c r="U74">
        <v>415</v>
      </c>
      <c r="V74">
        <v>411</v>
      </c>
      <c r="W74">
        <v>500</v>
      </c>
      <c r="X74">
        <v>2.79</v>
      </c>
    </row>
    <row r="75" spans="1:24" hidden="1" outlineLevel="2" x14ac:dyDescent="0.25">
      <c r="A75" t="str">
        <f t="shared" si="14"/>
        <v>AK10 - 1994</v>
      </c>
      <c r="B75" t="s">
        <v>39</v>
      </c>
      <c r="C75">
        <v>4</v>
      </c>
      <c r="D75">
        <v>8</v>
      </c>
      <c r="E75">
        <v>1994</v>
      </c>
      <c r="F75">
        <v>108.6</v>
      </c>
      <c r="G75">
        <v>5.0999999999999996</v>
      </c>
      <c r="H75">
        <v>4.5</v>
      </c>
      <c r="I75">
        <v>0.6</v>
      </c>
      <c r="J75">
        <v>11</v>
      </c>
      <c r="K75">
        <v>34</v>
      </c>
      <c r="L75">
        <v>370.5</v>
      </c>
      <c r="M75">
        <v>371</v>
      </c>
      <c r="N75">
        <v>349</v>
      </c>
      <c r="O75">
        <v>532</v>
      </c>
      <c r="P75">
        <v>183</v>
      </c>
      <c r="Q75">
        <v>300</v>
      </c>
      <c r="R75">
        <v>556</v>
      </c>
      <c r="S75">
        <v>256</v>
      </c>
      <c r="T75">
        <v>174</v>
      </c>
      <c r="U75">
        <v>381</v>
      </c>
      <c r="V75">
        <v>390</v>
      </c>
      <c r="W75">
        <v>500</v>
      </c>
      <c r="X75">
        <v>2.79</v>
      </c>
    </row>
    <row r="76" spans="1:24" hidden="1" outlineLevel="2" x14ac:dyDescent="0.25">
      <c r="A76" t="str">
        <f t="shared" si="14"/>
        <v>AK10 - 1994</v>
      </c>
      <c r="B76" t="s">
        <v>39</v>
      </c>
      <c r="C76">
        <v>5</v>
      </c>
      <c r="D76">
        <v>9</v>
      </c>
      <c r="E76">
        <v>1994</v>
      </c>
      <c r="F76">
        <v>121.3</v>
      </c>
      <c r="G76">
        <v>18.3</v>
      </c>
      <c r="H76">
        <v>17.399999999999999</v>
      </c>
      <c r="I76">
        <v>0.9</v>
      </c>
      <c r="J76">
        <v>4</v>
      </c>
      <c r="K76">
        <v>129</v>
      </c>
      <c r="L76">
        <v>462.2</v>
      </c>
      <c r="M76">
        <v>404</v>
      </c>
      <c r="N76">
        <v>398</v>
      </c>
      <c r="O76">
        <v>521</v>
      </c>
      <c r="P76">
        <v>123</v>
      </c>
      <c r="Q76">
        <v>344</v>
      </c>
      <c r="R76">
        <v>534</v>
      </c>
      <c r="S76">
        <v>190</v>
      </c>
      <c r="T76">
        <v>256.2</v>
      </c>
      <c r="U76">
        <v>421</v>
      </c>
      <c r="V76">
        <v>409</v>
      </c>
      <c r="W76">
        <v>500</v>
      </c>
      <c r="X76">
        <v>2.79</v>
      </c>
    </row>
    <row r="77" spans="1:24" hidden="1" outlineLevel="2" x14ac:dyDescent="0.25">
      <c r="A77" t="str">
        <f t="shared" si="14"/>
        <v>AK10 - 1994</v>
      </c>
      <c r="B77" t="s">
        <v>39</v>
      </c>
      <c r="C77">
        <v>6</v>
      </c>
      <c r="D77">
        <v>9</v>
      </c>
      <c r="E77">
        <v>1994</v>
      </c>
      <c r="F77">
        <v>132.9</v>
      </c>
      <c r="G77">
        <v>9.3000000000000007</v>
      </c>
      <c r="H77">
        <v>9.3000000000000007</v>
      </c>
      <c r="I77">
        <v>0</v>
      </c>
      <c r="J77">
        <v>0</v>
      </c>
      <c r="K77">
        <v>74.900000000000006</v>
      </c>
      <c r="L77">
        <v>554.9</v>
      </c>
      <c r="M77">
        <v>373</v>
      </c>
      <c r="N77">
        <v>373</v>
      </c>
      <c r="Q77">
        <v>286</v>
      </c>
      <c r="R77">
        <v>463</v>
      </c>
      <c r="S77">
        <v>177</v>
      </c>
      <c r="T77">
        <v>272.7</v>
      </c>
      <c r="U77">
        <v>388</v>
      </c>
      <c r="V77">
        <v>387</v>
      </c>
      <c r="W77">
        <v>500</v>
      </c>
      <c r="X77">
        <v>2.79</v>
      </c>
    </row>
    <row r="78" spans="1:24" hidden="1" outlineLevel="2" x14ac:dyDescent="0.25">
      <c r="A78" t="str">
        <f t="shared" si="14"/>
        <v>AK10 - 1994</v>
      </c>
      <c r="B78" t="s">
        <v>39</v>
      </c>
      <c r="C78">
        <v>7</v>
      </c>
      <c r="D78">
        <v>9</v>
      </c>
      <c r="E78">
        <v>1994</v>
      </c>
      <c r="F78">
        <v>136.69999999999999</v>
      </c>
      <c r="G78">
        <v>16.2</v>
      </c>
      <c r="H78">
        <v>15.6</v>
      </c>
      <c r="I78">
        <v>0.6</v>
      </c>
      <c r="J78">
        <v>3</v>
      </c>
      <c r="K78">
        <v>130.9</v>
      </c>
      <c r="L78">
        <v>587.1</v>
      </c>
      <c r="M78">
        <v>388</v>
      </c>
      <c r="N78">
        <v>383</v>
      </c>
      <c r="O78">
        <v>519</v>
      </c>
      <c r="P78">
        <v>136</v>
      </c>
      <c r="Q78">
        <v>316</v>
      </c>
      <c r="R78">
        <v>531</v>
      </c>
      <c r="S78">
        <v>215</v>
      </c>
      <c r="T78">
        <v>289.2</v>
      </c>
      <c r="U78">
        <v>379</v>
      </c>
      <c r="V78">
        <v>380</v>
      </c>
      <c r="W78">
        <v>500</v>
      </c>
      <c r="X78">
        <v>2.79</v>
      </c>
    </row>
    <row r="79" spans="1:24" hidden="1" outlineLevel="2" x14ac:dyDescent="0.25">
      <c r="A79" t="str">
        <f t="shared" si="14"/>
        <v>AK10 - 1994</v>
      </c>
      <c r="B79" t="s">
        <v>39</v>
      </c>
      <c r="C79">
        <v>8</v>
      </c>
      <c r="D79">
        <v>9</v>
      </c>
      <c r="E79">
        <v>1994</v>
      </c>
      <c r="F79">
        <v>164.8</v>
      </c>
      <c r="G79">
        <v>14.1</v>
      </c>
      <c r="H79">
        <v>12.6</v>
      </c>
      <c r="I79">
        <v>1.5</v>
      </c>
      <c r="J79">
        <v>10</v>
      </c>
      <c r="K79">
        <v>139.80000000000001</v>
      </c>
      <c r="L79">
        <v>853.2</v>
      </c>
      <c r="M79">
        <v>392</v>
      </c>
      <c r="N79">
        <v>375</v>
      </c>
      <c r="O79">
        <v>529</v>
      </c>
      <c r="P79">
        <v>154</v>
      </c>
      <c r="Q79">
        <v>323</v>
      </c>
      <c r="R79">
        <v>553</v>
      </c>
      <c r="S79">
        <v>230</v>
      </c>
      <c r="T79">
        <v>228.9</v>
      </c>
      <c r="U79">
        <v>379</v>
      </c>
      <c r="V79">
        <v>377</v>
      </c>
      <c r="W79">
        <v>500</v>
      </c>
      <c r="X79">
        <v>2.79</v>
      </c>
    </row>
    <row r="80" spans="1:24" hidden="1" outlineLevel="2" x14ac:dyDescent="0.25">
      <c r="A80" t="str">
        <f t="shared" si="14"/>
        <v>AK10 - 1994</v>
      </c>
      <c r="B80" t="s">
        <v>39</v>
      </c>
      <c r="C80">
        <v>9</v>
      </c>
      <c r="D80">
        <v>8</v>
      </c>
      <c r="E80">
        <v>1994</v>
      </c>
      <c r="F80">
        <v>80.900000000000006</v>
      </c>
      <c r="G80">
        <v>21.9</v>
      </c>
      <c r="H80">
        <v>21.6</v>
      </c>
      <c r="I80">
        <v>0.3</v>
      </c>
      <c r="J80">
        <v>1</v>
      </c>
      <c r="K80">
        <v>96.3</v>
      </c>
      <c r="L80">
        <v>205.6</v>
      </c>
      <c r="M80">
        <v>356</v>
      </c>
      <c r="N80">
        <v>353</v>
      </c>
      <c r="O80">
        <v>539</v>
      </c>
      <c r="P80">
        <v>186</v>
      </c>
      <c r="Q80">
        <v>279</v>
      </c>
      <c r="R80">
        <v>539</v>
      </c>
      <c r="S80">
        <v>260</v>
      </c>
      <c r="T80">
        <v>273.3</v>
      </c>
      <c r="U80">
        <v>377</v>
      </c>
      <c r="V80">
        <v>375</v>
      </c>
      <c r="W80">
        <v>500</v>
      </c>
      <c r="X80">
        <v>2.79</v>
      </c>
    </row>
    <row r="81" spans="1:24" hidden="1" outlineLevel="2" x14ac:dyDescent="0.25">
      <c r="A81" t="str">
        <f t="shared" si="14"/>
        <v>AK10 - 1994</v>
      </c>
      <c r="B81" t="s">
        <v>39</v>
      </c>
      <c r="C81">
        <v>10</v>
      </c>
      <c r="D81">
        <v>9</v>
      </c>
      <c r="E81">
        <v>1994</v>
      </c>
      <c r="F81">
        <v>82.4</v>
      </c>
      <c r="G81">
        <v>6</v>
      </c>
      <c r="H81">
        <v>5.4</v>
      </c>
      <c r="I81">
        <v>0.6</v>
      </c>
      <c r="J81">
        <v>10</v>
      </c>
      <c r="K81">
        <v>29.9</v>
      </c>
      <c r="L81">
        <v>213.3</v>
      </c>
      <c r="M81">
        <v>375</v>
      </c>
      <c r="N81">
        <v>358</v>
      </c>
      <c r="O81">
        <v>523</v>
      </c>
      <c r="P81">
        <v>165</v>
      </c>
      <c r="Q81">
        <v>298</v>
      </c>
      <c r="R81">
        <v>536</v>
      </c>
      <c r="S81">
        <v>238</v>
      </c>
      <c r="T81">
        <v>203.4</v>
      </c>
      <c r="U81">
        <v>405</v>
      </c>
      <c r="V81">
        <v>408</v>
      </c>
      <c r="W81">
        <v>500</v>
      </c>
      <c r="X81">
        <v>2.79</v>
      </c>
    </row>
    <row r="82" spans="1:24" hidden="1" outlineLevel="2" x14ac:dyDescent="0.25">
      <c r="A82" t="str">
        <f t="shared" si="14"/>
        <v>AK10 - 1994</v>
      </c>
      <c r="B82" t="s">
        <v>39</v>
      </c>
      <c r="C82">
        <v>11</v>
      </c>
      <c r="D82">
        <v>9</v>
      </c>
      <c r="E82">
        <v>1994</v>
      </c>
      <c r="F82">
        <v>68.400000000000006</v>
      </c>
      <c r="G82">
        <v>7.5</v>
      </c>
      <c r="H82">
        <v>6.9</v>
      </c>
      <c r="I82">
        <v>0.6</v>
      </c>
      <c r="J82">
        <v>8</v>
      </c>
      <c r="K82">
        <v>30.5</v>
      </c>
      <c r="L82">
        <v>147</v>
      </c>
      <c r="M82">
        <v>375</v>
      </c>
      <c r="N82">
        <v>363</v>
      </c>
      <c r="O82">
        <v>515</v>
      </c>
      <c r="P82">
        <v>152</v>
      </c>
      <c r="Q82">
        <v>295</v>
      </c>
      <c r="R82">
        <v>523</v>
      </c>
      <c r="S82">
        <v>228</v>
      </c>
      <c r="T82">
        <v>249.6</v>
      </c>
      <c r="U82">
        <v>367</v>
      </c>
      <c r="V82">
        <v>369</v>
      </c>
      <c r="W82">
        <v>500</v>
      </c>
      <c r="X82">
        <v>2.79</v>
      </c>
    </row>
    <row r="83" spans="1:24" outlineLevel="1" collapsed="1" x14ac:dyDescent="0.25">
      <c r="A83" s="8" t="s">
        <v>176</v>
      </c>
      <c r="D83">
        <f t="shared" ref="D83:V83" si="15">SUBTOTAL(1,D72:D82)</f>
        <v>8.8181818181818183</v>
      </c>
      <c r="E83">
        <f t="shared" si="15"/>
        <v>1994</v>
      </c>
      <c r="F83">
        <f t="shared" si="15"/>
        <v>115.70909090909093</v>
      </c>
      <c r="G83">
        <f t="shared" si="15"/>
        <v>13.30909090909091</v>
      </c>
      <c r="H83">
        <f t="shared" si="15"/>
        <v>12.381818181818181</v>
      </c>
      <c r="I83">
        <f t="shared" si="15"/>
        <v>0.92727272727272725</v>
      </c>
      <c r="J83">
        <f t="shared" si="15"/>
        <v>7.6363636363636367</v>
      </c>
      <c r="K83">
        <f t="shared" si="15"/>
        <v>91.699999999999989</v>
      </c>
      <c r="L83">
        <f t="shared" si="15"/>
        <v>447.13636363636363</v>
      </c>
      <c r="M83">
        <f t="shared" si="15"/>
        <v>392</v>
      </c>
      <c r="N83">
        <f t="shared" si="15"/>
        <v>380</v>
      </c>
      <c r="O83">
        <f t="shared" si="15"/>
        <v>528.70000000000005</v>
      </c>
      <c r="P83">
        <f t="shared" si="15"/>
        <v>148</v>
      </c>
      <c r="Q83">
        <f t="shared" si="15"/>
        <v>317.72727272727275</v>
      </c>
      <c r="R83">
        <f t="shared" si="15"/>
        <v>540.18181818181813</v>
      </c>
      <c r="S83">
        <f t="shared" si="15"/>
        <v>222.45454545454547</v>
      </c>
      <c r="T83">
        <f t="shared" si="15"/>
        <v>240.51818181818183</v>
      </c>
      <c r="U83">
        <f t="shared" si="15"/>
        <v>395.18181818181819</v>
      </c>
      <c r="V83">
        <f t="shared" si="15"/>
        <v>394</v>
      </c>
    </row>
    <row r="84" spans="1:24" hidden="1" outlineLevel="2" x14ac:dyDescent="0.25">
      <c r="A84" t="str">
        <f t="shared" ref="A84:A94" si="16">CONCATENATE(B84," - ",E84)</f>
        <v>AK10 - 1995</v>
      </c>
      <c r="B84" t="s">
        <v>39</v>
      </c>
      <c r="C84">
        <v>1</v>
      </c>
      <c r="D84">
        <v>10</v>
      </c>
      <c r="E84">
        <v>1995</v>
      </c>
      <c r="F84">
        <v>169.8</v>
      </c>
      <c r="G84">
        <v>18.600000000000001</v>
      </c>
      <c r="H84">
        <v>17.7</v>
      </c>
      <c r="I84">
        <v>0.9</v>
      </c>
      <c r="J84">
        <v>4</v>
      </c>
      <c r="K84">
        <v>187.6</v>
      </c>
      <c r="L84">
        <v>905.8</v>
      </c>
      <c r="M84">
        <v>393</v>
      </c>
      <c r="N84">
        <v>387</v>
      </c>
      <c r="O84">
        <v>527</v>
      </c>
      <c r="P84">
        <v>140</v>
      </c>
      <c r="Q84">
        <v>339</v>
      </c>
      <c r="R84">
        <v>551</v>
      </c>
      <c r="S84">
        <v>212</v>
      </c>
      <c r="T84">
        <v>215.7</v>
      </c>
      <c r="U84">
        <v>428</v>
      </c>
      <c r="V84">
        <v>418</v>
      </c>
      <c r="W84">
        <v>500</v>
      </c>
      <c r="X84">
        <v>2.79</v>
      </c>
    </row>
    <row r="85" spans="1:24" hidden="1" outlineLevel="2" x14ac:dyDescent="0.25">
      <c r="A85" t="str">
        <f t="shared" si="16"/>
        <v>AK10 - 1995</v>
      </c>
      <c r="B85" t="s">
        <v>39</v>
      </c>
      <c r="C85">
        <v>2</v>
      </c>
      <c r="D85">
        <v>10</v>
      </c>
      <c r="E85">
        <v>1995</v>
      </c>
      <c r="F85">
        <v>133.9</v>
      </c>
      <c r="G85">
        <v>10.5</v>
      </c>
      <c r="H85">
        <v>8.4</v>
      </c>
      <c r="I85">
        <v>2.1</v>
      </c>
      <c r="J85">
        <v>19</v>
      </c>
      <c r="K85">
        <v>84.9</v>
      </c>
      <c r="L85">
        <v>563.29999999999995</v>
      </c>
      <c r="M85">
        <v>430</v>
      </c>
      <c r="N85">
        <v>403</v>
      </c>
      <c r="O85">
        <v>538</v>
      </c>
      <c r="P85">
        <v>135</v>
      </c>
      <c r="Q85">
        <v>338</v>
      </c>
      <c r="R85">
        <v>578</v>
      </c>
      <c r="S85">
        <v>240</v>
      </c>
      <c r="T85">
        <v>237</v>
      </c>
      <c r="U85">
        <v>407</v>
      </c>
      <c r="V85">
        <v>410</v>
      </c>
      <c r="W85">
        <v>500</v>
      </c>
      <c r="X85">
        <v>2.79</v>
      </c>
    </row>
    <row r="86" spans="1:24" hidden="1" outlineLevel="2" x14ac:dyDescent="0.25">
      <c r="A86" t="str">
        <f t="shared" si="16"/>
        <v>AK10 - 1995</v>
      </c>
      <c r="B86" t="s">
        <v>39</v>
      </c>
      <c r="C86">
        <v>3</v>
      </c>
      <c r="D86">
        <v>10</v>
      </c>
      <c r="E86">
        <v>1995</v>
      </c>
      <c r="F86">
        <v>120.8</v>
      </c>
      <c r="G86">
        <v>18.600000000000001</v>
      </c>
      <c r="H86">
        <v>17.7</v>
      </c>
      <c r="I86">
        <v>0.9</v>
      </c>
      <c r="J86">
        <v>4</v>
      </c>
      <c r="K86">
        <v>130.30000000000001</v>
      </c>
      <c r="L86">
        <v>458.4</v>
      </c>
      <c r="M86">
        <v>394</v>
      </c>
      <c r="N86">
        <v>388</v>
      </c>
      <c r="O86">
        <v>525</v>
      </c>
      <c r="P86">
        <v>137</v>
      </c>
      <c r="Q86">
        <v>318</v>
      </c>
      <c r="R86">
        <v>556</v>
      </c>
      <c r="S86">
        <v>238</v>
      </c>
      <c r="T86">
        <v>245.7</v>
      </c>
      <c r="U86">
        <v>415</v>
      </c>
      <c r="V86">
        <v>411</v>
      </c>
      <c r="W86">
        <v>500</v>
      </c>
      <c r="X86">
        <v>2.79</v>
      </c>
    </row>
    <row r="87" spans="1:24" hidden="1" outlineLevel="2" x14ac:dyDescent="0.25">
      <c r="A87" t="str">
        <f t="shared" si="16"/>
        <v>AK10 - 1995</v>
      </c>
      <c r="B87" t="s">
        <v>39</v>
      </c>
      <c r="C87">
        <v>4</v>
      </c>
      <c r="D87">
        <v>9</v>
      </c>
      <c r="E87">
        <v>1995</v>
      </c>
      <c r="F87">
        <v>115.2</v>
      </c>
      <c r="G87">
        <v>6.6</v>
      </c>
      <c r="H87">
        <v>6.3</v>
      </c>
      <c r="I87">
        <v>0.3</v>
      </c>
      <c r="J87">
        <v>4</v>
      </c>
      <c r="K87">
        <v>46.4</v>
      </c>
      <c r="L87">
        <v>416.9</v>
      </c>
      <c r="M87">
        <v>389</v>
      </c>
      <c r="N87">
        <v>382</v>
      </c>
      <c r="O87">
        <v>542</v>
      </c>
      <c r="P87">
        <v>160</v>
      </c>
      <c r="Q87">
        <v>299</v>
      </c>
      <c r="R87">
        <v>542</v>
      </c>
      <c r="S87">
        <v>243</v>
      </c>
      <c r="T87">
        <v>174</v>
      </c>
      <c r="U87">
        <v>381</v>
      </c>
      <c r="V87">
        <v>390</v>
      </c>
      <c r="W87">
        <v>500</v>
      </c>
      <c r="X87">
        <v>2.79</v>
      </c>
    </row>
    <row r="88" spans="1:24" hidden="1" outlineLevel="2" x14ac:dyDescent="0.25">
      <c r="A88" t="str">
        <f t="shared" si="16"/>
        <v>AK10 - 1995</v>
      </c>
      <c r="B88" t="s">
        <v>39</v>
      </c>
      <c r="C88">
        <v>5</v>
      </c>
      <c r="D88">
        <v>10</v>
      </c>
      <c r="E88">
        <v>1995</v>
      </c>
      <c r="F88">
        <v>141.1</v>
      </c>
      <c r="G88">
        <v>19.8</v>
      </c>
      <c r="H88">
        <v>19.2</v>
      </c>
      <c r="I88">
        <v>0.6</v>
      </c>
      <c r="J88">
        <v>3</v>
      </c>
      <c r="K88">
        <v>163.19999999999999</v>
      </c>
      <c r="L88">
        <v>625.5</v>
      </c>
      <c r="M88">
        <v>386</v>
      </c>
      <c r="N88">
        <v>381</v>
      </c>
      <c r="O88">
        <v>548</v>
      </c>
      <c r="P88">
        <v>167</v>
      </c>
      <c r="Q88">
        <v>320</v>
      </c>
      <c r="R88">
        <v>564</v>
      </c>
      <c r="S88">
        <v>244</v>
      </c>
      <c r="T88">
        <v>256.2</v>
      </c>
      <c r="U88">
        <v>421</v>
      </c>
      <c r="V88">
        <v>409</v>
      </c>
      <c r="W88">
        <v>500</v>
      </c>
      <c r="X88">
        <v>2.79</v>
      </c>
    </row>
    <row r="89" spans="1:24" hidden="1" outlineLevel="2" x14ac:dyDescent="0.25">
      <c r="A89" t="str">
        <f t="shared" si="16"/>
        <v>AK10 - 1995</v>
      </c>
      <c r="B89" t="s">
        <v>39</v>
      </c>
      <c r="C89">
        <v>6</v>
      </c>
      <c r="D89">
        <v>10</v>
      </c>
      <c r="E89">
        <v>1995</v>
      </c>
      <c r="F89">
        <v>141.30000000000001</v>
      </c>
      <c r="G89">
        <v>8.4</v>
      </c>
      <c r="H89">
        <v>8.1</v>
      </c>
      <c r="I89">
        <v>0.3</v>
      </c>
      <c r="J89">
        <v>3</v>
      </c>
      <c r="K89">
        <v>72.400000000000006</v>
      </c>
      <c r="L89">
        <v>627.20000000000005</v>
      </c>
      <c r="M89">
        <v>360</v>
      </c>
      <c r="N89">
        <v>354</v>
      </c>
      <c r="O89">
        <v>528</v>
      </c>
      <c r="P89">
        <v>174</v>
      </c>
      <c r="Q89">
        <v>275</v>
      </c>
      <c r="R89">
        <v>528</v>
      </c>
      <c r="S89">
        <v>253</v>
      </c>
      <c r="T89">
        <v>272.7</v>
      </c>
      <c r="U89">
        <v>388</v>
      </c>
      <c r="V89">
        <v>387</v>
      </c>
      <c r="W89">
        <v>500</v>
      </c>
      <c r="X89">
        <v>2.79</v>
      </c>
    </row>
    <row r="90" spans="1:24" hidden="1" outlineLevel="2" x14ac:dyDescent="0.25">
      <c r="A90" t="str">
        <f t="shared" si="16"/>
        <v>AK10 - 1995</v>
      </c>
      <c r="B90" t="s">
        <v>39</v>
      </c>
      <c r="C90">
        <v>7</v>
      </c>
      <c r="D90">
        <v>10</v>
      </c>
      <c r="E90">
        <v>1995</v>
      </c>
      <c r="F90">
        <v>153.19999999999999</v>
      </c>
      <c r="G90">
        <v>16.5</v>
      </c>
      <c r="H90">
        <v>15.9</v>
      </c>
      <c r="I90">
        <v>0.6</v>
      </c>
      <c r="J90">
        <v>3</v>
      </c>
      <c r="K90">
        <v>150.30000000000001</v>
      </c>
      <c r="L90">
        <v>737.3</v>
      </c>
      <c r="M90">
        <v>365</v>
      </c>
      <c r="N90">
        <v>359</v>
      </c>
      <c r="O90">
        <v>541</v>
      </c>
      <c r="P90">
        <v>182</v>
      </c>
      <c r="Q90">
        <v>309</v>
      </c>
      <c r="R90">
        <v>554</v>
      </c>
      <c r="S90">
        <v>245</v>
      </c>
      <c r="T90">
        <v>289.2</v>
      </c>
      <c r="U90">
        <v>379</v>
      </c>
      <c r="V90">
        <v>380</v>
      </c>
      <c r="W90">
        <v>500</v>
      </c>
      <c r="X90">
        <v>2.79</v>
      </c>
    </row>
    <row r="91" spans="1:24" hidden="1" outlineLevel="2" x14ac:dyDescent="0.25">
      <c r="A91" t="str">
        <f t="shared" si="16"/>
        <v>AK10 - 1995</v>
      </c>
      <c r="B91" t="s">
        <v>39</v>
      </c>
      <c r="C91">
        <v>8</v>
      </c>
      <c r="D91">
        <v>10</v>
      </c>
      <c r="E91">
        <v>1995</v>
      </c>
      <c r="F91">
        <v>178.3</v>
      </c>
      <c r="G91">
        <v>13.5</v>
      </c>
      <c r="H91">
        <v>12.9</v>
      </c>
      <c r="I91">
        <v>0.6</v>
      </c>
      <c r="J91">
        <v>4</v>
      </c>
      <c r="K91">
        <v>145.5</v>
      </c>
      <c r="L91">
        <v>998.7</v>
      </c>
      <c r="M91">
        <v>385</v>
      </c>
      <c r="N91">
        <v>377</v>
      </c>
      <c r="O91">
        <v>554</v>
      </c>
      <c r="P91">
        <v>177</v>
      </c>
      <c r="Q91">
        <v>316</v>
      </c>
      <c r="R91">
        <v>558</v>
      </c>
      <c r="S91">
        <v>242</v>
      </c>
      <c r="T91">
        <v>228.9</v>
      </c>
      <c r="U91">
        <v>379</v>
      </c>
      <c r="V91">
        <v>377</v>
      </c>
      <c r="W91">
        <v>500</v>
      </c>
      <c r="X91">
        <v>2.79</v>
      </c>
    </row>
    <row r="92" spans="1:24" hidden="1" outlineLevel="2" x14ac:dyDescent="0.25">
      <c r="A92" t="str">
        <f t="shared" si="16"/>
        <v>AK10 - 1995</v>
      </c>
      <c r="B92" t="s">
        <v>39</v>
      </c>
      <c r="C92">
        <v>9</v>
      </c>
      <c r="D92">
        <v>9</v>
      </c>
      <c r="E92">
        <v>1995</v>
      </c>
      <c r="F92">
        <v>97.7</v>
      </c>
      <c r="G92">
        <v>16.8</v>
      </c>
      <c r="H92">
        <v>16.2</v>
      </c>
      <c r="I92">
        <v>0.6</v>
      </c>
      <c r="J92">
        <v>3</v>
      </c>
      <c r="K92">
        <v>94.3</v>
      </c>
      <c r="L92">
        <v>299.89999999999998</v>
      </c>
      <c r="M92">
        <v>357</v>
      </c>
      <c r="N92">
        <v>351</v>
      </c>
      <c r="O92">
        <v>507</v>
      </c>
      <c r="P92">
        <v>156</v>
      </c>
      <c r="Q92">
        <v>290</v>
      </c>
      <c r="R92">
        <v>515</v>
      </c>
      <c r="S92">
        <v>225</v>
      </c>
      <c r="T92">
        <v>273.3</v>
      </c>
      <c r="U92">
        <v>377</v>
      </c>
      <c r="V92">
        <v>375</v>
      </c>
      <c r="W92">
        <v>500</v>
      </c>
      <c r="X92">
        <v>2.79</v>
      </c>
    </row>
    <row r="93" spans="1:24" hidden="1" outlineLevel="2" x14ac:dyDescent="0.25">
      <c r="A93" t="str">
        <f t="shared" si="16"/>
        <v>AK10 - 1995</v>
      </c>
      <c r="B93" t="s">
        <v>39</v>
      </c>
      <c r="C93">
        <v>10</v>
      </c>
      <c r="D93">
        <v>10</v>
      </c>
      <c r="E93">
        <v>1995</v>
      </c>
      <c r="F93">
        <v>88.4</v>
      </c>
      <c r="G93">
        <v>6</v>
      </c>
      <c r="H93">
        <v>5.4</v>
      </c>
      <c r="I93">
        <v>0.6</v>
      </c>
      <c r="J93">
        <v>10</v>
      </c>
      <c r="K93">
        <v>32.200000000000003</v>
      </c>
      <c r="L93">
        <v>245.5</v>
      </c>
      <c r="M93">
        <v>389</v>
      </c>
      <c r="N93">
        <v>375</v>
      </c>
      <c r="O93">
        <v>513</v>
      </c>
      <c r="P93">
        <v>138</v>
      </c>
      <c r="Q93">
        <v>308</v>
      </c>
      <c r="R93">
        <v>513</v>
      </c>
      <c r="S93">
        <v>205</v>
      </c>
      <c r="T93">
        <v>203.4</v>
      </c>
      <c r="U93">
        <v>405</v>
      </c>
      <c r="V93">
        <v>408</v>
      </c>
      <c r="W93">
        <v>500</v>
      </c>
      <c r="X93">
        <v>2.79</v>
      </c>
    </row>
    <row r="94" spans="1:24" hidden="1" outlineLevel="2" x14ac:dyDescent="0.25">
      <c r="A94" t="str">
        <f t="shared" si="16"/>
        <v>AK10 - 1995</v>
      </c>
      <c r="B94" t="s">
        <v>39</v>
      </c>
      <c r="C94">
        <v>11</v>
      </c>
      <c r="D94">
        <v>10</v>
      </c>
      <c r="E94">
        <v>1995</v>
      </c>
      <c r="F94">
        <v>77.099999999999994</v>
      </c>
      <c r="G94">
        <v>8.6999999999999993</v>
      </c>
      <c r="H94">
        <v>8.6999999999999993</v>
      </c>
      <c r="I94">
        <v>0</v>
      </c>
      <c r="J94">
        <v>0</v>
      </c>
      <c r="K94">
        <v>39.799999999999997</v>
      </c>
      <c r="L94">
        <v>186.7</v>
      </c>
      <c r="M94">
        <v>380</v>
      </c>
      <c r="N94">
        <v>380</v>
      </c>
      <c r="Q94">
        <v>288</v>
      </c>
      <c r="R94">
        <v>498</v>
      </c>
      <c r="S94">
        <v>210</v>
      </c>
      <c r="T94">
        <v>249.6</v>
      </c>
      <c r="U94">
        <v>367</v>
      </c>
      <c r="V94">
        <v>369</v>
      </c>
      <c r="W94">
        <v>500</v>
      </c>
      <c r="X94">
        <v>2.79</v>
      </c>
    </row>
    <row r="95" spans="1:24" outlineLevel="1" collapsed="1" x14ac:dyDescent="0.25">
      <c r="A95" s="8" t="s">
        <v>177</v>
      </c>
      <c r="D95">
        <f t="shared" ref="D95:V95" si="17">SUBTOTAL(1,D84:D94)</f>
        <v>9.8181818181818183</v>
      </c>
      <c r="E95">
        <f t="shared" si="17"/>
        <v>1995</v>
      </c>
      <c r="F95">
        <f t="shared" si="17"/>
        <v>128.80000000000001</v>
      </c>
      <c r="G95">
        <f t="shared" si="17"/>
        <v>13.090909090909092</v>
      </c>
      <c r="H95">
        <f t="shared" si="17"/>
        <v>12.409090909090908</v>
      </c>
      <c r="I95">
        <f t="shared" si="17"/>
        <v>0.68181818181818166</v>
      </c>
      <c r="J95">
        <f t="shared" si="17"/>
        <v>5.1818181818181817</v>
      </c>
      <c r="K95">
        <f t="shared" si="17"/>
        <v>104.26363636363635</v>
      </c>
      <c r="L95">
        <f t="shared" si="17"/>
        <v>551.38181818181818</v>
      </c>
      <c r="M95">
        <f t="shared" si="17"/>
        <v>384.36363636363637</v>
      </c>
      <c r="N95">
        <f t="shared" si="17"/>
        <v>376.09090909090907</v>
      </c>
      <c r="O95">
        <f t="shared" si="17"/>
        <v>532.29999999999995</v>
      </c>
      <c r="P95">
        <f t="shared" si="17"/>
        <v>156.6</v>
      </c>
      <c r="Q95">
        <f t="shared" si="17"/>
        <v>309.09090909090907</v>
      </c>
      <c r="R95">
        <f t="shared" si="17"/>
        <v>541.5454545454545</v>
      </c>
      <c r="S95">
        <f t="shared" si="17"/>
        <v>232.45454545454547</v>
      </c>
      <c r="T95">
        <f t="shared" si="17"/>
        <v>240.51818181818183</v>
      </c>
      <c r="U95">
        <f t="shared" si="17"/>
        <v>395.18181818181819</v>
      </c>
      <c r="V95">
        <f t="shared" si="17"/>
        <v>394</v>
      </c>
    </row>
    <row r="96" spans="1:24" hidden="1" outlineLevel="2" x14ac:dyDescent="0.25">
      <c r="A96" t="str">
        <f t="shared" ref="A96:A106" si="18">CONCATENATE(B96," - ",E96)</f>
        <v>AK10 - 1996</v>
      </c>
      <c r="B96" t="s">
        <v>39</v>
      </c>
      <c r="C96">
        <v>1</v>
      </c>
      <c r="D96">
        <v>11</v>
      </c>
      <c r="E96">
        <v>1996</v>
      </c>
      <c r="F96">
        <v>181.8</v>
      </c>
      <c r="G96">
        <v>12</v>
      </c>
      <c r="H96">
        <v>10.5</v>
      </c>
      <c r="I96">
        <v>1.5</v>
      </c>
      <c r="J96">
        <v>12</v>
      </c>
      <c r="K96">
        <v>132.6</v>
      </c>
      <c r="L96">
        <v>1038.3</v>
      </c>
      <c r="M96">
        <v>406</v>
      </c>
      <c r="N96">
        <v>389</v>
      </c>
      <c r="O96">
        <v>525</v>
      </c>
      <c r="P96">
        <v>136</v>
      </c>
      <c r="Q96">
        <v>341</v>
      </c>
      <c r="R96">
        <v>549</v>
      </c>
      <c r="S96">
        <v>208</v>
      </c>
      <c r="T96">
        <v>215.7</v>
      </c>
      <c r="U96">
        <v>428</v>
      </c>
      <c r="V96">
        <v>418</v>
      </c>
      <c r="W96">
        <v>500</v>
      </c>
      <c r="X96">
        <v>2.79</v>
      </c>
    </row>
    <row r="97" spans="1:24" hidden="1" outlineLevel="2" x14ac:dyDescent="0.25">
      <c r="A97" t="str">
        <f t="shared" si="18"/>
        <v>AK10 - 1996</v>
      </c>
      <c r="B97" t="s">
        <v>39</v>
      </c>
      <c r="C97">
        <v>2</v>
      </c>
      <c r="D97">
        <v>11</v>
      </c>
      <c r="E97">
        <v>1996</v>
      </c>
      <c r="F97">
        <v>148.6</v>
      </c>
      <c r="G97">
        <v>14.7</v>
      </c>
      <c r="H97">
        <v>11.4</v>
      </c>
      <c r="I97">
        <v>3.3</v>
      </c>
      <c r="J97">
        <v>22</v>
      </c>
      <c r="K97">
        <v>130.5</v>
      </c>
      <c r="L97">
        <v>693.7</v>
      </c>
      <c r="M97">
        <v>415</v>
      </c>
      <c r="N97">
        <v>373</v>
      </c>
      <c r="O97">
        <v>559</v>
      </c>
      <c r="P97">
        <v>186</v>
      </c>
      <c r="Q97">
        <v>339</v>
      </c>
      <c r="R97">
        <v>585</v>
      </c>
      <c r="S97">
        <v>246</v>
      </c>
      <c r="T97">
        <v>237</v>
      </c>
      <c r="U97">
        <v>407</v>
      </c>
      <c r="V97">
        <v>410</v>
      </c>
      <c r="W97">
        <v>500</v>
      </c>
      <c r="X97">
        <v>2.79</v>
      </c>
    </row>
    <row r="98" spans="1:24" hidden="1" outlineLevel="2" x14ac:dyDescent="0.25">
      <c r="A98" t="str">
        <f t="shared" si="18"/>
        <v>AK10 - 1996</v>
      </c>
      <c r="B98" t="s">
        <v>39</v>
      </c>
      <c r="C98">
        <v>3</v>
      </c>
      <c r="D98">
        <v>11</v>
      </c>
      <c r="E98">
        <v>1996</v>
      </c>
      <c r="F98">
        <v>139.4</v>
      </c>
      <c r="G98">
        <v>18.600000000000001</v>
      </c>
      <c r="H98">
        <v>16.5</v>
      </c>
      <c r="I98">
        <v>2.1</v>
      </c>
      <c r="J98">
        <v>11</v>
      </c>
      <c r="K98">
        <v>152</v>
      </c>
      <c r="L98">
        <v>610.5</v>
      </c>
      <c r="M98">
        <v>395</v>
      </c>
      <c r="N98">
        <v>378</v>
      </c>
      <c r="O98">
        <v>526</v>
      </c>
      <c r="P98">
        <v>148</v>
      </c>
      <c r="Q98">
        <v>311</v>
      </c>
      <c r="R98">
        <v>551</v>
      </c>
      <c r="S98">
        <v>240</v>
      </c>
      <c r="T98">
        <v>245.7</v>
      </c>
      <c r="U98">
        <v>415</v>
      </c>
      <c r="V98">
        <v>411</v>
      </c>
      <c r="W98">
        <v>500</v>
      </c>
      <c r="X98">
        <v>2.79</v>
      </c>
    </row>
    <row r="99" spans="1:24" hidden="1" outlineLevel="2" x14ac:dyDescent="0.25">
      <c r="A99" t="str">
        <f t="shared" si="18"/>
        <v>AK10 - 1996</v>
      </c>
      <c r="B99" t="s">
        <v>39</v>
      </c>
      <c r="C99">
        <v>4</v>
      </c>
      <c r="D99">
        <v>10</v>
      </c>
      <c r="E99">
        <v>1996</v>
      </c>
      <c r="F99">
        <v>118.2</v>
      </c>
      <c r="G99">
        <v>3</v>
      </c>
      <c r="H99">
        <v>2.7</v>
      </c>
      <c r="I99">
        <v>0.3</v>
      </c>
      <c r="J99">
        <v>10</v>
      </c>
      <c r="K99">
        <v>22</v>
      </c>
      <c r="L99">
        <v>438.9</v>
      </c>
      <c r="M99">
        <v>380</v>
      </c>
      <c r="N99">
        <v>364</v>
      </c>
      <c r="O99">
        <v>519</v>
      </c>
      <c r="P99">
        <v>155</v>
      </c>
      <c r="Q99">
        <v>296</v>
      </c>
      <c r="R99">
        <v>519</v>
      </c>
      <c r="S99">
        <v>223</v>
      </c>
      <c r="T99">
        <v>174</v>
      </c>
      <c r="U99">
        <v>381</v>
      </c>
      <c r="V99">
        <v>390</v>
      </c>
      <c r="W99">
        <v>500</v>
      </c>
      <c r="X99">
        <v>2.79</v>
      </c>
    </row>
    <row r="100" spans="1:24" hidden="1" outlineLevel="2" x14ac:dyDescent="0.25">
      <c r="A100" t="str">
        <f t="shared" si="18"/>
        <v>AK10 - 1996</v>
      </c>
      <c r="B100" t="s">
        <v>39</v>
      </c>
      <c r="C100">
        <v>5</v>
      </c>
      <c r="D100">
        <v>11</v>
      </c>
      <c r="E100">
        <v>1996</v>
      </c>
      <c r="F100">
        <v>156.1</v>
      </c>
      <c r="G100">
        <v>15</v>
      </c>
      <c r="H100">
        <v>14.1</v>
      </c>
      <c r="I100">
        <v>0.9</v>
      </c>
      <c r="J100">
        <v>6</v>
      </c>
      <c r="K100">
        <v>140.1</v>
      </c>
      <c r="L100">
        <v>765.5</v>
      </c>
      <c r="M100">
        <v>378</v>
      </c>
      <c r="N100">
        <v>369</v>
      </c>
      <c r="O100">
        <v>520</v>
      </c>
      <c r="P100">
        <v>151</v>
      </c>
      <c r="Q100">
        <v>290</v>
      </c>
      <c r="R100">
        <v>546</v>
      </c>
      <c r="S100">
        <v>256</v>
      </c>
      <c r="T100">
        <v>256.2</v>
      </c>
      <c r="U100">
        <v>421</v>
      </c>
      <c r="V100">
        <v>409</v>
      </c>
      <c r="W100">
        <v>500</v>
      </c>
      <c r="X100">
        <v>2.79</v>
      </c>
    </row>
    <row r="101" spans="1:24" hidden="1" outlineLevel="2" x14ac:dyDescent="0.25">
      <c r="A101" t="str">
        <f t="shared" si="18"/>
        <v>AK10 - 1996</v>
      </c>
      <c r="B101" t="s">
        <v>39</v>
      </c>
      <c r="C101">
        <v>6</v>
      </c>
      <c r="D101">
        <v>11</v>
      </c>
      <c r="E101">
        <v>1996</v>
      </c>
      <c r="F101">
        <v>152.69999999999999</v>
      </c>
      <c r="G101">
        <v>11.4</v>
      </c>
      <c r="H101">
        <v>11.1</v>
      </c>
      <c r="I101">
        <v>0.3</v>
      </c>
      <c r="J101">
        <v>2</v>
      </c>
      <c r="K101">
        <v>105.3</v>
      </c>
      <c r="L101">
        <v>732.5</v>
      </c>
      <c r="M101">
        <v>357</v>
      </c>
      <c r="N101">
        <v>352</v>
      </c>
      <c r="O101">
        <v>529</v>
      </c>
      <c r="P101">
        <v>177</v>
      </c>
      <c r="Q101">
        <v>266</v>
      </c>
      <c r="R101">
        <v>529</v>
      </c>
      <c r="S101">
        <v>263</v>
      </c>
      <c r="T101">
        <v>272.7</v>
      </c>
      <c r="U101">
        <v>388</v>
      </c>
      <c r="V101">
        <v>387</v>
      </c>
      <c r="W101">
        <v>500</v>
      </c>
      <c r="X101">
        <v>2.79</v>
      </c>
    </row>
    <row r="102" spans="1:24" hidden="1" outlineLevel="2" x14ac:dyDescent="0.25">
      <c r="A102" t="str">
        <f t="shared" si="18"/>
        <v>AK10 - 1996</v>
      </c>
      <c r="B102" t="s">
        <v>39</v>
      </c>
      <c r="C102">
        <v>7</v>
      </c>
      <c r="D102">
        <v>11</v>
      </c>
      <c r="E102">
        <v>1996</v>
      </c>
      <c r="F102">
        <v>170.3</v>
      </c>
      <c r="G102">
        <v>17.100000000000001</v>
      </c>
      <c r="H102">
        <v>16.8</v>
      </c>
      <c r="I102">
        <v>0.3</v>
      </c>
      <c r="J102">
        <v>1</v>
      </c>
      <c r="K102">
        <v>173.8</v>
      </c>
      <c r="L102">
        <v>911.1</v>
      </c>
      <c r="M102">
        <v>353</v>
      </c>
      <c r="N102">
        <v>350</v>
      </c>
      <c r="O102">
        <v>520</v>
      </c>
      <c r="P102">
        <v>170</v>
      </c>
      <c r="Q102">
        <v>275</v>
      </c>
      <c r="R102">
        <v>520</v>
      </c>
      <c r="S102">
        <v>245</v>
      </c>
      <c r="T102">
        <v>289.2</v>
      </c>
      <c r="U102">
        <v>379</v>
      </c>
      <c r="V102">
        <v>380</v>
      </c>
      <c r="W102">
        <v>500</v>
      </c>
      <c r="X102">
        <v>2.79</v>
      </c>
    </row>
    <row r="103" spans="1:24" hidden="1" outlineLevel="2" x14ac:dyDescent="0.25">
      <c r="A103" t="str">
        <f t="shared" si="18"/>
        <v>AK10 - 1996</v>
      </c>
      <c r="B103" t="s">
        <v>39</v>
      </c>
      <c r="C103">
        <v>8</v>
      </c>
      <c r="D103">
        <v>11</v>
      </c>
      <c r="E103">
        <v>1996</v>
      </c>
      <c r="F103">
        <v>187.6</v>
      </c>
      <c r="G103">
        <v>9.3000000000000007</v>
      </c>
      <c r="H103">
        <v>8.1</v>
      </c>
      <c r="I103">
        <v>1.2</v>
      </c>
      <c r="J103">
        <v>12</v>
      </c>
      <c r="K103">
        <v>106.9</v>
      </c>
      <c r="L103">
        <v>1105.5999999999999</v>
      </c>
      <c r="M103">
        <v>371</v>
      </c>
      <c r="N103">
        <v>347</v>
      </c>
      <c r="O103">
        <v>535</v>
      </c>
      <c r="P103">
        <v>188</v>
      </c>
      <c r="Q103">
        <v>314</v>
      </c>
      <c r="R103">
        <v>571</v>
      </c>
      <c r="S103">
        <v>257</v>
      </c>
      <c r="T103">
        <v>228.9</v>
      </c>
      <c r="U103">
        <v>379</v>
      </c>
      <c r="V103">
        <v>377</v>
      </c>
      <c r="W103">
        <v>500</v>
      </c>
      <c r="X103">
        <v>2.79</v>
      </c>
    </row>
    <row r="104" spans="1:24" hidden="1" outlineLevel="2" x14ac:dyDescent="0.25">
      <c r="A104" t="str">
        <f t="shared" si="18"/>
        <v>AK10 - 1996</v>
      </c>
      <c r="B104" t="s">
        <v>39</v>
      </c>
      <c r="C104">
        <v>9</v>
      </c>
      <c r="D104">
        <v>10</v>
      </c>
      <c r="E104">
        <v>1996</v>
      </c>
      <c r="F104">
        <v>116.3</v>
      </c>
      <c r="G104">
        <v>18.600000000000001</v>
      </c>
      <c r="H104">
        <v>18</v>
      </c>
      <c r="I104">
        <v>0.6</v>
      </c>
      <c r="J104">
        <v>3</v>
      </c>
      <c r="K104">
        <v>125</v>
      </c>
      <c r="L104">
        <v>424.9</v>
      </c>
      <c r="M104">
        <v>349</v>
      </c>
      <c r="N104">
        <v>344</v>
      </c>
      <c r="O104">
        <v>508</v>
      </c>
      <c r="P104">
        <v>164</v>
      </c>
      <c r="Q104">
        <v>282</v>
      </c>
      <c r="R104">
        <v>509</v>
      </c>
      <c r="S104">
        <v>227</v>
      </c>
      <c r="T104">
        <v>273.3</v>
      </c>
      <c r="U104">
        <v>377</v>
      </c>
      <c r="V104">
        <v>375</v>
      </c>
      <c r="W104">
        <v>500</v>
      </c>
      <c r="X104">
        <v>2.79</v>
      </c>
    </row>
    <row r="105" spans="1:24" hidden="1" outlineLevel="2" x14ac:dyDescent="0.25">
      <c r="A105" t="str">
        <f t="shared" si="18"/>
        <v>AK10 - 1996</v>
      </c>
      <c r="B105" t="s">
        <v>39</v>
      </c>
      <c r="C105">
        <v>10</v>
      </c>
      <c r="D105">
        <v>11</v>
      </c>
      <c r="E105">
        <v>1996</v>
      </c>
      <c r="F105">
        <v>97.4</v>
      </c>
      <c r="G105">
        <v>9</v>
      </c>
      <c r="H105">
        <v>7.5</v>
      </c>
      <c r="I105">
        <v>1.5</v>
      </c>
      <c r="J105">
        <v>16</v>
      </c>
      <c r="K105">
        <v>52.5</v>
      </c>
      <c r="L105">
        <v>298</v>
      </c>
      <c r="M105">
        <v>409</v>
      </c>
      <c r="N105">
        <v>383</v>
      </c>
      <c r="O105">
        <v>540</v>
      </c>
      <c r="P105">
        <v>157</v>
      </c>
      <c r="Q105">
        <v>325</v>
      </c>
      <c r="R105">
        <v>565</v>
      </c>
      <c r="S105">
        <v>240</v>
      </c>
      <c r="T105">
        <v>203.4</v>
      </c>
      <c r="U105">
        <v>405</v>
      </c>
      <c r="V105">
        <v>408</v>
      </c>
      <c r="W105">
        <v>500</v>
      </c>
      <c r="X105">
        <v>2.79</v>
      </c>
    </row>
    <row r="106" spans="1:24" hidden="1" outlineLevel="2" x14ac:dyDescent="0.25">
      <c r="A106" t="str">
        <f t="shared" si="18"/>
        <v>AK10 - 1996</v>
      </c>
      <c r="B106" t="s">
        <v>39</v>
      </c>
      <c r="C106">
        <v>11</v>
      </c>
      <c r="D106">
        <v>11</v>
      </c>
      <c r="E106">
        <v>1996</v>
      </c>
      <c r="F106">
        <v>93.6</v>
      </c>
      <c r="G106">
        <v>16.5</v>
      </c>
      <c r="H106">
        <v>15.6</v>
      </c>
      <c r="I106">
        <v>0.9</v>
      </c>
      <c r="J106">
        <v>5</v>
      </c>
      <c r="K106">
        <v>88.5</v>
      </c>
      <c r="L106">
        <v>275.2</v>
      </c>
      <c r="M106">
        <v>369</v>
      </c>
      <c r="N106">
        <v>361</v>
      </c>
      <c r="O106">
        <v>505</v>
      </c>
      <c r="P106">
        <v>144</v>
      </c>
      <c r="Q106">
        <v>265</v>
      </c>
      <c r="R106">
        <v>511</v>
      </c>
      <c r="S106">
        <v>246</v>
      </c>
      <c r="T106">
        <v>249.6</v>
      </c>
      <c r="U106">
        <v>367</v>
      </c>
      <c r="V106">
        <v>369</v>
      </c>
      <c r="W106">
        <v>500</v>
      </c>
      <c r="X106">
        <v>2.79</v>
      </c>
    </row>
    <row r="107" spans="1:24" outlineLevel="1" collapsed="1" x14ac:dyDescent="0.25">
      <c r="A107" s="8" t="s">
        <v>178</v>
      </c>
      <c r="D107">
        <f t="shared" ref="D107:V107" si="19">SUBTOTAL(1,D96:D106)</f>
        <v>10.818181818181818</v>
      </c>
      <c r="E107">
        <f t="shared" si="19"/>
        <v>1996</v>
      </c>
      <c r="F107">
        <f t="shared" si="19"/>
        <v>141.99999999999997</v>
      </c>
      <c r="G107">
        <f t="shared" si="19"/>
        <v>13.200000000000001</v>
      </c>
      <c r="H107">
        <f t="shared" si="19"/>
        <v>12.027272727272726</v>
      </c>
      <c r="I107">
        <f t="shared" si="19"/>
        <v>1.1727272727272728</v>
      </c>
      <c r="J107">
        <f t="shared" si="19"/>
        <v>9.0909090909090917</v>
      </c>
      <c r="K107">
        <f t="shared" si="19"/>
        <v>111.74545454545454</v>
      </c>
      <c r="L107">
        <f t="shared" si="19"/>
        <v>663.10909090909092</v>
      </c>
      <c r="M107">
        <f t="shared" si="19"/>
        <v>380.18181818181819</v>
      </c>
      <c r="N107">
        <f t="shared" si="19"/>
        <v>364.54545454545456</v>
      </c>
      <c r="O107">
        <f t="shared" si="19"/>
        <v>526</v>
      </c>
      <c r="P107">
        <f t="shared" si="19"/>
        <v>161.45454545454547</v>
      </c>
      <c r="Q107">
        <f t="shared" si="19"/>
        <v>300.36363636363637</v>
      </c>
      <c r="R107">
        <f t="shared" si="19"/>
        <v>541.36363636363637</v>
      </c>
      <c r="S107">
        <f t="shared" si="19"/>
        <v>241</v>
      </c>
      <c r="T107">
        <f t="shared" si="19"/>
        <v>240.51818181818183</v>
      </c>
      <c r="U107">
        <f t="shared" si="19"/>
        <v>395.18181818181819</v>
      </c>
      <c r="V107">
        <f t="shared" si="19"/>
        <v>394</v>
      </c>
    </row>
    <row r="108" spans="1:24" hidden="1" outlineLevel="2" x14ac:dyDescent="0.25">
      <c r="A108" t="str">
        <f t="shared" ref="A108:A118" si="20">CONCATENATE(B108," - ",E108)</f>
        <v>AK10 - 1997</v>
      </c>
      <c r="B108" t="s">
        <v>39</v>
      </c>
      <c r="C108">
        <v>1</v>
      </c>
      <c r="D108">
        <v>12</v>
      </c>
      <c r="E108">
        <v>1997</v>
      </c>
      <c r="F108">
        <v>193.2</v>
      </c>
      <c r="G108">
        <v>11.4</v>
      </c>
      <c r="H108">
        <v>10.5</v>
      </c>
      <c r="I108">
        <v>0.9</v>
      </c>
      <c r="J108">
        <v>7</v>
      </c>
      <c r="K108">
        <v>134.30000000000001</v>
      </c>
      <c r="L108">
        <v>1172.5999999999999</v>
      </c>
      <c r="M108">
        <v>390</v>
      </c>
      <c r="N108">
        <v>379</v>
      </c>
      <c r="O108">
        <v>529</v>
      </c>
      <c r="P108">
        <v>150</v>
      </c>
      <c r="Q108">
        <v>337</v>
      </c>
      <c r="R108">
        <v>541</v>
      </c>
      <c r="S108">
        <v>204</v>
      </c>
      <c r="T108">
        <v>215.7</v>
      </c>
      <c r="U108">
        <v>428</v>
      </c>
      <c r="V108">
        <v>418</v>
      </c>
      <c r="W108">
        <v>500</v>
      </c>
      <c r="X108">
        <v>2.79</v>
      </c>
    </row>
    <row r="109" spans="1:24" hidden="1" outlineLevel="2" x14ac:dyDescent="0.25">
      <c r="A109" t="str">
        <f t="shared" si="20"/>
        <v>AK10 - 1997</v>
      </c>
      <c r="B109" t="s">
        <v>39</v>
      </c>
      <c r="C109">
        <v>2</v>
      </c>
      <c r="D109">
        <v>12</v>
      </c>
      <c r="E109">
        <v>1997</v>
      </c>
      <c r="F109">
        <v>165.7</v>
      </c>
      <c r="G109">
        <v>17.100000000000001</v>
      </c>
      <c r="H109">
        <v>14.4</v>
      </c>
      <c r="I109">
        <v>2.7</v>
      </c>
      <c r="J109">
        <v>15</v>
      </c>
      <c r="K109">
        <v>168.8</v>
      </c>
      <c r="L109">
        <v>862.6</v>
      </c>
      <c r="M109">
        <v>398</v>
      </c>
      <c r="N109">
        <v>371</v>
      </c>
      <c r="O109">
        <v>538</v>
      </c>
      <c r="P109">
        <v>167</v>
      </c>
      <c r="Q109">
        <v>323</v>
      </c>
      <c r="R109">
        <v>563</v>
      </c>
      <c r="S109">
        <v>240</v>
      </c>
      <c r="T109">
        <v>237</v>
      </c>
      <c r="U109">
        <v>407</v>
      </c>
      <c r="V109">
        <v>410</v>
      </c>
      <c r="W109">
        <v>500</v>
      </c>
      <c r="X109">
        <v>2.79</v>
      </c>
    </row>
    <row r="110" spans="1:24" hidden="1" outlineLevel="2" x14ac:dyDescent="0.25">
      <c r="A110" t="str">
        <f t="shared" si="20"/>
        <v>AK10 - 1997</v>
      </c>
      <c r="B110" t="s">
        <v>39</v>
      </c>
      <c r="C110">
        <v>3</v>
      </c>
      <c r="D110">
        <v>12</v>
      </c>
      <c r="E110">
        <v>1997</v>
      </c>
      <c r="F110">
        <v>155.30000000000001</v>
      </c>
      <c r="G110">
        <v>15.9</v>
      </c>
      <c r="H110">
        <v>14.4</v>
      </c>
      <c r="I110">
        <v>1.5</v>
      </c>
      <c r="J110">
        <v>9</v>
      </c>
      <c r="K110">
        <v>147.19999999999999</v>
      </c>
      <c r="L110">
        <v>757.7</v>
      </c>
      <c r="M110">
        <v>409</v>
      </c>
      <c r="N110">
        <v>393</v>
      </c>
      <c r="O110">
        <v>556</v>
      </c>
      <c r="P110">
        <v>163</v>
      </c>
      <c r="Q110">
        <v>346</v>
      </c>
      <c r="R110">
        <v>570</v>
      </c>
      <c r="S110">
        <v>224</v>
      </c>
      <c r="T110">
        <v>245.7</v>
      </c>
      <c r="U110">
        <v>415</v>
      </c>
      <c r="V110">
        <v>411</v>
      </c>
      <c r="W110">
        <v>500</v>
      </c>
      <c r="X110">
        <v>2.79</v>
      </c>
    </row>
    <row r="111" spans="1:24" hidden="1" outlineLevel="2" x14ac:dyDescent="0.25">
      <c r="A111" t="str">
        <f t="shared" si="20"/>
        <v>AK10 - 1997</v>
      </c>
      <c r="B111" t="s">
        <v>39</v>
      </c>
      <c r="C111">
        <v>4</v>
      </c>
      <c r="D111">
        <v>11</v>
      </c>
      <c r="E111">
        <v>1997</v>
      </c>
      <c r="F111">
        <v>123.3</v>
      </c>
      <c r="G111">
        <v>5.0999999999999996</v>
      </c>
      <c r="H111">
        <v>4.8</v>
      </c>
      <c r="I111">
        <v>0.3</v>
      </c>
      <c r="J111">
        <v>5</v>
      </c>
      <c r="K111">
        <v>38.700000000000003</v>
      </c>
      <c r="L111">
        <v>477.6</v>
      </c>
      <c r="M111">
        <v>387</v>
      </c>
      <c r="N111">
        <v>378</v>
      </c>
      <c r="O111">
        <v>530</v>
      </c>
      <c r="P111">
        <v>152</v>
      </c>
      <c r="Q111">
        <v>292</v>
      </c>
      <c r="R111">
        <v>530</v>
      </c>
      <c r="S111">
        <v>238</v>
      </c>
      <c r="T111">
        <v>174</v>
      </c>
      <c r="U111">
        <v>381</v>
      </c>
      <c r="V111">
        <v>390</v>
      </c>
      <c r="W111">
        <v>500</v>
      </c>
      <c r="X111">
        <v>2.79</v>
      </c>
    </row>
    <row r="112" spans="1:24" hidden="1" outlineLevel="2" x14ac:dyDescent="0.25">
      <c r="A112" t="str">
        <f t="shared" si="20"/>
        <v>AK10 - 1997</v>
      </c>
      <c r="B112" t="s">
        <v>39</v>
      </c>
      <c r="C112">
        <v>5</v>
      </c>
      <c r="D112">
        <v>12</v>
      </c>
      <c r="E112">
        <v>1997</v>
      </c>
      <c r="F112">
        <v>172</v>
      </c>
      <c r="G112">
        <v>15.9</v>
      </c>
      <c r="H112">
        <v>14.7</v>
      </c>
      <c r="I112">
        <v>1.2</v>
      </c>
      <c r="J112">
        <v>7</v>
      </c>
      <c r="K112">
        <v>163.9</v>
      </c>
      <c r="L112">
        <v>929.4</v>
      </c>
      <c r="M112">
        <v>393</v>
      </c>
      <c r="N112">
        <v>383</v>
      </c>
      <c r="O112">
        <v>518</v>
      </c>
      <c r="P112">
        <v>135</v>
      </c>
      <c r="Q112">
        <v>330</v>
      </c>
      <c r="R112">
        <v>545</v>
      </c>
      <c r="S112">
        <v>215</v>
      </c>
      <c r="T112">
        <v>256.2</v>
      </c>
      <c r="U112">
        <v>421</v>
      </c>
      <c r="V112">
        <v>409</v>
      </c>
      <c r="W112">
        <v>500</v>
      </c>
      <c r="X112">
        <v>2.79</v>
      </c>
    </row>
    <row r="113" spans="1:24" hidden="1" outlineLevel="2" x14ac:dyDescent="0.25">
      <c r="A113" t="str">
        <f t="shared" si="20"/>
        <v>AK10 - 1997</v>
      </c>
      <c r="B113" t="s">
        <v>39</v>
      </c>
      <c r="C113">
        <v>6</v>
      </c>
      <c r="D113">
        <v>12</v>
      </c>
      <c r="E113">
        <v>1997</v>
      </c>
      <c r="F113">
        <v>166.8</v>
      </c>
      <c r="G113">
        <v>14.1</v>
      </c>
      <c r="H113">
        <v>13.5</v>
      </c>
      <c r="I113">
        <v>0.6</v>
      </c>
      <c r="J113">
        <v>4</v>
      </c>
      <c r="K113">
        <v>141.5</v>
      </c>
      <c r="L113">
        <v>874.1</v>
      </c>
      <c r="M113">
        <v>360</v>
      </c>
      <c r="N113">
        <v>352</v>
      </c>
      <c r="O113">
        <v>521</v>
      </c>
      <c r="P113">
        <v>169</v>
      </c>
      <c r="Q113">
        <v>297</v>
      </c>
      <c r="R113">
        <v>530</v>
      </c>
      <c r="S113">
        <v>233</v>
      </c>
      <c r="T113">
        <v>272.7</v>
      </c>
      <c r="U113">
        <v>388</v>
      </c>
      <c r="V113">
        <v>387</v>
      </c>
      <c r="W113">
        <v>500</v>
      </c>
      <c r="X113">
        <v>2.79</v>
      </c>
    </row>
    <row r="114" spans="1:24" hidden="1" outlineLevel="2" x14ac:dyDescent="0.25">
      <c r="A114" t="str">
        <f t="shared" si="20"/>
        <v>AK10 - 1997</v>
      </c>
      <c r="B114" t="s">
        <v>39</v>
      </c>
      <c r="C114">
        <v>7</v>
      </c>
      <c r="D114">
        <v>12</v>
      </c>
      <c r="E114">
        <v>1997</v>
      </c>
      <c r="F114">
        <v>188</v>
      </c>
      <c r="G114">
        <v>17.7</v>
      </c>
      <c r="H114">
        <v>17.399999999999999</v>
      </c>
      <c r="I114">
        <v>0.3</v>
      </c>
      <c r="J114">
        <v>1</v>
      </c>
      <c r="K114">
        <v>199.2</v>
      </c>
      <c r="L114">
        <v>1110.4000000000001</v>
      </c>
      <c r="M114">
        <v>363</v>
      </c>
      <c r="N114">
        <v>360</v>
      </c>
      <c r="O114">
        <v>509</v>
      </c>
      <c r="P114">
        <v>149</v>
      </c>
      <c r="Q114">
        <v>300</v>
      </c>
      <c r="R114">
        <v>509</v>
      </c>
      <c r="S114">
        <v>209</v>
      </c>
      <c r="T114">
        <v>289.2</v>
      </c>
      <c r="U114">
        <v>379</v>
      </c>
      <c r="V114">
        <v>380</v>
      </c>
      <c r="W114">
        <v>500</v>
      </c>
      <c r="X114">
        <v>2.79</v>
      </c>
    </row>
    <row r="115" spans="1:24" hidden="1" outlineLevel="2" x14ac:dyDescent="0.25">
      <c r="A115" t="str">
        <f t="shared" si="20"/>
        <v>AK10 - 1997</v>
      </c>
      <c r="B115" t="s">
        <v>39</v>
      </c>
      <c r="C115">
        <v>8</v>
      </c>
      <c r="D115">
        <v>12</v>
      </c>
      <c r="E115">
        <v>1997</v>
      </c>
      <c r="F115">
        <v>196.6</v>
      </c>
      <c r="G115">
        <v>9</v>
      </c>
      <c r="H115">
        <v>8.1</v>
      </c>
      <c r="I115">
        <v>0.9</v>
      </c>
      <c r="J115">
        <v>10</v>
      </c>
      <c r="K115">
        <v>108.6</v>
      </c>
      <c r="L115">
        <v>1214.3</v>
      </c>
      <c r="M115">
        <v>398</v>
      </c>
      <c r="N115">
        <v>381</v>
      </c>
      <c r="O115">
        <v>554</v>
      </c>
      <c r="P115">
        <v>173</v>
      </c>
      <c r="Q115">
        <v>351</v>
      </c>
      <c r="R115">
        <v>576</v>
      </c>
      <c r="S115">
        <v>225</v>
      </c>
      <c r="T115">
        <v>228.9</v>
      </c>
      <c r="U115">
        <v>379</v>
      </c>
      <c r="V115">
        <v>377</v>
      </c>
      <c r="W115">
        <v>500</v>
      </c>
      <c r="X115">
        <v>2.79</v>
      </c>
    </row>
    <row r="116" spans="1:24" hidden="1" outlineLevel="2" x14ac:dyDescent="0.25">
      <c r="A116" t="str">
        <f t="shared" si="20"/>
        <v>AK10 - 1997</v>
      </c>
      <c r="B116" t="s">
        <v>39</v>
      </c>
      <c r="C116">
        <v>9</v>
      </c>
      <c r="D116">
        <v>11</v>
      </c>
      <c r="E116">
        <v>1997</v>
      </c>
      <c r="F116">
        <v>135.19999999999999</v>
      </c>
      <c r="G116">
        <v>18.899999999999999</v>
      </c>
      <c r="H116">
        <v>18.600000000000001</v>
      </c>
      <c r="I116">
        <v>0.3</v>
      </c>
      <c r="J116">
        <v>1</v>
      </c>
      <c r="K116">
        <v>149.30000000000001</v>
      </c>
      <c r="L116">
        <v>574.29999999999995</v>
      </c>
      <c r="M116">
        <v>350</v>
      </c>
      <c r="N116">
        <v>347</v>
      </c>
      <c r="O116">
        <v>506</v>
      </c>
      <c r="P116">
        <v>159</v>
      </c>
      <c r="Q116">
        <v>298</v>
      </c>
      <c r="R116">
        <v>506</v>
      </c>
      <c r="S116">
        <v>208</v>
      </c>
      <c r="T116">
        <v>273.3</v>
      </c>
      <c r="U116">
        <v>377</v>
      </c>
      <c r="V116">
        <v>375</v>
      </c>
      <c r="W116">
        <v>500</v>
      </c>
      <c r="X116">
        <v>2.79</v>
      </c>
    </row>
    <row r="117" spans="1:24" hidden="1" outlineLevel="2" x14ac:dyDescent="0.25">
      <c r="A117" t="str">
        <f t="shared" si="20"/>
        <v>AK10 - 1997</v>
      </c>
      <c r="B117" t="s">
        <v>39</v>
      </c>
      <c r="C117">
        <v>10</v>
      </c>
      <c r="D117">
        <v>12</v>
      </c>
      <c r="E117">
        <v>1997</v>
      </c>
      <c r="F117">
        <v>109.1</v>
      </c>
      <c r="G117">
        <v>11.7</v>
      </c>
      <c r="H117">
        <v>9.9</v>
      </c>
      <c r="I117">
        <v>1.8</v>
      </c>
      <c r="J117">
        <v>15</v>
      </c>
      <c r="K117">
        <v>75.900000000000006</v>
      </c>
      <c r="L117">
        <v>373.9</v>
      </c>
      <c r="M117">
        <v>402</v>
      </c>
      <c r="N117">
        <v>382</v>
      </c>
      <c r="O117">
        <v>515</v>
      </c>
      <c r="P117">
        <v>133</v>
      </c>
      <c r="Q117">
        <v>338</v>
      </c>
      <c r="R117">
        <v>529</v>
      </c>
      <c r="S117">
        <v>191</v>
      </c>
      <c r="T117">
        <v>203.4</v>
      </c>
      <c r="U117">
        <v>405</v>
      </c>
      <c r="V117">
        <v>408</v>
      </c>
      <c r="W117">
        <v>500</v>
      </c>
      <c r="X117">
        <v>2.79</v>
      </c>
    </row>
    <row r="118" spans="1:24" hidden="1" outlineLevel="2" x14ac:dyDescent="0.25">
      <c r="A118" t="str">
        <f t="shared" si="20"/>
        <v>AK10 - 1997</v>
      </c>
      <c r="B118" t="s">
        <v>39</v>
      </c>
      <c r="C118">
        <v>11</v>
      </c>
      <c r="D118">
        <v>12</v>
      </c>
      <c r="E118">
        <v>1997</v>
      </c>
      <c r="F118">
        <v>112.2</v>
      </c>
      <c r="G118">
        <v>18.600000000000001</v>
      </c>
      <c r="H118">
        <v>18.600000000000001</v>
      </c>
      <c r="I118">
        <v>0</v>
      </c>
      <c r="J118">
        <v>0</v>
      </c>
      <c r="K118">
        <v>120.3</v>
      </c>
      <c r="L118">
        <v>395.5</v>
      </c>
      <c r="M118">
        <v>366</v>
      </c>
      <c r="N118">
        <v>366</v>
      </c>
      <c r="Q118">
        <v>304</v>
      </c>
      <c r="R118">
        <v>487</v>
      </c>
      <c r="S118">
        <v>183</v>
      </c>
      <c r="T118">
        <v>249.6</v>
      </c>
      <c r="U118">
        <v>367</v>
      </c>
      <c r="V118">
        <v>369</v>
      </c>
      <c r="W118">
        <v>500</v>
      </c>
      <c r="X118">
        <v>2.79</v>
      </c>
    </row>
    <row r="119" spans="1:24" outlineLevel="1" collapsed="1" x14ac:dyDescent="0.25">
      <c r="A119" s="8" t="s">
        <v>179</v>
      </c>
      <c r="D119">
        <f t="shared" ref="D119:V119" si="21">SUBTOTAL(1,D108:D118)</f>
        <v>11.818181818181818</v>
      </c>
      <c r="E119">
        <f t="shared" si="21"/>
        <v>1997</v>
      </c>
      <c r="F119">
        <f t="shared" si="21"/>
        <v>156.12727272727273</v>
      </c>
      <c r="G119">
        <f t="shared" si="21"/>
        <v>14.127272727272725</v>
      </c>
      <c r="H119">
        <f t="shared" si="21"/>
        <v>13.17272727272727</v>
      </c>
      <c r="I119">
        <f t="shared" si="21"/>
        <v>0.95454545454545459</v>
      </c>
      <c r="J119">
        <f t="shared" si="21"/>
        <v>6.7272727272727275</v>
      </c>
      <c r="K119">
        <f t="shared" si="21"/>
        <v>131.6090909090909</v>
      </c>
      <c r="L119">
        <f t="shared" si="21"/>
        <v>794.76363636363635</v>
      </c>
      <c r="M119">
        <f t="shared" si="21"/>
        <v>383.27272727272725</v>
      </c>
      <c r="N119">
        <f t="shared" si="21"/>
        <v>372</v>
      </c>
      <c r="O119">
        <f t="shared" si="21"/>
        <v>527.6</v>
      </c>
      <c r="P119">
        <f t="shared" si="21"/>
        <v>155</v>
      </c>
      <c r="Q119">
        <f t="shared" si="21"/>
        <v>319.63636363636363</v>
      </c>
      <c r="R119">
        <f t="shared" si="21"/>
        <v>535.09090909090912</v>
      </c>
      <c r="S119">
        <f t="shared" si="21"/>
        <v>215.45454545454547</v>
      </c>
      <c r="T119">
        <f t="shared" si="21"/>
        <v>240.51818181818183</v>
      </c>
      <c r="U119">
        <f t="shared" si="21"/>
        <v>395.18181818181819</v>
      </c>
      <c r="V119">
        <f t="shared" si="21"/>
        <v>394</v>
      </c>
    </row>
    <row r="120" spans="1:24" hidden="1" outlineLevel="2" x14ac:dyDescent="0.25">
      <c r="A120" t="str">
        <f t="shared" ref="A120:A130" si="22">CONCATENATE(B120," - ",E120)</f>
        <v>AK10 - 1998</v>
      </c>
      <c r="B120" t="s">
        <v>39</v>
      </c>
      <c r="C120">
        <v>1</v>
      </c>
      <c r="D120">
        <v>13</v>
      </c>
      <c r="E120">
        <v>1998</v>
      </c>
      <c r="F120">
        <v>200.7</v>
      </c>
      <c r="G120">
        <v>7.5</v>
      </c>
      <c r="H120">
        <v>6.3</v>
      </c>
      <c r="I120">
        <v>1.2</v>
      </c>
      <c r="J120">
        <v>16</v>
      </c>
      <c r="K120">
        <v>92.8</v>
      </c>
      <c r="L120">
        <v>1265.4000000000001</v>
      </c>
      <c r="M120">
        <v>426</v>
      </c>
      <c r="N120">
        <v>401</v>
      </c>
      <c r="O120">
        <v>558</v>
      </c>
      <c r="P120">
        <v>157</v>
      </c>
      <c r="Q120">
        <v>333</v>
      </c>
      <c r="R120">
        <v>580</v>
      </c>
      <c r="S120">
        <v>247</v>
      </c>
      <c r="T120">
        <v>215.7</v>
      </c>
      <c r="U120">
        <v>428</v>
      </c>
      <c r="V120">
        <v>418</v>
      </c>
      <c r="W120">
        <v>500</v>
      </c>
      <c r="X120">
        <v>2.79</v>
      </c>
    </row>
    <row r="121" spans="1:24" hidden="1" outlineLevel="2" x14ac:dyDescent="0.25">
      <c r="A121" t="str">
        <f t="shared" si="22"/>
        <v>AK10 - 1998</v>
      </c>
      <c r="B121" t="s">
        <v>39</v>
      </c>
      <c r="C121">
        <v>2</v>
      </c>
      <c r="D121">
        <v>13</v>
      </c>
      <c r="E121">
        <v>1998</v>
      </c>
      <c r="F121">
        <v>176.5</v>
      </c>
      <c r="G121">
        <v>10.8</v>
      </c>
      <c r="H121">
        <v>9.6</v>
      </c>
      <c r="I121">
        <v>1.2</v>
      </c>
      <c r="J121">
        <v>11</v>
      </c>
      <c r="K121">
        <v>116.1</v>
      </c>
      <c r="L121">
        <v>978.7</v>
      </c>
      <c r="M121">
        <v>398</v>
      </c>
      <c r="N121">
        <v>380</v>
      </c>
      <c r="O121">
        <v>546</v>
      </c>
      <c r="P121">
        <v>166</v>
      </c>
      <c r="Q121">
        <v>323</v>
      </c>
      <c r="R121">
        <v>575</v>
      </c>
      <c r="S121">
        <v>252</v>
      </c>
      <c r="T121">
        <v>237</v>
      </c>
      <c r="U121">
        <v>407</v>
      </c>
      <c r="V121">
        <v>410</v>
      </c>
      <c r="W121">
        <v>500</v>
      </c>
      <c r="X121">
        <v>2.79</v>
      </c>
    </row>
    <row r="122" spans="1:24" hidden="1" outlineLevel="2" x14ac:dyDescent="0.25">
      <c r="A122" t="str">
        <f t="shared" si="22"/>
        <v>AK10 - 1998</v>
      </c>
      <c r="B122" t="s">
        <v>39</v>
      </c>
      <c r="C122">
        <v>3</v>
      </c>
      <c r="D122">
        <v>13</v>
      </c>
      <c r="E122">
        <v>1998</v>
      </c>
      <c r="F122">
        <v>167.9</v>
      </c>
      <c r="G122">
        <v>12.6</v>
      </c>
      <c r="H122">
        <v>11.1</v>
      </c>
      <c r="I122">
        <v>1.5</v>
      </c>
      <c r="J122">
        <v>11</v>
      </c>
      <c r="K122">
        <v>127.9</v>
      </c>
      <c r="L122">
        <v>885.6</v>
      </c>
      <c r="M122">
        <v>436</v>
      </c>
      <c r="N122">
        <v>422</v>
      </c>
      <c r="O122">
        <v>543</v>
      </c>
      <c r="P122">
        <v>121</v>
      </c>
      <c r="Q122">
        <v>370</v>
      </c>
      <c r="R122">
        <v>590</v>
      </c>
      <c r="S122">
        <v>220</v>
      </c>
      <c r="T122">
        <v>245.7</v>
      </c>
      <c r="U122">
        <v>415</v>
      </c>
      <c r="V122">
        <v>411</v>
      </c>
      <c r="W122">
        <v>500</v>
      </c>
      <c r="X122">
        <v>2.79</v>
      </c>
    </row>
    <row r="123" spans="1:24" hidden="1" outlineLevel="2" x14ac:dyDescent="0.25">
      <c r="A123" t="str">
        <f t="shared" si="22"/>
        <v>AK10 - 1998</v>
      </c>
      <c r="B123" t="s">
        <v>39</v>
      </c>
      <c r="C123">
        <v>4</v>
      </c>
      <c r="D123">
        <v>12</v>
      </c>
      <c r="E123">
        <v>1998</v>
      </c>
      <c r="F123">
        <v>127.5</v>
      </c>
      <c r="G123">
        <v>4.2</v>
      </c>
      <c r="H123">
        <v>3</v>
      </c>
      <c r="I123">
        <v>1.2</v>
      </c>
      <c r="J123">
        <v>28</v>
      </c>
      <c r="K123">
        <v>33.1</v>
      </c>
      <c r="L123">
        <v>510.7</v>
      </c>
      <c r="M123">
        <v>399</v>
      </c>
      <c r="N123">
        <v>348</v>
      </c>
      <c r="O123">
        <v>526</v>
      </c>
      <c r="P123">
        <v>178</v>
      </c>
      <c r="Q123">
        <v>288</v>
      </c>
      <c r="R123">
        <v>551</v>
      </c>
      <c r="S123">
        <v>263</v>
      </c>
      <c r="T123">
        <v>174</v>
      </c>
      <c r="U123">
        <v>381</v>
      </c>
      <c r="V123">
        <v>390</v>
      </c>
      <c r="W123">
        <v>500</v>
      </c>
      <c r="X123">
        <v>2.79</v>
      </c>
    </row>
    <row r="124" spans="1:24" hidden="1" outlineLevel="2" x14ac:dyDescent="0.25">
      <c r="A124" t="str">
        <f t="shared" si="22"/>
        <v>AK10 - 1998</v>
      </c>
      <c r="B124" t="s">
        <v>39</v>
      </c>
      <c r="C124">
        <v>5</v>
      </c>
      <c r="D124">
        <v>13</v>
      </c>
      <c r="E124">
        <v>1998</v>
      </c>
      <c r="F124">
        <v>183.7</v>
      </c>
      <c r="G124">
        <v>11.7</v>
      </c>
      <c r="H124">
        <v>11.4</v>
      </c>
      <c r="I124">
        <v>0.3</v>
      </c>
      <c r="J124">
        <v>2</v>
      </c>
      <c r="K124">
        <v>130.69999999999999</v>
      </c>
      <c r="L124">
        <v>1060.2</v>
      </c>
      <c r="M124">
        <v>412</v>
      </c>
      <c r="N124">
        <v>409</v>
      </c>
      <c r="O124">
        <v>523</v>
      </c>
      <c r="P124">
        <v>114</v>
      </c>
      <c r="Q124">
        <v>320</v>
      </c>
      <c r="R124">
        <v>523</v>
      </c>
      <c r="S124">
        <v>203</v>
      </c>
      <c r="T124">
        <v>256.2</v>
      </c>
      <c r="U124">
        <v>421</v>
      </c>
      <c r="V124">
        <v>409</v>
      </c>
      <c r="W124">
        <v>500</v>
      </c>
      <c r="X124">
        <v>2.79</v>
      </c>
    </row>
    <row r="125" spans="1:24" hidden="1" outlineLevel="2" x14ac:dyDescent="0.25">
      <c r="A125" t="str">
        <f t="shared" si="22"/>
        <v>AK10 - 1998</v>
      </c>
      <c r="B125" t="s">
        <v>39</v>
      </c>
      <c r="C125">
        <v>6</v>
      </c>
      <c r="D125">
        <v>13</v>
      </c>
      <c r="E125">
        <v>1998</v>
      </c>
      <c r="F125">
        <v>175.5</v>
      </c>
      <c r="G125">
        <v>8.6999999999999993</v>
      </c>
      <c r="H125">
        <v>7.2</v>
      </c>
      <c r="I125">
        <v>1.5</v>
      </c>
      <c r="J125">
        <v>17</v>
      </c>
      <c r="K125">
        <v>93.6</v>
      </c>
      <c r="L125">
        <v>967.6</v>
      </c>
      <c r="M125">
        <v>402</v>
      </c>
      <c r="N125">
        <v>378</v>
      </c>
      <c r="O125">
        <v>518</v>
      </c>
      <c r="P125">
        <v>140</v>
      </c>
      <c r="Q125">
        <v>286</v>
      </c>
      <c r="R125">
        <v>529</v>
      </c>
      <c r="S125">
        <v>243</v>
      </c>
      <c r="T125">
        <v>272.7</v>
      </c>
      <c r="U125">
        <v>388</v>
      </c>
      <c r="V125">
        <v>387</v>
      </c>
      <c r="W125">
        <v>500</v>
      </c>
      <c r="X125">
        <v>2.79</v>
      </c>
    </row>
    <row r="126" spans="1:24" hidden="1" outlineLevel="2" x14ac:dyDescent="0.25">
      <c r="A126" t="str">
        <f t="shared" si="22"/>
        <v>AK10 - 1998</v>
      </c>
      <c r="B126" t="s">
        <v>39</v>
      </c>
      <c r="C126">
        <v>7</v>
      </c>
      <c r="D126">
        <v>13</v>
      </c>
      <c r="E126">
        <v>1998</v>
      </c>
      <c r="F126">
        <v>201.2</v>
      </c>
      <c r="G126">
        <v>13.2</v>
      </c>
      <c r="H126">
        <v>12.9</v>
      </c>
      <c r="I126">
        <v>0.3</v>
      </c>
      <c r="J126">
        <v>2</v>
      </c>
      <c r="K126">
        <v>161.4</v>
      </c>
      <c r="L126">
        <v>1271.8</v>
      </c>
      <c r="M126">
        <v>383</v>
      </c>
      <c r="N126">
        <v>381</v>
      </c>
      <c r="O126">
        <v>504</v>
      </c>
      <c r="P126">
        <v>123</v>
      </c>
      <c r="Q126">
        <v>327</v>
      </c>
      <c r="R126">
        <v>504</v>
      </c>
      <c r="S126">
        <v>177</v>
      </c>
      <c r="T126">
        <v>289.2</v>
      </c>
      <c r="U126">
        <v>379</v>
      </c>
      <c r="V126">
        <v>380</v>
      </c>
      <c r="W126">
        <v>500</v>
      </c>
      <c r="X126">
        <v>2.79</v>
      </c>
    </row>
    <row r="127" spans="1:24" hidden="1" outlineLevel="2" x14ac:dyDescent="0.25">
      <c r="A127" t="str">
        <f t="shared" si="22"/>
        <v>AK10 - 1998</v>
      </c>
      <c r="B127" t="s">
        <v>39</v>
      </c>
      <c r="C127">
        <v>8</v>
      </c>
      <c r="D127">
        <v>13</v>
      </c>
      <c r="E127">
        <v>1998</v>
      </c>
      <c r="F127">
        <v>204.1</v>
      </c>
      <c r="G127">
        <v>7.5</v>
      </c>
      <c r="H127">
        <v>6.9</v>
      </c>
      <c r="I127">
        <v>0.6</v>
      </c>
      <c r="J127">
        <v>8</v>
      </c>
      <c r="K127">
        <v>94.4</v>
      </c>
      <c r="L127">
        <v>1308.7</v>
      </c>
      <c r="M127">
        <v>392</v>
      </c>
      <c r="N127">
        <v>380</v>
      </c>
      <c r="O127">
        <v>526</v>
      </c>
      <c r="P127">
        <v>146</v>
      </c>
      <c r="Q127">
        <v>331</v>
      </c>
      <c r="R127">
        <v>552</v>
      </c>
      <c r="S127">
        <v>221</v>
      </c>
      <c r="T127">
        <v>228.9</v>
      </c>
      <c r="U127">
        <v>379</v>
      </c>
      <c r="V127">
        <v>377</v>
      </c>
      <c r="W127">
        <v>500</v>
      </c>
      <c r="X127">
        <v>2.79</v>
      </c>
    </row>
    <row r="128" spans="1:24" hidden="1" outlineLevel="2" x14ac:dyDescent="0.25">
      <c r="A128" t="str">
        <f t="shared" si="22"/>
        <v>AK10 - 1998</v>
      </c>
      <c r="B128" t="s">
        <v>39</v>
      </c>
      <c r="C128">
        <v>9</v>
      </c>
      <c r="D128">
        <v>12</v>
      </c>
      <c r="E128">
        <v>1998</v>
      </c>
      <c r="F128">
        <v>150.5</v>
      </c>
      <c r="G128">
        <v>15.3</v>
      </c>
      <c r="H128">
        <v>15</v>
      </c>
      <c r="I128">
        <v>0.3</v>
      </c>
      <c r="J128">
        <v>1</v>
      </c>
      <c r="K128">
        <v>137.30000000000001</v>
      </c>
      <c r="L128">
        <v>711.6</v>
      </c>
      <c r="M128">
        <v>374</v>
      </c>
      <c r="N128">
        <v>371</v>
      </c>
      <c r="O128">
        <v>539</v>
      </c>
      <c r="P128">
        <v>168</v>
      </c>
      <c r="Q128">
        <v>316</v>
      </c>
      <c r="R128">
        <v>539</v>
      </c>
      <c r="S128">
        <v>223</v>
      </c>
      <c r="T128">
        <v>273.3</v>
      </c>
      <c r="U128">
        <v>377</v>
      </c>
      <c r="V128">
        <v>375</v>
      </c>
      <c r="W128">
        <v>500</v>
      </c>
      <c r="X128">
        <v>2.79</v>
      </c>
    </row>
    <row r="129" spans="1:24" hidden="1" outlineLevel="2" x14ac:dyDescent="0.25">
      <c r="A129" t="str">
        <f t="shared" si="22"/>
        <v>AK10 - 1998</v>
      </c>
      <c r="B129" t="s">
        <v>39</v>
      </c>
      <c r="C129">
        <v>10</v>
      </c>
      <c r="D129">
        <v>13</v>
      </c>
      <c r="E129">
        <v>1998</v>
      </c>
      <c r="F129">
        <v>119</v>
      </c>
      <c r="G129">
        <v>9.9</v>
      </c>
      <c r="H129">
        <v>7.5</v>
      </c>
      <c r="I129">
        <v>2.4</v>
      </c>
      <c r="J129">
        <v>24</v>
      </c>
      <c r="K129">
        <v>70.900000000000006</v>
      </c>
      <c r="L129">
        <v>444.9</v>
      </c>
      <c r="M129">
        <v>424</v>
      </c>
      <c r="N129">
        <v>390</v>
      </c>
      <c r="O129">
        <v>530</v>
      </c>
      <c r="P129">
        <v>140</v>
      </c>
      <c r="Q129">
        <v>332</v>
      </c>
      <c r="R129">
        <v>548</v>
      </c>
      <c r="S129">
        <v>216</v>
      </c>
      <c r="T129">
        <v>203.4</v>
      </c>
      <c r="U129">
        <v>405</v>
      </c>
      <c r="V129">
        <v>408</v>
      </c>
      <c r="W129">
        <v>500</v>
      </c>
      <c r="X129">
        <v>2.79</v>
      </c>
    </row>
    <row r="130" spans="1:24" hidden="1" outlineLevel="2" x14ac:dyDescent="0.25">
      <c r="A130" t="str">
        <f t="shared" si="22"/>
        <v>AK10 - 1998</v>
      </c>
      <c r="B130" t="s">
        <v>39</v>
      </c>
      <c r="C130">
        <v>11</v>
      </c>
      <c r="D130">
        <v>13</v>
      </c>
      <c r="E130">
        <v>1998</v>
      </c>
      <c r="F130">
        <v>122.7</v>
      </c>
      <c r="G130">
        <v>10.5</v>
      </c>
      <c r="H130">
        <v>10.199999999999999</v>
      </c>
      <c r="I130">
        <v>0.3</v>
      </c>
      <c r="J130">
        <v>2</v>
      </c>
      <c r="K130">
        <v>77.5</v>
      </c>
      <c r="L130">
        <v>473</v>
      </c>
      <c r="M130">
        <v>368</v>
      </c>
      <c r="N130">
        <v>363</v>
      </c>
      <c r="O130">
        <v>531</v>
      </c>
      <c r="P130">
        <v>168</v>
      </c>
      <c r="Q130">
        <v>281</v>
      </c>
      <c r="R130">
        <v>531</v>
      </c>
      <c r="S130">
        <v>250</v>
      </c>
      <c r="T130">
        <v>249.6</v>
      </c>
      <c r="U130">
        <v>367</v>
      </c>
      <c r="V130">
        <v>369</v>
      </c>
      <c r="W130">
        <v>500</v>
      </c>
      <c r="X130">
        <v>2.79</v>
      </c>
    </row>
    <row r="131" spans="1:24" outlineLevel="1" collapsed="1" x14ac:dyDescent="0.25">
      <c r="A131" s="8" t="s">
        <v>180</v>
      </c>
      <c r="D131">
        <f t="shared" ref="D131:V131" si="23">SUBTOTAL(1,D120:D130)</f>
        <v>12.818181818181818</v>
      </c>
      <c r="E131">
        <f t="shared" si="23"/>
        <v>1998</v>
      </c>
      <c r="F131">
        <f t="shared" si="23"/>
        <v>166.29999999999998</v>
      </c>
      <c r="G131">
        <f t="shared" si="23"/>
        <v>10.172727272727274</v>
      </c>
      <c r="H131">
        <f t="shared" si="23"/>
        <v>9.1909090909090914</v>
      </c>
      <c r="I131">
        <f t="shared" si="23"/>
        <v>0.98181818181818192</v>
      </c>
      <c r="J131">
        <f t="shared" si="23"/>
        <v>11.090909090909092</v>
      </c>
      <c r="K131">
        <f t="shared" si="23"/>
        <v>103.24545454545455</v>
      </c>
      <c r="L131">
        <f t="shared" si="23"/>
        <v>898.01818181818192</v>
      </c>
      <c r="M131">
        <f t="shared" si="23"/>
        <v>401.27272727272725</v>
      </c>
      <c r="N131">
        <f t="shared" si="23"/>
        <v>383.90909090909093</v>
      </c>
      <c r="O131">
        <f t="shared" si="23"/>
        <v>531.27272727272725</v>
      </c>
      <c r="P131">
        <f t="shared" si="23"/>
        <v>147.36363636363637</v>
      </c>
      <c r="Q131">
        <f t="shared" si="23"/>
        <v>318.81818181818181</v>
      </c>
      <c r="R131">
        <f t="shared" si="23"/>
        <v>547.4545454545455</v>
      </c>
      <c r="S131">
        <f t="shared" si="23"/>
        <v>228.63636363636363</v>
      </c>
      <c r="T131">
        <f t="shared" si="23"/>
        <v>240.51818181818183</v>
      </c>
      <c r="U131">
        <f t="shared" si="23"/>
        <v>395.18181818181819</v>
      </c>
      <c r="V131">
        <f t="shared" si="23"/>
        <v>394</v>
      </c>
    </row>
    <row r="132" spans="1:24" hidden="1" outlineLevel="2" x14ac:dyDescent="0.25">
      <c r="A132" t="str">
        <f t="shared" ref="A132:A142" si="24">CONCATENATE(B132," - ",E132)</f>
        <v>AK10 - 1999</v>
      </c>
      <c r="B132" t="s">
        <v>39</v>
      </c>
      <c r="C132">
        <v>1</v>
      </c>
      <c r="D132">
        <v>14</v>
      </c>
      <c r="E132">
        <v>1999</v>
      </c>
      <c r="F132">
        <v>207.9</v>
      </c>
      <c r="G132">
        <v>7.2</v>
      </c>
      <c r="H132">
        <v>6.9</v>
      </c>
      <c r="I132">
        <v>0.3</v>
      </c>
      <c r="J132">
        <v>4</v>
      </c>
      <c r="K132">
        <v>92.4</v>
      </c>
      <c r="L132">
        <v>1357.9</v>
      </c>
      <c r="M132">
        <v>403</v>
      </c>
      <c r="N132">
        <v>397</v>
      </c>
      <c r="O132">
        <v>541</v>
      </c>
      <c r="P132">
        <v>144</v>
      </c>
      <c r="Q132">
        <v>351</v>
      </c>
      <c r="R132">
        <v>541</v>
      </c>
      <c r="S132">
        <v>190</v>
      </c>
      <c r="T132">
        <v>215.7</v>
      </c>
      <c r="U132">
        <v>428</v>
      </c>
      <c r="V132">
        <v>418</v>
      </c>
      <c r="W132">
        <v>500</v>
      </c>
      <c r="X132">
        <v>2.79</v>
      </c>
    </row>
    <row r="133" spans="1:24" hidden="1" outlineLevel="2" x14ac:dyDescent="0.25">
      <c r="A133" t="str">
        <f t="shared" si="24"/>
        <v>AK10 - 1999</v>
      </c>
      <c r="B133" t="s">
        <v>39</v>
      </c>
      <c r="C133">
        <v>2</v>
      </c>
      <c r="D133">
        <v>14</v>
      </c>
      <c r="E133">
        <v>1999</v>
      </c>
      <c r="F133">
        <v>187.9</v>
      </c>
      <c r="G133">
        <v>11.4</v>
      </c>
      <c r="H133">
        <v>9.3000000000000007</v>
      </c>
      <c r="I133">
        <v>2.1</v>
      </c>
      <c r="J133">
        <v>18</v>
      </c>
      <c r="K133">
        <v>130.5</v>
      </c>
      <c r="L133">
        <v>1109.2</v>
      </c>
      <c r="M133">
        <v>433</v>
      </c>
      <c r="N133">
        <v>407</v>
      </c>
      <c r="O133">
        <v>546</v>
      </c>
      <c r="P133">
        <v>139</v>
      </c>
      <c r="Q133">
        <v>355</v>
      </c>
      <c r="R133">
        <v>598</v>
      </c>
      <c r="S133">
        <v>243</v>
      </c>
      <c r="T133">
        <v>237</v>
      </c>
      <c r="U133">
        <v>407</v>
      </c>
      <c r="V133">
        <v>410</v>
      </c>
      <c r="W133">
        <v>500</v>
      </c>
      <c r="X133">
        <v>2.79</v>
      </c>
    </row>
    <row r="134" spans="1:24" hidden="1" outlineLevel="2" x14ac:dyDescent="0.25">
      <c r="A134" t="str">
        <f t="shared" si="24"/>
        <v>AK10 - 1999</v>
      </c>
      <c r="B134" t="s">
        <v>39</v>
      </c>
      <c r="C134">
        <v>3</v>
      </c>
      <c r="D134">
        <v>14</v>
      </c>
      <c r="E134">
        <v>1999</v>
      </c>
      <c r="F134">
        <v>183.8</v>
      </c>
      <c r="G134">
        <v>15.9</v>
      </c>
      <c r="H134">
        <v>15.6</v>
      </c>
      <c r="I134">
        <v>0.3</v>
      </c>
      <c r="J134">
        <v>1</v>
      </c>
      <c r="K134">
        <v>175.7</v>
      </c>
      <c r="L134">
        <v>1061.3</v>
      </c>
      <c r="M134">
        <v>395</v>
      </c>
      <c r="N134">
        <v>392</v>
      </c>
      <c r="O134">
        <v>543</v>
      </c>
      <c r="P134">
        <v>151</v>
      </c>
      <c r="Q134">
        <v>349</v>
      </c>
      <c r="R134">
        <v>543</v>
      </c>
      <c r="S134">
        <v>194</v>
      </c>
      <c r="T134">
        <v>245.7</v>
      </c>
      <c r="U134">
        <v>415</v>
      </c>
      <c r="V134">
        <v>411</v>
      </c>
      <c r="W134">
        <v>500</v>
      </c>
      <c r="X134">
        <v>2.79</v>
      </c>
    </row>
    <row r="135" spans="1:24" hidden="1" outlineLevel="2" x14ac:dyDescent="0.25">
      <c r="A135" t="str">
        <f t="shared" si="24"/>
        <v>AK10 - 1999</v>
      </c>
      <c r="B135" t="s">
        <v>39</v>
      </c>
      <c r="C135">
        <v>4</v>
      </c>
      <c r="D135">
        <v>13</v>
      </c>
      <c r="E135">
        <v>1999</v>
      </c>
      <c r="F135">
        <v>133.19999999999999</v>
      </c>
      <c r="G135">
        <v>5.7</v>
      </c>
      <c r="H135">
        <v>5.7</v>
      </c>
      <c r="I135">
        <v>0</v>
      </c>
      <c r="J135">
        <v>0</v>
      </c>
      <c r="K135">
        <v>46.7</v>
      </c>
      <c r="L135">
        <v>557.4</v>
      </c>
      <c r="M135">
        <v>386</v>
      </c>
      <c r="N135">
        <v>386</v>
      </c>
      <c r="Q135">
        <v>313</v>
      </c>
      <c r="R135">
        <v>488</v>
      </c>
      <c r="S135">
        <v>175</v>
      </c>
      <c r="T135">
        <v>174</v>
      </c>
      <c r="U135">
        <v>381</v>
      </c>
      <c r="V135">
        <v>390</v>
      </c>
      <c r="W135">
        <v>500</v>
      </c>
      <c r="X135">
        <v>2.79</v>
      </c>
    </row>
    <row r="136" spans="1:24" hidden="1" outlineLevel="2" x14ac:dyDescent="0.25">
      <c r="A136" t="str">
        <f t="shared" si="24"/>
        <v>AK10 - 1999</v>
      </c>
      <c r="B136" t="s">
        <v>39</v>
      </c>
      <c r="C136">
        <v>5</v>
      </c>
      <c r="D136">
        <v>14</v>
      </c>
      <c r="E136">
        <v>1999</v>
      </c>
      <c r="F136">
        <v>196</v>
      </c>
      <c r="G136">
        <v>12.3</v>
      </c>
      <c r="H136">
        <v>12.3</v>
      </c>
      <c r="I136">
        <v>0</v>
      </c>
      <c r="J136">
        <v>0</v>
      </c>
      <c r="K136">
        <v>146.69999999999999</v>
      </c>
      <c r="L136">
        <v>1206.9000000000001</v>
      </c>
      <c r="M136">
        <v>369</v>
      </c>
      <c r="N136">
        <v>369</v>
      </c>
      <c r="Q136">
        <v>305</v>
      </c>
      <c r="R136">
        <v>498</v>
      </c>
      <c r="S136">
        <v>193</v>
      </c>
      <c r="T136">
        <v>256.2</v>
      </c>
      <c r="U136">
        <v>421</v>
      </c>
      <c r="V136">
        <v>409</v>
      </c>
      <c r="W136">
        <v>500</v>
      </c>
      <c r="X136">
        <v>2.79</v>
      </c>
    </row>
    <row r="137" spans="1:24" hidden="1" outlineLevel="2" x14ac:dyDescent="0.25">
      <c r="A137" t="str">
        <f t="shared" si="24"/>
        <v>AK10 - 1999</v>
      </c>
      <c r="B137" t="s">
        <v>39</v>
      </c>
      <c r="C137">
        <v>6</v>
      </c>
      <c r="D137">
        <v>14</v>
      </c>
      <c r="E137">
        <v>1999</v>
      </c>
      <c r="F137">
        <v>188.4</v>
      </c>
      <c r="G137">
        <v>12.9</v>
      </c>
      <c r="H137">
        <v>12.6</v>
      </c>
      <c r="I137">
        <v>0.3</v>
      </c>
      <c r="J137">
        <v>2</v>
      </c>
      <c r="K137">
        <v>147.5</v>
      </c>
      <c r="L137">
        <v>1115.0999999999999</v>
      </c>
      <c r="M137">
        <v>370</v>
      </c>
      <c r="N137">
        <v>367</v>
      </c>
      <c r="O137">
        <v>500</v>
      </c>
      <c r="P137">
        <v>133</v>
      </c>
      <c r="Q137">
        <v>319</v>
      </c>
      <c r="R137">
        <v>500</v>
      </c>
      <c r="S137">
        <v>181</v>
      </c>
      <c r="T137">
        <v>272.7</v>
      </c>
      <c r="U137">
        <v>388</v>
      </c>
      <c r="V137">
        <v>387</v>
      </c>
      <c r="W137">
        <v>500</v>
      </c>
      <c r="X137">
        <v>2.79</v>
      </c>
    </row>
    <row r="138" spans="1:24" hidden="1" outlineLevel="2" x14ac:dyDescent="0.25">
      <c r="A138" t="str">
        <f t="shared" si="24"/>
        <v>AK10 - 1999</v>
      </c>
      <c r="B138" t="s">
        <v>39</v>
      </c>
      <c r="C138">
        <v>7</v>
      </c>
      <c r="D138">
        <v>14</v>
      </c>
      <c r="E138">
        <v>1999</v>
      </c>
      <c r="F138">
        <v>215</v>
      </c>
      <c r="G138">
        <v>13.8</v>
      </c>
      <c r="H138">
        <v>13.5</v>
      </c>
      <c r="I138">
        <v>0.3</v>
      </c>
      <c r="J138">
        <v>2</v>
      </c>
      <c r="K138">
        <v>180.4</v>
      </c>
      <c r="L138">
        <v>1452.2</v>
      </c>
      <c r="M138">
        <v>366</v>
      </c>
      <c r="N138">
        <v>362</v>
      </c>
      <c r="O138">
        <v>556</v>
      </c>
      <c r="P138">
        <v>194</v>
      </c>
      <c r="Q138">
        <v>314</v>
      </c>
      <c r="R138">
        <v>556</v>
      </c>
      <c r="S138">
        <v>242</v>
      </c>
      <c r="T138">
        <v>289.2</v>
      </c>
      <c r="U138">
        <v>379</v>
      </c>
      <c r="V138">
        <v>380</v>
      </c>
      <c r="W138">
        <v>500</v>
      </c>
      <c r="X138">
        <v>2.79</v>
      </c>
    </row>
    <row r="139" spans="1:24" hidden="1" outlineLevel="2" x14ac:dyDescent="0.25">
      <c r="A139" t="str">
        <f t="shared" si="24"/>
        <v>AK10 - 1999</v>
      </c>
      <c r="B139" t="s">
        <v>39</v>
      </c>
      <c r="C139">
        <v>8</v>
      </c>
      <c r="D139">
        <v>14</v>
      </c>
      <c r="E139">
        <v>1999</v>
      </c>
      <c r="F139">
        <v>212.8</v>
      </c>
      <c r="G139">
        <v>8.6999999999999993</v>
      </c>
      <c r="H139">
        <v>8.6999999999999993</v>
      </c>
      <c r="I139">
        <v>0</v>
      </c>
      <c r="J139">
        <v>0</v>
      </c>
      <c r="K139">
        <v>113.9</v>
      </c>
      <c r="L139">
        <v>1422.6</v>
      </c>
      <c r="M139">
        <v>395</v>
      </c>
      <c r="N139">
        <v>395</v>
      </c>
      <c r="Q139">
        <v>355</v>
      </c>
      <c r="R139">
        <v>460</v>
      </c>
      <c r="S139">
        <v>105</v>
      </c>
      <c r="T139">
        <v>228.9</v>
      </c>
      <c r="U139">
        <v>379</v>
      </c>
      <c r="V139">
        <v>377</v>
      </c>
      <c r="W139">
        <v>500</v>
      </c>
      <c r="X139">
        <v>2.79</v>
      </c>
    </row>
    <row r="140" spans="1:24" hidden="1" outlineLevel="2" x14ac:dyDescent="0.25">
      <c r="A140" t="str">
        <f t="shared" si="24"/>
        <v>AK10 - 1999</v>
      </c>
      <c r="B140" t="s">
        <v>39</v>
      </c>
      <c r="C140">
        <v>9</v>
      </c>
      <c r="D140">
        <v>13</v>
      </c>
      <c r="E140">
        <v>1999</v>
      </c>
      <c r="F140">
        <v>168.2</v>
      </c>
      <c r="G140">
        <v>17.7</v>
      </c>
      <c r="H140">
        <v>17.100000000000001</v>
      </c>
      <c r="I140">
        <v>0.6</v>
      </c>
      <c r="J140">
        <v>3</v>
      </c>
      <c r="K140">
        <v>177.2</v>
      </c>
      <c r="L140">
        <v>888.8</v>
      </c>
      <c r="M140">
        <v>367</v>
      </c>
      <c r="N140">
        <v>362</v>
      </c>
      <c r="O140">
        <v>535</v>
      </c>
      <c r="P140">
        <v>173</v>
      </c>
      <c r="Q140">
        <v>301</v>
      </c>
      <c r="R140">
        <v>552</v>
      </c>
      <c r="S140">
        <v>251</v>
      </c>
      <c r="T140">
        <v>273.3</v>
      </c>
      <c r="U140">
        <v>377</v>
      </c>
      <c r="V140">
        <v>375</v>
      </c>
      <c r="W140">
        <v>500</v>
      </c>
      <c r="X140">
        <v>2.79</v>
      </c>
    </row>
    <row r="141" spans="1:24" hidden="1" outlineLevel="2" x14ac:dyDescent="0.25">
      <c r="A141" t="str">
        <f t="shared" si="24"/>
        <v>AK10 - 1999</v>
      </c>
      <c r="B141" t="s">
        <v>39</v>
      </c>
      <c r="C141">
        <v>10</v>
      </c>
      <c r="D141">
        <v>14</v>
      </c>
      <c r="E141">
        <v>1999</v>
      </c>
      <c r="F141">
        <v>133.1</v>
      </c>
      <c r="G141">
        <v>14.1</v>
      </c>
      <c r="H141">
        <v>12.9</v>
      </c>
      <c r="I141">
        <v>1.2</v>
      </c>
      <c r="J141">
        <v>8</v>
      </c>
      <c r="K141">
        <v>111.7</v>
      </c>
      <c r="L141">
        <v>556.6</v>
      </c>
      <c r="M141">
        <v>412</v>
      </c>
      <c r="N141">
        <v>402</v>
      </c>
      <c r="O141">
        <v>523</v>
      </c>
      <c r="P141">
        <v>121</v>
      </c>
      <c r="Q141">
        <v>334</v>
      </c>
      <c r="R141">
        <v>539</v>
      </c>
      <c r="S141">
        <v>205</v>
      </c>
      <c r="T141">
        <v>203.4</v>
      </c>
      <c r="U141">
        <v>405</v>
      </c>
      <c r="V141">
        <v>408</v>
      </c>
      <c r="W141">
        <v>500</v>
      </c>
      <c r="X141">
        <v>2.79</v>
      </c>
    </row>
    <row r="142" spans="1:24" hidden="1" outlineLevel="2" x14ac:dyDescent="0.25">
      <c r="A142" t="str">
        <f t="shared" si="24"/>
        <v>AK10 - 1999</v>
      </c>
      <c r="B142" t="s">
        <v>39</v>
      </c>
      <c r="C142">
        <v>11</v>
      </c>
      <c r="D142">
        <v>14</v>
      </c>
      <c r="E142">
        <v>1999</v>
      </c>
      <c r="F142">
        <v>135.9</v>
      </c>
      <c r="G142">
        <v>13.2</v>
      </c>
      <c r="H142">
        <v>13.2</v>
      </c>
      <c r="I142">
        <v>0</v>
      </c>
      <c r="J142">
        <v>0</v>
      </c>
      <c r="K142">
        <v>107.2</v>
      </c>
      <c r="L142">
        <v>580.20000000000005</v>
      </c>
      <c r="M142">
        <v>363</v>
      </c>
      <c r="N142">
        <v>363</v>
      </c>
      <c r="Q142">
        <v>303</v>
      </c>
      <c r="R142">
        <v>467</v>
      </c>
      <c r="S142">
        <v>164</v>
      </c>
      <c r="T142">
        <v>249.6</v>
      </c>
      <c r="U142">
        <v>367</v>
      </c>
      <c r="V142">
        <v>369</v>
      </c>
      <c r="W142">
        <v>500</v>
      </c>
      <c r="X142">
        <v>2.79</v>
      </c>
    </row>
    <row r="143" spans="1:24" outlineLevel="1" collapsed="1" x14ac:dyDescent="0.25">
      <c r="A143" s="8" t="s">
        <v>181</v>
      </c>
      <c r="D143">
        <f t="shared" ref="D143:V143" si="25">SUBTOTAL(1,D132:D142)</f>
        <v>13.818181818181818</v>
      </c>
      <c r="E143">
        <f t="shared" si="25"/>
        <v>1999</v>
      </c>
      <c r="F143">
        <f t="shared" si="25"/>
        <v>178.38181818181818</v>
      </c>
      <c r="G143">
        <f t="shared" si="25"/>
        <v>12.081818181818182</v>
      </c>
      <c r="H143">
        <f t="shared" si="25"/>
        <v>11.618181818181821</v>
      </c>
      <c r="I143">
        <f t="shared" si="25"/>
        <v>0.46363636363636362</v>
      </c>
      <c r="J143">
        <f t="shared" si="25"/>
        <v>3.4545454545454546</v>
      </c>
      <c r="K143">
        <f t="shared" si="25"/>
        <v>129.9909090909091</v>
      </c>
      <c r="L143">
        <f t="shared" si="25"/>
        <v>1028.0181818181818</v>
      </c>
      <c r="M143">
        <f t="shared" si="25"/>
        <v>387.18181818181819</v>
      </c>
      <c r="N143">
        <f t="shared" si="25"/>
        <v>382</v>
      </c>
      <c r="O143">
        <f t="shared" si="25"/>
        <v>534.85714285714289</v>
      </c>
      <c r="P143">
        <f t="shared" si="25"/>
        <v>150.71428571428572</v>
      </c>
      <c r="Q143">
        <f t="shared" si="25"/>
        <v>327.18181818181819</v>
      </c>
      <c r="R143">
        <f t="shared" si="25"/>
        <v>522</v>
      </c>
      <c r="S143">
        <f t="shared" si="25"/>
        <v>194.81818181818181</v>
      </c>
      <c r="T143">
        <f t="shared" si="25"/>
        <v>240.51818181818183</v>
      </c>
      <c r="U143">
        <f t="shared" si="25"/>
        <v>395.18181818181819</v>
      </c>
      <c r="V143">
        <f t="shared" si="25"/>
        <v>394</v>
      </c>
    </row>
    <row r="144" spans="1:24" hidden="1" outlineLevel="2" x14ac:dyDescent="0.25">
      <c r="A144" t="str">
        <f t="shared" ref="A144:A154" si="26">CONCATENATE(B144," - ",E144)</f>
        <v>AK10 - 2000</v>
      </c>
      <c r="B144" t="s">
        <v>39</v>
      </c>
      <c r="C144">
        <v>1</v>
      </c>
      <c r="D144">
        <v>15</v>
      </c>
      <c r="E144">
        <v>2000</v>
      </c>
      <c r="F144">
        <v>214.5</v>
      </c>
      <c r="G144">
        <v>6.6</v>
      </c>
      <c r="H144">
        <v>6</v>
      </c>
      <c r="I144">
        <v>0.6</v>
      </c>
      <c r="J144">
        <v>9</v>
      </c>
      <c r="K144">
        <v>87.6</v>
      </c>
      <c r="L144">
        <v>1445.5</v>
      </c>
      <c r="M144">
        <v>418</v>
      </c>
      <c r="N144">
        <v>405</v>
      </c>
      <c r="O144">
        <v>552</v>
      </c>
      <c r="P144">
        <v>147</v>
      </c>
      <c r="Q144">
        <v>339</v>
      </c>
      <c r="R144">
        <v>571</v>
      </c>
      <c r="S144">
        <v>232</v>
      </c>
      <c r="T144">
        <v>215.7</v>
      </c>
      <c r="U144">
        <v>428</v>
      </c>
      <c r="V144">
        <v>418</v>
      </c>
      <c r="W144">
        <v>500</v>
      </c>
      <c r="X144">
        <v>2.79</v>
      </c>
    </row>
    <row r="145" spans="1:24" hidden="1" outlineLevel="2" x14ac:dyDescent="0.25">
      <c r="A145" t="str">
        <f t="shared" si="26"/>
        <v>AK10 - 2000</v>
      </c>
      <c r="B145" t="s">
        <v>39</v>
      </c>
      <c r="C145">
        <v>2</v>
      </c>
      <c r="D145">
        <v>15</v>
      </c>
      <c r="E145">
        <v>2000</v>
      </c>
      <c r="F145">
        <v>197.8</v>
      </c>
      <c r="G145">
        <v>9.9</v>
      </c>
      <c r="H145">
        <v>8.6999999999999993</v>
      </c>
      <c r="I145">
        <v>1.2</v>
      </c>
      <c r="J145">
        <v>12</v>
      </c>
      <c r="K145">
        <v>120</v>
      </c>
      <c r="L145">
        <v>1229.0999999999999</v>
      </c>
      <c r="M145">
        <v>416</v>
      </c>
      <c r="N145">
        <v>396</v>
      </c>
      <c r="O145">
        <v>554</v>
      </c>
      <c r="P145">
        <v>158</v>
      </c>
      <c r="Q145">
        <v>343</v>
      </c>
      <c r="R145">
        <v>583</v>
      </c>
      <c r="S145">
        <v>240</v>
      </c>
      <c r="T145">
        <v>237</v>
      </c>
      <c r="U145">
        <v>407</v>
      </c>
      <c r="V145">
        <v>410</v>
      </c>
      <c r="W145">
        <v>500</v>
      </c>
      <c r="X145">
        <v>2.79</v>
      </c>
    </row>
    <row r="146" spans="1:24" hidden="1" outlineLevel="2" x14ac:dyDescent="0.25">
      <c r="A146" t="str">
        <f t="shared" si="26"/>
        <v>AK10 - 2000</v>
      </c>
      <c r="B146" t="s">
        <v>39</v>
      </c>
      <c r="C146">
        <v>3</v>
      </c>
      <c r="D146">
        <v>15</v>
      </c>
      <c r="E146">
        <v>2000</v>
      </c>
      <c r="F146">
        <v>192.5</v>
      </c>
      <c r="G146">
        <v>8.6999999999999993</v>
      </c>
      <c r="H146">
        <v>7.5</v>
      </c>
      <c r="I146">
        <v>1.2</v>
      </c>
      <c r="J146">
        <v>13</v>
      </c>
      <c r="K146">
        <v>102.8</v>
      </c>
      <c r="L146">
        <v>1164.2</v>
      </c>
      <c r="M146">
        <v>413</v>
      </c>
      <c r="N146">
        <v>392</v>
      </c>
      <c r="O146">
        <v>544</v>
      </c>
      <c r="P146">
        <v>152</v>
      </c>
      <c r="Q146">
        <v>341</v>
      </c>
      <c r="R146">
        <v>580</v>
      </c>
      <c r="S146">
        <v>239</v>
      </c>
      <c r="T146">
        <v>245.7</v>
      </c>
      <c r="U146">
        <v>415</v>
      </c>
      <c r="V146">
        <v>411</v>
      </c>
      <c r="W146">
        <v>500</v>
      </c>
      <c r="X146">
        <v>2.79</v>
      </c>
    </row>
    <row r="147" spans="1:24" hidden="1" outlineLevel="2" x14ac:dyDescent="0.25">
      <c r="A147" t="str">
        <f t="shared" si="26"/>
        <v>AK10 - 2000</v>
      </c>
      <c r="B147" t="s">
        <v>39</v>
      </c>
      <c r="C147">
        <v>4</v>
      </c>
      <c r="D147">
        <v>14</v>
      </c>
      <c r="E147">
        <v>2000</v>
      </c>
      <c r="F147">
        <v>138.9</v>
      </c>
      <c r="G147">
        <v>5.7</v>
      </c>
      <c r="H147">
        <v>5.4</v>
      </c>
      <c r="I147">
        <v>0.3</v>
      </c>
      <c r="J147">
        <v>5</v>
      </c>
      <c r="K147">
        <v>48.7</v>
      </c>
      <c r="L147">
        <v>606.1</v>
      </c>
      <c r="M147">
        <v>376</v>
      </c>
      <c r="N147">
        <v>368</v>
      </c>
      <c r="O147">
        <v>515</v>
      </c>
      <c r="P147">
        <v>147</v>
      </c>
      <c r="Q147">
        <v>288</v>
      </c>
      <c r="R147">
        <v>515</v>
      </c>
      <c r="S147">
        <v>227</v>
      </c>
      <c r="T147">
        <v>174</v>
      </c>
      <c r="U147">
        <v>381</v>
      </c>
      <c r="V147">
        <v>390</v>
      </c>
      <c r="W147">
        <v>500</v>
      </c>
      <c r="X147">
        <v>2.79</v>
      </c>
    </row>
    <row r="148" spans="1:24" hidden="1" outlineLevel="2" x14ac:dyDescent="0.25">
      <c r="A148" t="str">
        <f t="shared" si="26"/>
        <v>AK10 - 2000</v>
      </c>
      <c r="B148" t="s">
        <v>39</v>
      </c>
      <c r="C148">
        <v>5</v>
      </c>
      <c r="D148">
        <v>15</v>
      </c>
      <c r="E148">
        <v>2000</v>
      </c>
      <c r="F148">
        <v>204.4</v>
      </c>
      <c r="G148">
        <v>8.4</v>
      </c>
      <c r="H148">
        <v>7.5</v>
      </c>
      <c r="I148">
        <v>0.9</v>
      </c>
      <c r="J148">
        <v>10</v>
      </c>
      <c r="K148">
        <v>105.7</v>
      </c>
      <c r="L148">
        <v>1312.5</v>
      </c>
      <c r="M148">
        <v>399</v>
      </c>
      <c r="N148">
        <v>385</v>
      </c>
      <c r="O148">
        <v>522</v>
      </c>
      <c r="P148">
        <v>137</v>
      </c>
      <c r="Q148">
        <v>313</v>
      </c>
      <c r="R148">
        <v>530</v>
      </c>
      <c r="S148">
        <v>217</v>
      </c>
      <c r="T148">
        <v>256.2</v>
      </c>
      <c r="U148">
        <v>421</v>
      </c>
      <c r="V148">
        <v>409</v>
      </c>
      <c r="W148">
        <v>500</v>
      </c>
      <c r="X148">
        <v>2.79</v>
      </c>
    </row>
    <row r="149" spans="1:24" hidden="1" outlineLevel="2" x14ac:dyDescent="0.25">
      <c r="A149" t="str">
        <f t="shared" si="26"/>
        <v>AK10 - 2000</v>
      </c>
      <c r="B149" t="s">
        <v>39</v>
      </c>
      <c r="C149">
        <v>6</v>
      </c>
      <c r="D149">
        <v>15</v>
      </c>
      <c r="E149">
        <v>2000</v>
      </c>
      <c r="F149">
        <v>198.9</v>
      </c>
      <c r="G149">
        <v>10.5</v>
      </c>
      <c r="H149">
        <v>10.199999999999999</v>
      </c>
      <c r="I149">
        <v>0.3</v>
      </c>
      <c r="J149">
        <v>2</v>
      </c>
      <c r="K149">
        <v>127.8</v>
      </c>
      <c r="L149">
        <v>1242.9000000000001</v>
      </c>
      <c r="M149">
        <v>372</v>
      </c>
      <c r="N149">
        <v>368</v>
      </c>
      <c r="O149">
        <v>514</v>
      </c>
      <c r="P149">
        <v>146</v>
      </c>
      <c r="Q149">
        <v>292</v>
      </c>
      <c r="R149">
        <v>514</v>
      </c>
      <c r="S149">
        <v>222</v>
      </c>
      <c r="T149">
        <v>272.7</v>
      </c>
      <c r="U149">
        <v>388</v>
      </c>
      <c r="V149">
        <v>387</v>
      </c>
      <c r="W149">
        <v>500</v>
      </c>
      <c r="X149">
        <v>2.79</v>
      </c>
    </row>
    <row r="150" spans="1:24" hidden="1" outlineLevel="2" x14ac:dyDescent="0.25">
      <c r="A150" t="str">
        <f t="shared" si="26"/>
        <v>AK10 - 2000</v>
      </c>
      <c r="B150" t="s">
        <v>39</v>
      </c>
      <c r="C150">
        <v>7</v>
      </c>
      <c r="D150">
        <v>15</v>
      </c>
      <c r="E150">
        <v>2000</v>
      </c>
      <c r="F150">
        <v>226.7</v>
      </c>
      <c r="G150">
        <v>11.7</v>
      </c>
      <c r="H150">
        <v>11.4</v>
      </c>
      <c r="I150">
        <v>0.3</v>
      </c>
      <c r="J150">
        <v>2</v>
      </c>
      <c r="K150">
        <v>162.4</v>
      </c>
      <c r="L150">
        <v>1614.6</v>
      </c>
      <c r="M150">
        <v>377</v>
      </c>
      <c r="N150">
        <v>374</v>
      </c>
      <c r="O150">
        <v>512</v>
      </c>
      <c r="P150">
        <v>138</v>
      </c>
      <c r="Q150">
        <v>334</v>
      </c>
      <c r="R150">
        <v>512</v>
      </c>
      <c r="S150">
        <v>178</v>
      </c>
      <c r="T150">
        <v>289.2</v>
      </c>
      <c r="U150">
        <v>379</v>
      </c>
      <c r="V150">
        <v>380</v>
      </c>
      <c r="W150">
        <v>500</v>
      </c>
      <c r="X150">
        <v>2.79</v>
      </c>
    </row>
    <row r="151" spans="1:24" hidden="1" outlineLevel="2" x14ac:dyDescent="0.25">
      <c r="A151" t="str">
        <f t="shared" si="26"/>
        <v>AK10 - 2000</v>
      </c>
      <c r="B151" t="s">
        <v>39</v>
      </c>
      <c r="C151">
        <v>8</v>
      </c>
      <c r="D151">
        <v>15</v>
      </c>
      <c r="E151">
        <v>2000</v>
      </c>
      <c r="F151">
        <v>220.3</v>
      </c>
      <c r="G151">
        <v>7.5</v>
      </c>
      <c r="H151">
        <v>6.9</v>
      </c>
      <c r="I151">
        <v>0.6</v>
      </c>
      <c r="J151">
        <v>8</v>
      </c>
      <c r="K151">
        <v>102</v>
      </c>
      <c r="L151">
        <v>1524.7</v>
      </c>
      <c r="M151">
        <v>392</v>
      </c>
      <c r="N151">
        <v>378</v>
      </c>
      <c r="O151">
        <v>548</v>
      </c>
      <c r="P151">
        <v>170</v>
      </c>
      <c r="Q151">
        <v>316</v>
      </c>
      <c r="R151">
        <v>560</v>
      </c>
      <c r="S151">
        <v>244</v>
      </c>
      <c r="T151">
        <v>228.9</v>
      </c>
      <c r="U151">
        <v>379</v>
      </c>
      <c r="V151">
        <v>377</v>
      </c>
      <c r="W151">
        <v>500</v>
      </c>
      <c r="X151">
        <v>2.79</v>
      </c>
    </row>
    <row r="152" spans="1:24" hidden="1" outlineLevel="2" x14ac:dyDescent="0.25">
      <c r="A152" t="str">
        <f t="shared" si="26"/>
        <v>AK10 - 2000</v>
      </c>
      <c r="B152" t="s">
        <v>39</v>
      </c>
      <c r="C152">
        <v>9</v>
      </c>
      <c r="D152">
        <v>14</v>
      </c>
      <c r="E152">
        <v>2000</v>
      </c>
      <c r="F152">
        <v>182.3</v>
      </c>
      <c r="G152">
        <v>14.1</v>
      </c>
      <c r="H152">
        <v>13.8</v>
      </c>
      <c r="I152">
        <v>0.3</v>
      </c>
      <c r="J152">
        <v>2</v>
      </c>
      <c r="K152">
        <v>155.30000000000001</v>
      </c>
      <c r="L152">
        <v>1044.0999999999999</v>
      </c>
      <c r="M152">
        <v>355</v>
      </c>
      <c r="N152">
        <v>351</v>
      </c>
      <c r="O152">
        <v>512</v>
      </c>
      <c r="P152">
        <v>161</v>
      </c>
      <c r="Q152">
        <v>304</v>
      </c>
      <c r="R152">
        <v>512</v>
      </c>
      <c r="S152">
        <v>208</v>
      </c>
      <c r="T152">
        <v>273.3</v>
      </c>
      <c r="U152">
        <v>377</v>
      </c>
      <c r="V152">
        <v>375</v>
      </c>
      <c r="W152">
        <v>500</v>
      </c>
      <c r="X152">
        <v>2.79</v>
      </c>
    </row>
    <row r="153" spans="1:24" hidden="1" outlineLevel="2" x14ac:dyDescent="0.25">
      <c r="A153" t="str">
        <f t="shared" si="26"/>
        <v>AK10 - 2000</v>
      </c>
      <c r="B153" t="s">
        <v>39</v>
      </c>
      <c r="C153">
        <v>10</v>
      </c>
      <c r="D153">
        <v>15</v>
      </c>
      <c r="E153">
        <v>2000</v>
      </c>
      <c r="F153">
        <v>145.1</v>
      </c>
      <c r="G153">
        <v>12</v>
      </c>
      <c r="H153">
        <v>11.4</v>
      </c>
      <c r="I153">
        <v>0.6</v>
      </c>
      <c r="J153">
        <v>5</v>
      </c>
      <c r="K153">
        <v>104.9</v>
      </c>
      <c r="L153">
        <v>661.4</v>
      </c>
      <c r="M153">
        <v>397</v>
      </c>
      <c r="N153">
        <v>390</v>
      </c>
      <c r="O153">
        <v>536</v>
      </c>
      <c r="P153">
        <v>146</v>
      </c>
      <c r="Q153">
        <v>326</v>
      </c>
      <c r="R153">
        <v>553</v>
      </c>
      <c r="S153">
        <v>227</v>
      </c>
      <c r="T153">
        <v>203.4</v>
      </c>
      <c r="U153">
        <v>405</v>
      </c>
      <c r="V153">
        <v>408</v>
      </c>
      <c r="W153">
        <v>500</v>
      </c>
      <c r="X153">
        <v>2.79</v>
      </c>
    </row>
    <row r="154" spans="1:24" hidden="1" outlineLevel="2" x14ac:dyDescent="0.25">
      <c r="A154" t="str">
        <f t="shared" si="26"/>
        <v>AK10 - 2000</v>
      </c>
      <c r="B154" t="s">
        <v>39</v>
      </c>
      <c r="C154">
        <v>11</v>
      </c>
      <c r="D154">
        <v>15</v>
      </c>
      <c r="E154">
        <v>2000</v>
      </c>
      <c r="F154">
        <v>151.5</v>
      </c>
      <c r="G154">
        <v>15.6</v>
      </c>
      <c r="H154">
        <v>15.6</v>
      </c>
      <c r="I154">
        <v>0</v>
      </c>
      <c r="J154">
        <v>0</v>
      </c>
      <c r="K154">
        <v>140.9</v>
      </c>
      <c r="L154">
        <v>721.1</v>
      </c>
      <c r="M154">
        <v>357</v>
      </c>
      <c r="N154">
        <v>357</v>
      </c>
      <c r="Q154">
        <v>272</v>
      </c>
      <c r="R154">
        <v>490</v>
      </c>
      <c r="S154">
        <v>218</v>
      </c>
      <c r="T154">
        <v>249.6</v>
      </c>
      <c r="U154">
        <v>367</v>
      </c>
      <c r="V154">
        <v>369</v>
      </c>
      <c r="W154">
        <v>500</v>
      </c>
      <c r="X154">
        <v>2.79</v>
      </c>
    </row>
    <row r="155" spans="1:24" outlineLevel="1" collapsed="1" x14ac:dyDescent="0.25">
      <c r="A155" s="8" t="s">
        <v>182</v>
      </c>
      <c r="D155">
        <f t="shared" ref="D155:V155" si="27">SUBTOTAL(1,D144:D154)</f>
        <v>14.818181818181818</v>
      </c>
      <c r="E155">
        <f t="shared" si="27"/>
        <v>2000</v>
      </c>
      <c r="F155">
        <f t="shared" si="27"/>
        <v>188.44545454545451</v>
      </c>
      <c r="G155">
        <f t="shared" si="27"/>
        <v>10.063636363636363</v>
      </c>
      <c r="H155">
        <f t="shared" si="27"/>
        <v>9.4909090909090903</v>
      </c>
      <c r="I155">
        <f t="shared" si="27"/>
        <v>0.57272727272727264</v>
      </c>
      <c r="J155">
        <f t="shared" si="27"/>
        <v>6.1818181818181817</v>
      </c>
      <c r="K155">
        <f t="shared" si="27"/>
        <v>114.37272727272729</v>
      </c>
      <c r="L155">
        <f t="shared" si="27"/>
        <v>1142.3818181818185</v>
      </c>
      <c r="M155">
        <f t="shared" si="27"/>
        <v>388.36363636363637</v>
      </c>
      <c r="N155">
        <f t="shared" si="27"/>
        <v>378.54545454545456</v>
      </c>
      <c r="O155">
        <f t="shared" si="27"/>
        <v>530.9</v>
      </c>
      <c r="P155">
        <f t="shared" si="27"/>
        <v>150.19999999999999</v>
      </c>
      <c r="Q155">
        <f t="shared" si="27"/>
        <v>315.27272727272725</v>
      </c>
      <c r="R155">
        <f t="shared" si="27"/>
        <v>538.18181818181813</v>
      </c>
      <c r="S155">
        <f t="shared" si="27"/>
        <v>222.90909090909091</v>
      </c>
      <c r="T155">
        <f t="shared" si="27"/>
        <v>240.51818181818183</v>
      </c>
      <c r="U155">
        <f t="shared" si="27"/>
        <v>395.18181818181819</v>
      </c>
      <c r="V155">
        <f t="shared" si="27"/>
        <v>394</v>
      </c>
    </row>
    <row r="156" spans="1:24" hidden="1" outlineLevel="2" x14ac:dyDescent="0.25">
      <c r="A156" t="str">
        <f t="shared" ref="A156:A166" si="28">CONCATENATE(B156," - ",E156)</f>
        <v>AK10 - 2001</v>
      </c>
      <c r="B156" t="s">
        <v>39</v>
      </c>
      <c r="C156">
        <v>1</v>
      </c>
      <c r="D156">
        <v>16</v>
      </c>
      <c r="E156">
        <v>2001</v>
      </c>
      <c r="F156">
        <v>217.5</v>
      </c>
      <c r="G156">
        <v>3</v>
      </c>
      <c r="H156">
        <v>1.8</v>
      </c>
      <c r="I156">
        <v>1.2</v>
      </c>
      <c r="J156">
        <v>40</v>
      </c>
      <c r="K156">
        <v>40.700000000000003</v>
      </c>
      <c r="L156">
        <v>1486.2</v>
      </c>
      <c r="M156">
        <v>471</v>
      </c>
      <c r="N156">
        <v>410</v>
      </c>
      <c r="O156">
        <v>562</v>
      </c>
      <c r="P156">
        <v>152</v>
      </c>
      <c r="Q156">
        <v>375</v>
      </c>
      <c r="R156">
        <v>597</v>
      </c>
      <c r="S156">
        <v>222</v>
      </c>
      <c r="T156">
        <v>215.7</v>
      </c>
      <c r="U156">
        <v>428</v>
      </c>
      <c r="V156">
        <v>418</v>
      </c>
      <c r="W156">
        <v>500</v>
      </c>
      <c r="X156">
        <v>2.79</v>
      </c>
    </row>
    <row r="157" spans="1:24" hidden="1" outlineLevel="2" x14ac:dyDescent="0.25">
      <c r="A157" t="str">
        <f t="shared" si="28"/>
        <v>AK10 - 2001</v>
      </c>
      <c r="B157" t="s">
        <v>39</v>
      </c>
      <c r="C157">
        <v>2</v>
      </c>
      <c r="D157">
        <v>16</v>
      </c>
      <c r="E157">
        <v>2001</v>
      </c>
      <c r="F157">
        <v>209.2</v>
      </c>
      <c r="G157">
        <v>11.4</v>
      </c>
      <c r="H157">
        <v>8.6999999999999993</v>
      </c>
      <c r="I157">
        <v>2.7</v>
      </c>
      <c r="J157">
        <v>23</v>
      </c>
      <c r="K157">
        <v>145.80000000000001</v>
      </c>
      <c r="L157">
        <v>1374.9</v>
      </c>
      <c r="M157">
        <v>427</v>
      </c>
      <c r="N157">
        <v>390</v>
      </c>
      <c r="O157">
        <v>545</v>
      </c>
      <c r="P157">
        <v>155</v>
      </c>
      <c r="Q157">
        <v>337</v>
      </c>
      <c r="R157">
        <v>594</v>
      </c>
      <c r="S157">
        <v>257</v>
      </c>
      <c r="T157">
        <v>237</v>
      </c>
      <c r="U157">
        <v>407</v>
      </c>
      <c r="V157">
        <v>410</v>
      </c>
      <c r="W157">
        <v>500</v>
      </c>
      <c r="X157">
        <v>2.79</v>
      </c>
    </row>
    <row r="158" spans="1:24" hidden="1" outlineLevel="2" x14ac:dyDescent="0.25">
      <c r="A158" t="str">
        <f t="shared" si="28"/>
        <v>AK10 - 2001</v>
      </c>
      <c r="B158" t="s">
        <v>39</v>
      </c>
      <c r="C158">
        <v>3</v>
      </c>
      <c r="D158">
        <v>16</v>
      </c>
      <c r="E158">
        <v>2001</v>
      </c>
      <c r="F158">
        <v>203.3</v>
      </c>
      <c r="G158">
        <v>10.8</v>
      </c>
      <c r="H158">
        <v>8.6999999999999993</v>
      </c>
      <c r="I158">
        <v>2.1</v>
      </c>
      <c r="J158">
        <v>19</v>
      </c>
      <c r="K158">
        <v>134.30000000000001</v>
      </c>
      <c r="L158">
        <v>1298.4000000000001</v>
      </c>
      <c r="M158">
        <v>428</v>
      </c>
      <c r="N158">
        <v>399</v>
      </c>
      <c r="O158">
        <v>547</v>
      </c>
      <c r="P158">
        <v>148</v>
      </c>
      <c r="Q158">
        <v>338</v>
      </c>
      <c r="R158">
        <v>576</v>
      </c>
      <c r="S158">
        <v>238</v>
      </c>
      <c r="T158">
        <v>245.7</v>
      </c>
      <c r="U158">
        <v>415</v>
      </c>
      <c r="V158">
        <v>411</v>
      </c>
      <c r="W158">
        <v>500</v>
      </c>
      <c r="X158">
        <v>2.79</v>
      </c>
    </row>
    <row r="159" spans="1:24" hidden="1" outlineLevel="2" x14ac:dyDescent="0.25">
      <c r="A159" t="str">
        <f t="shared" si="28"/>
        <v>AK10 - 2001</v>
      </c>
      <c r="B159" t="s">
        <v>39</v>
      </c>
      <c r="C159">
        <v>4</v>
      </c>
      <c r="D159">
        <v>15</v>
      </c>
      <c r="E159">
        <v>2001</v>
      </c>
      <c r="F159">
        <v>144.9</v>
      </c>
      <c r="G159">
        <v>6</v>
      </c>
      <c r="H159">
        <v>5.0999999999999996</v>
      </c>
      <c r="I159">
        <v>0.9</v>
      </c>
      <c r="J159">
        <v>15</v>
      </c>
      <c r="K159">
        <v>53.5</v>
      </c>
      <c r="L159">
        <v>659.6</v>
      </c>
      <c r="M159">
        <v>421</v>
      </c>
      <c r="N159">
        <v>400</v>
      </c>
      <c r="O159">
        <v>541</v>
      </c>
      <c r="P159">
        <v>141</v>
      </c>
      <c r="Q159">
        <v>334</v>
      </c>
      <c r="R159">
        <v>555</v>
      </c>
      <c r="S159">
        <v>221</v>
      </c>
      <c r="T159">
        <v>174</v>
      </c>
      <c r="U159">
        <v>381</v>
      </c>
      <c r="V159">
        <v>390</v>
      </c>
      <c r="W159">
        <v>500</v>
      </c>
      <c r="X159">
        <v>2.79</v>
      </c>
    </row>
    <row r="160" spans="1:24" hidden="1" outlineLevel="2" x14ac:dyDescent="0.25">
      <c r="A160" t="str">
        <f t="shared" si="28"/>
        <v>AK10 - 2001</v>
      </c>
      <c r="B160" t="s">
        <v>39</v>
      </c>
      <c r="C160">
        <v>5</v>
      </c>
      <c r="D160">
        <v>16</v>
      </c>
      <c r="E160">
        <v>2001</v>
      </c>
      <c r="F160">
        <v>217</v>
      </c>
      <c r="G160">
        <v>12.6</v>
      </c>
      <c r="H160">
        <v>9.6</v>
      </c>
      <c r="I160">
        <v>3</v>
      </c>
      <c r="J160">
        <v>23</v>
      </c>
      <c r="K160">
        <v>166.8</v>
      </c>
      <c r="L160">
        <v>1479.3</v>
      </c>
      <c r="M160">
        <v>439</v>
      </c>
      <c r="N160">
        <v>408</v>
      </c>
      <c r="O160">
        <v>537</v>
      </c>
      <c r="P160">
        <v>129</v>
      </c>
      <c r="Q160">
        <v>335</v>
      </c>
      <c r="R160">
        <v>584</v>
      </c>
      <c r="S160">
        <v>249</v>
      </c>
      <c r="T160">
        <v>256.2</v>
      </c>
      <c r="U160">
        <v>421</v>
      </c>
      <c r="V160">
        <v>409</v>
      </c>
      <c r="W160">
        <v>500</v>
      </c>
      <c r="X160">
        <v>2.79</v>
      </c>
    </row>
    <row r="161" spans="1:24" hidden="1" outlineLevel="2" x14ac:dyDescent="0.25">
      <c r="A161" t="str">
        <f t="shared" si="28"/>
        <v>AK10 - 2001</v>
      </c>
      <c r="B161" t="s">
        <v>39</v>
      </c>
      <c r="C161">
        <v>6</v>
      </c>
      <c r="D161">
        <v>16</v>
      </c>
      <c r="E161">
        <v>2001</v>
      </c>
      <c r="F161">
        <v>209.1</v>
      </c>
      <c r="G161">
        <v>10.199999999999999</v>
      </c>
      <c r="H161">
        <v>8.6999999999999993</v>
      </c>
      <c r="I161">
        <v>1.5</v>
      </c>
      <c r="J161">
        <v>14</v>
      </c>
      <c r="K161">
        <v>130.69999999999999</v>
      </c>
      <c r="L161">
        <v>1373.6</v>
      </c>
      <c r="M161">
        <v>401</v>
      </c>
      <c r="N161">
        <v>381</v>
      </c>
      <c r="O161">
        <v>518</v>
      </c>
      <c r="P161">
        <v>137</v>
      </c>
      <c r="Q161">
        <v>319</v>
      </c>
      <c r="R161">
        <v>540</v>
      </c>
      <c r="S161">
        <v>221</v>
      </c>
      <c r="T161">
        <v>272.7</v>
      </c>
      <c r="U161">
        <v>388</v>
      </c>
      <c r="V161">
        <v>387</v>
      </c>
      <c r="W161">
        <v>500</v>
      </c>
      <c r="X161">
        <v>2.79</v>
      </c>
    </row>
    <row r="162" spans="1:24" hidden="1" outlineLevel="2" x14ac:dyDescent="0.25">
      <c r="A162" t="str">
        <f t="shared" si="28"/>
        <v>AK10 - 2001</v>
      </c>
      <c r="B162" t="s">
        <v>39</v>
      </c>
      <c r="C162">
        <v>7</v>
      </c>
      <c r="D162">
        <v>16</v>
      </c>
      <c r="E162">
        <v>2001</v>
      </c>
      <c r="F162">
        <v>237.2</v>
      </c>
      <c r="G162">
        <v>10.5</v>
      </c>
      <c r="H162">
        <v>9.3000000000000007</v>
      </c>
      <c r="I162">
        <v>1.2</v>
      </c>
      <c r="J162">
        <v>11</v>
      </c>
      <c r="K162">
        <v>153</v>
      </c>
      <c r="L162">
        <v>1767.6</v>
      </c>
      <c r="M162">
        <v>408</v>
      </c>
      <c r="N162">
        <v>395</v>
      </c>
      <c r="O162">
        <v>507</v>
      </c>
      <c r="P162">
        <v>112</v>
      </c>
      <c r="Q162">
        <v>347</v>
      </c>
      <c r="R162">
        <v>518</v>
      </c>
      <c r="S162">
        <v>171</v>
      </c>
      <c r="T162">
        <v>289.2</v>
      </c>
      <c r="U162">
        <v>379</v>
      </c>
      <c r="V162">
        <v>380</v>
      </c>
      <c r="W162">
        <v>500</v>
      </c>
      <c r="X162">
        <v>2.79</v>
      </c>
    </row>
    <row r="163" spans="1:24" hidden="1" outlineLevel="2" x14ac:dyDescent="0.25">
      <c r="A163" t="str">
        <f t="shared" si="28"/>
        <v>AK10 - 2001</v>
      </c>
      <c r="B163" t="s">
        <v>39</v>
      </c>
      <c r="C163">
        <v>8</v>
      </c>
      <c r="D163">
        <v>16</v>
      </c>
      <c r="E163">
        <v>2001</v>
      </c>
      <c r="F163">
        <v>226</v>
      </c>
      <c r="G163">
        <v>5.7</v>
      </c>
      <c r="H163">
        <v>5.0999999999999996</v>
      </c>
      <c r="I163">
        <v>0.6</v>
      </c>
      <c r="J163">
        <v>10</v>
      </c>
      <c r="K163">
        <v>79.900000000000006</v>
      </c>
      <c r="L163">
        <v>1604.6</v>
      </c>
      <c r="M163">
        <v>412</v>
      </c>
      <c r="N163">
        <v>399</v>
      </c>
      <c r="O163">
        <v>519</v>
      </c>
      <c r="P163">
        <v>120</v>
      </c>
      <c r="Q163">
        <v>355</v>
      </c>
      <c r="R163">
        <v>520</v>
      </c>
      <c r="S163">
        <v>165</v>
      </c>
      <c r="T163">
        <v>228.9</v>
      </c>
      <c r="U163">
        <v>379</v>
      </c>
      <c r="V163">
        <v>377</v>
      </c>
      <c r="W163">
        <v>500</v>
      </c>
      <c r="X163">
        <v>2.79</v>
      </c>
    </row>
    <row r="164" spans="1:24" hidden="1" outlineLevel="2" x14ac:dyDescent="0.25">
      <c r="A164" t="str">
        <f t="shared" si="28"/>
        <v>AK10 - 2001</v>
      </c>
      <c r="B164" t="s">
        <v>39</v>
      </c>
      <c r="C164">
        <v>9</v>
      </c>
      <c r="D164">
        <v>15</v>
      </c>
      <c r="E164">
        <v>2001</v>
      </c>
      <c r="F164">
        <v>194.3</v>
      </c>
      <c r="G164">
        <v>12</v>
      </c>
      <c r="H164">
        <v>12</v>
      </c>
      <c r="I164">
        <v>0</v>
      </c>
      <c r="J164">
        <v>0</v>
      </c>
      <c r="K164">
        <v>142</v>
      </c>
      <c r="L164">
        <v>1186</v>
      </c>
      <c r="M164">
        <v>359</v>
      </c>
      <c r="N164">
        <v>359</v>
      </c>
      <c r="Q164">
        <v>311</v>
      </c>
      <c r="R164">
        <v>487</v>
      </c>
      <c r="S164">
        <v>176</v>
      </c>
      <c r="T164">
        <v>273.3</v>
      </c>
      <c r="U164">
        <v>377</v>
      </c>
      <c r="V164">
        <v>375</v>
      </c>
      <c r="W164">
        <v>500</v>
      </c>
      <c r="X164">
        <v>2.79</v>
      </c>
    </row>
    <row r="165" spans="1:24" hidden="1" outlineLevel="2" x14ac:dyDescent="0.25">
      <c r="A165" t="str">
        <f t="shared" si="28"/>
        <v>AK10 - 2001</v>
      </c>
      <c r="B165" t="s">
        <v>39</v>
      </c>
      <c r="C165">
        <v>10</v>
      </c>
      <c r="D165">
        <v>16</v>
      </c>
      <c r="E165">
        <v>2001</v>
      </c>
      <c r="F165">
        <v>154.69999999999999</v>
      </c>
      <c r="G165">
        <v>9.6</v>
      </c>
      <c r="H165">
        <v>9</v>
      </c>
      <c r="I165">
        <v>0.6</v>
      </c>
      <c r="J165">
        <v>6</v>
      </c>
      <c r="K165">
        <v>90.4</v>
      </c>
      <c r="L165">
        <v>751.8</v>
      </c>
      <c r="M165">
        <v>393</v>
      </c>
      <c r="N165">
        <v>385</v>
      </c>
      <c r="O165">
        <v>520</v>
      </c>
      <c r="P165">
        <v>135</v>
      </c>
      <c r="Q165">
        <v>317</v>
      </c>
      <c r="R165">
        <v>530</v>
      </c>
      <c r="S165">
        <v>213</v>
      </c>
      <c r="T165">
        <v>203.4</v>
      </c>
      <c r="U165">
        <v>405</v>
      </c>
      <c r="V165">
        <v>408</v>
      </c>
      <c r="W165">
        <v>500</v>
      </c>
      <c r="X165">
        <v>2.79</v>
      </c>
    </row>
    <row r="166" spans="1:24" hidden="1" outlineLevel="2" x14ac:dyDescent="0.25">
      <c r="A166" t="str">
        <f t="shared" si="28"/>
        <v>AK10 - 2001</v>
      </c>
      <c r="B166" t="s">
        <v>39</v>
      </c>
      <c r="C166">
        <v>11</v>
      </c>
      <c r="D166">
        <v>16</v>
      </c>
      <c r="E166">
        <v>2001</v>
      </c>
      <c r="F166">
        <v>167.4</v>
      </c>
      <c r="G166">
        <v>15.9</v>
      </c>
      <c r="H166">
        <v>15.9</v>
      </c>
      <c r="I166">
        <v>0</v>
      </c>
      <c r="J166">
        <v>0</v>
      </c>
      <c r="K166">
        <v>159.30000000000001</v>
      </c>
      <c r="L166">
        <v>880.4</v>
      </c>
      <c r="M166">
        <v>361</v>
      </c>
      <c r="N166">
        <v>361</v>
      </c>
      <c r="Q166">
        <v>299</v>
      </c>
      <c r="R166">
        <v>480</v>
      </c>
      <c r="S166">
        <v>181</v>
      </c>
      <c r="T166">
        <v>249.6</v>
      </c>
      <c r="U166">
        <v>367</v>
      </c>
      <c r="V166">
        <v>369</v>
      </c>
      <c r="W166">
        <v>500</v>
      </c>
      <c r="X166">
        <v>2.79</v>
      </c>
    </row>
    <row r="167" spans="1:24" outlineLevel="1" collapsed="1" x14ac:dyDescent="0.25">
      <c r="A167" s="8" t="s">
        <v>183</v>
      </c>
      <c r="D167">
        <f t="shared" ref="D167:V167" si="29">SUBTOTAL(1,D156:D166)</f>
        <v>15.818181818181818</v>
      </c>
      <c r="E167">
        <f t="shared" si="29"/>
        <v>2001</v>
      </c>
      <c r="F167">
        <f t="shared" si="29"/>
        <v>198.23636363636362</v>
      </c>
      <c r="G167">
        <f t="shared" si="29"/>
        <v>9.790909090909091</v>
      </c>
      <c r="H167">
        <f t="shared" si="29"/>
        <v>8.536363636363637</v>
      </c>
      <c r="I167">
        <f t="shared" si="29"/>
        <v>1.2545454545454544</v>
      </c>
      <c r="J167">
        <f t="shared" si="29"/>
        <v>14.636363636363637</v>
      </c>
      <c r="K167">
        <f t="shared" si="29"/>
        <v>117.85454545454544</v>
      </c>
      <c r="L167">
        <f t="shared" si="29"/>
        <v>1260.2181818181818</v>
      </c>
      <c r="M167">
        <f t="shared" si="29"/>
        <v>410.90909090909093</v>
      </c>
      <c r="N167">
        <f t="shared" si="29"/>
        <v>389.72727272727275</v>
      </c>
      <c r="O167">
        <f t="shared" si="29"/>
        <v>532.88888888888891</v>
      </c>
      <c r="P167">
        <f t="shared" si="29"/>
        <v>136.55555555555554</v>
      </c>
      <c r="Q167">
        <f t="shared" si="29"/>
        <v>333.36363636363637</v>
      </c>
      <c r="R167">
        <f t="shared" si="29"/>
        <v>543.72727272727275</v>
      </c>
      <c r="S167">
        <f t="shared" si="29"/>
        <v>210.36363636363637</v>
      </c>
      <c r="T167">
        <f t="shared" si="29"/>
        <v>240.51818181818183</v>
      </c>
      <c r="U167">
        <f t="shared" si="29"/>
        <v>395.18181818181819</v>
      </c>
      <c r="V167">
        <f t="shared" si="29"/>
        <v>394</v>
      </c>
    </row>
    <row r="168" spans="1:24" hidden="1" outlineLevel="2" x14ac:dyDescent="0.25">
      <c r="A168" t="str">
        <f t="shared" ref="A168:A178" si="30">CONCATENATE(B168," - ",E168)</f>
        <v>AK10 - 2002</v>
      </c>
      <c r="B168" t="s">
        <v>39</v>
      </c>
      <c r="C168">
        <v>1</v>
      </c>
      <c r="D168">
        <v>17</v>
      </c>
      <c r="E168">
        <v>2002</v>
      </c>
      <c r="F168">
        <v>220.2</v>
      </c>
      <c r="G168">
        <v>2.7</v>
      </c>
      <c r="H168">
        <v>2.4</v>
      </c>
      <c r="I168">
        <v>0.3</v>
      </c>
      <c r="J168">
        <v>11</v>
      </c>
      <c r="K168">
        <v>37.1</v>
      </c>
      <c r="L168">
        <v>1523.3</v>
      </c>
      <c r="M168">
        <v>444</v>
      </c>
      <c r="N168">
        <v>431</v>
      </c>
      <c r="O168">
        <v>553</v>
      </c>
      <c r="P168">
        <v>122</v>
      </c>
      <c r="Q168">
        <v>392</v>
      </c>
      <c r="R168">
        <v>553</v>
      </c>
      <c r="S168">
        <v>161</v>
      </c>
      <c r="T168">
        <v>215.7</v>
      </c>
      <c r="U168">
        <v>428</v>
      </c>
      <c r="V168">
        <v>418</v>
      </c>
      <c r="W168">
        <v>500</v>
      </c>
      <c r="X168">
        <v>2.79</v>
      </c>
    </row>
    <row r="169" spans="1:24" hidden="1" outlineLevel="2" x14ac:dyDescent="0.25">
      <c r="A169" t="str">
        <f t="shared" si="30"/>
        <v>AK10 - 2002</v>
      </c>
      <c r="B169" t="s">
        <v>39</v>
      </c>
      <c r="C169">
        <v>2</v>
      </c>
      <c r="D169">
        <v>17</v>
      </c>
      <c r="E169">
        <v>2002</v>
      </c>
      <c r="F169">
        <v>219.4</v>
      </c>
      <c r="G169">
        <v>10.199999999999999</v>
      </c>
      <c r="H169">
        <v>8.1</v>
      </c>
      <c r="I169">
        <v>2.1</v>
      </c>
      <c r="J169">
        <v>20</v>
      </c>
      <c r="K169">
        <v>137.30000000000001</v>
      </c>
      <c r="L169">
        <v>1512.2</v>
      </c>
      <c r="M169">
        <v>422</v>
      </c>
      <c r="N169">
        <v>388</v>
      </c>
      <c r="O169">
        <v>550</v>
      </c>
      <c r="P169">
        <v>162</v>
      </c>
      <c r="Q169">
        <v>332</v>
      </c>
      <c r="R169">
        <v>605</v>
      </c>
      <c r="S169">
        <v>273</v>
      </c>
      <c r="T169">
        <v>237</v>
      </c>
      <c r="U169">
        <v>407</v>
      </c>
      <c r="V169">
        <v>410</v>
      </c>
      <c r="W169">
        <v>500</v>
      </c>
      <c r="X169">
        <v>2.79</v>
      </c>
    </row>
    <row r="170" spans="1:24" hidden="1" outlineLevel="2" x14ac:dyDescent="0.25">
      <c r="A170" t="str">
        <f t="shared" si="30"/>
        <v>AK10 - 2002</v>
      </c>
      <c r="B170" t="s">
        <v>39</v>
      </c>
      <c r="C170">
        <v>3</v>
      </c>
      <c r="D170">
        <v>17</v>
      </c>
      <c r="E170">
        <v>2002</v>
      </c>
      <c r="F170">
        <v>212</v>
      </c>
      <c r="G170">
        <v>8.6999999999999993</v>
      </c>
      <c r="H170">
        <v>7.5</v>
      </c>
      <c r="I170">
        <v>1.2</v>
      </c>
      <c r="J170">
        <v>13</v>
      </c>
      <c r="K170">
        <v>113.5</v>
      </c>
      <c r="L170">
        <v>1412</v>
      </c>
      <c r="M170">
        <v>408</v>
      </c>
      <c r="N170">
        <v>387</v>
      </c>
      <c r="O170">
        <v>542</v>
      </c>
      <c r="P170">
        <v>155</v>
      </c>
      <c r="Q170">
        <v>324</v>
      </c>
      <c r="R170">
        <v>584</v>
      </c>
      <c r="S170">
        <v>260</v>
      </c>
      <c r="T170">
        <v>245.7</v>
      </c>
      <c r="U170">
        <v>415</v>
      </c>
      <c r="V170">
        <v>411</v>
      </c>
      <c r="W170">
        <v>500</v>
      </c>
      <c r="X170">
        <v>2.79</v>
      </c>
    </row>
    <row r="171" spans="1:24" hidden="1" outlineLevel="2" x14ac:dyDescent="0.25">
      <c r="A171" t="str">
        <f t="shared" si="30"/>
        <v>AK10 - 2002</v>
      </c>
      <c r="B171" t="s">
        <v>39</v>
      </c>
      <c r="C171">
        <v>4</v>
      </c>
      <c r="D171">
        <v>16</v>
      </c>
      <c r="E171">
        <v>2002</v>
      </c>
      <c r="F171">
        <v>149.69999999999999</v>
      </c>
      <c r="G171">
        <v>4.8</v>
      </c>
      <c r="H171">
        <v>2.7</v>
      </c>
      <c r="I171">
        <v>2.1</v>
      </c>
      <c r="J171">
        <v>43</v>
      </c>
      <c r="K171">
        <v>44.4</v>
      </c>
      <c r="L171">
        <v>704</v>
      </c>
      <c r="M171">
        <v>449</v>
      </c>
      <c r="N171">
        <v>378</v>
      </c>
      <c r="O171">
        <v>542</v>
      </c>
      <c r="P171">
        <v>164</v>
      </c>
      <c r="Q171">
        <v>326</v>
      </c>
      <c r="R171">
        <v>575</v>
      </c>
      <c r="S171">
        <v>249</v>
      </c>
      <c r="T171">
        <v>174</v>
      </c>
      <c r="U171">
        <v>381</v>
      </c>
      <c r="V171">
        <v>390</v>
      </c>
      <c r="W171">
        <v>500</v>
      </c>
      <c r="X171">
        <v>2.79</v>
      </c>
    </row>
    <row r="172" spans="1:24" hidden="1" outlineLevel="2" x14ac:dyDescent="0.25">
      <c r="A172" t="str">
        <f t="shared" si="30"/>
        <v>AK10 - 2002</v>
      </c>
      <c r="B172" t="s">
        <v>39</v>
      </c>
      <c r="C172">
        <v>5</v>
      </c>
      <c r="D172">
        <v>17</v>
      </c>
      <c r="E172">
        <v>2002</v>
      </c>
      <c r="F172">
        <v>226.9</v>
      </c>
      <c r="G172">
        <v>9.9</v>
      </c>
      <c r="H172">
        <v>8.6999999999999993</v>
      </c>
      <c r="I172">
        <v>1.2</v>
      </c>
      <c r="J172">
        <v>12</v>
      </c>
      <c r="K172">
        <v>138.1</v>
      </c>
      <c r="L172">
        <v>1617.4</v>
      </c>
      <c r="M172">
        <v>404</v>
      </c>
      <c r="N172">
        <v>386</v>
      </c>
      <c r="O172">
        <v>530</v>
      </c>
      <c r="P172">
        <v>144</v>
      </c>
      <c r="Q172">
        <v>326</v>
      </c>
      <c r="R172">
        <v>548</v>
      </c>
      <c r="S172">
        <v>222</v>
      </c>
      <c r="T172">
        <v>256.2</v>
      </c>
      <c r="U172">
        <v>421</v>
      </c>
      <c r="V172">
        <v>409</v>
      </c>
      <c r="W172">
        <v>500</v>
      </c>
      <c r="X172">
        <v>2.79</v>
      </c>
    </row>
    <row r="173" spans="1:24" hidden="1" outlineLevel="2" x14ac:dyDescent="0.25">
      <c r="A173" t="str">
        <f t="shared" si="30"/>
        <v>AK10 - 2002</v>
      </c>
      <c r="B173" t="s">
        <v>39</v>
      </c>
      <c r="C173">
        <v>6</v>
      </c>
      <c r="D173">
        <v>17</v>
      </c>
      <c r="E173">
        <v>2002</v>
      </c>
      <c r="F173">
        <v>218.4</v>
      </c>
      <c r="G173">
        <v>9.3000000000000007</v>
      </c>
      <c r="H173">
        <v>8.1</v>
      </c>
      <c r="I173">
        <v>1.2</v>
      </c>
      <c r="J173">
        <v>12</v>
      </c>
      <c r="K173">
        <v>124.9</v>
      </c>
      <c r="L173">
        <v>1498.5</v>
      </c>
      <c r="M173">
        <v>400</v>
      </c>
      <c r="N173">
        <v>384</v>
      </c>
      <c r="O173">
        <v>514</v>
      </c>
      <c r="P173">
        <v>130</v>
      </c>
      <c r="Q173">
        <v>302</v>
      </c>
      <c r="R173">
        <v>530</v>
      </c>
      <c r="S173">
        <v>228</v>
      </c>
      <c r="T173">
        <v>272.7</v>
      </c>
      <c r="U173">
        <v>388</v>
      </c>
      <c r="V173">
        <v>387</v>
      </c>
      <c r="W173">
        <v>500</v>
      </c>
      <c r="X173">
        <v>2.79</v>
      </c>
    </row>
    <row r="174" spans="1:24" hidden="1" outlineLevel="2" x14ac:dyDescent="0.25">
      <c r="A174" t="str">
        <f t="shared" si="30"/>
        <v>AK10 - 2002</v>
      </c>
      <c r="B174" t="s">
        <v>39</v>
      </c>
      <c r="C174">
        <v>7</v>
      </c>
      <c r="D174">
        <v>17</v>
      </c>
      <c r="E174">
        <v>2002</v>
      </c>
      <c r="F174">
        <v>248.3</v>
      </c>
      <c r="G174">
        <v>11.1</v>
      </c>
      <c r="H174">
        <v>9.6</v>
      </c>
      <c r="I174">
        <v>1.5</v>
      </c>
      <c r="J174">
        <v>13</v>
      </c>
      <c r="K174">
        <v>169.3</v>
      </c>
      <c r="L174">
        <v>1936.9</v>
      </c>
      <c r="M174">
        <v>409</v>
      </c>
      <c r="N174">
        <v>391</v>
      </c>
      <c r="O174">
        <v>529</v>
      </c>
      <c r="P174">
        <v>138</v>
      </c>
      <c r="Q174">
        <v>339</v>
      </c>
      <c r="R174">
        <v>573</v>
      </c>
      <c r="S174">
        <v>234</v>
      </c>
      <c r="T174">
        <v>289.2</v>
      </c>
      <c r="U174">
        <v>379</v>
      </c>
      <c r="V174">
        <v>380</v>
      </c>
      <c r="W174">
        <v>500</v>
      </c>
      <c r="X174">
        <v>2.79</v>
      </c>
    </row>
    <row r="175" spans="1:24" hidden="1" outlineLevel="2" x14ac:dyDescent="0.25">
      <c r="A175" t="str">
        <f t="shared" si="30"/>
        <v>AK10 - 2002</v>
      </c>
      <c r="B175" t="s">
        <v>39</v>
      </c>
      <c r="C175">
        <v>8</v>
      </c>
      <c r="D175">
        <v>17</v>
      </c>
      <c r="E175">
        <v>2002</v>
      </c>
      <c r="F175">
        <v>229.9</v>
      </c>
      <c r="G175">
        <v>3.9</v>
      </c>
      <c r="H175">
        <v>3.3</v>
      </c>
      <c r="I175">
        <v>0.6</v>
      </c>
      <c r="J175">
        <v>15</v>
      </c>
      <c r="K175">
        <v>55.9</v>
      </c>
      <c r="L175">
        <v>1660.5</v>
      </c>
      <c r="M175">
        <v>432</v>
      </c>
      <c r="N175">
        <v>414</v>
      </c>
      <c r="O175">
        <v>530</v>
      </c>
      <c r="P175">
        <v>116</v>
      </c>
      <c r="Q175">
        <v>359</v>
      </c>
      <c r="R175">
        <v>542</v>
      </c>
      <c r="S175">
        <v>183</v>
      </c>
      <c r="T175">
        <v>228.9</v>
      </c>
      <c r="U175">
        <v>379</v>
      </c>
      <c r="V175">
        <v>377</v>
      </c>
      <c r="W175">
        <v>500</v>
      </c>
      <c r="X175">
        <v>2.79</v>
      </c>
    </row>
    <row r="176" spans="1:24" hidden="1" outlineLevel="2" x14ac:dyDescent="0.25">
      <c r="A176" t="str">
        <f t="shared" si="30"/>
        <v>AK10 - 2002</v>
      </c>
      <c r="B176" t="s">
        <v>39</v>
      </c>
      <c r="C176">
        <v>9</v>
      </c>
      <c r="D176">
        <v>16</v>
      </c>
      <c r="E176">
        <v>2002</v>
      </c>
      <c r="F176">
        <v>206.6</v>
      </c>
      <c r="G176">
        <v>12.3</v>
      </c>
      <c r="H176">
        <v>10.8</v>
      </c>
      <c r="I176">
        <v>1.5</v>
      </c>
      <c r="J176">
        <v>12</v>
      </c>
      <c r="K176">
        <v>154.9</v>
      </c>
      <c r="L176">
        <v>1340.9</v>
      </c>
      <c r="M176">
        <v>385</v>
      </c>
      <c r="N176">
        <v>367</v>
      </c>
      <c r="O176">
        <v>517</v>
      </c>
      <c r="P176">
        <v>150</v>
      </c>
      <c r="Q176">
        <v>311</v>
      </c>
      <c r="R176">
        <v>527</v>
      </c>
      <c r="S176">
        <v>216</v>
      </c>
      <c r="T176">
        <v>273.3</v>
      </c>
      <c r="U176">
        <v>377</v>
      </c>
      <c r="V176">
        <v>375</v>
      </c>
      <c r="W176">
        <v>500</v>
      </c>
      <c r="X176">
        <v>2.79</v>
      </c>
    </row>
    <row r="177" spans="1:24" hidden="1" outlineLevel="2" x14ac:dyDescent="0.25">
      <c r="A177" t="str">
        <f t="shared" si="30"/>
        <v>AK10 - 2002</v>
      </c>
      <c r="B177" t="s">
        <v>39</v>
      </c>
      <c r="C177">
        <v>10</v>
      </c>
      <c r="D177">
        <v>17</v>
      </c>
      <c r="E177">
        <v>2002</v>
      </c>
      <c r="F177">
        <v>162.80000000000001</v>
      </c>
      <c r="G177">
        <v>8.1</v>
      </c>
      <c r="H177">
        <v>6.9</v>
      </c>
      <c r="I177">
        <v>1.2</v>
      </c>
      <c r="J177">
        <v>14</v>
      </c>
      <c r="K177">
        <v>80.8</v>
      </c>
      <c r="L177">
        <v>832.6</v>
      </c>
      <c r="M177">
        <v>409</v>
      </c>
      <c r="N177">
        <v>385</v>
      </c>
      <c r="O177">
        <v>550</v>
      </c>
      <c r="P177">
        <v>165</v>
      </c>
      <c r="Q177">
        <v>314</v>
      </c>
      <c r="R177">
        <v>597</v>
      </c>
      <c r="S177">
        <v>283</v>
      </c>
      <c r="T177">
        <v>203.4</v>
      </c>
      <c r="U177">
        <v>405</v>
      </c>
      <c r="V177">
        <v>408</v>
      </c>
      <c r="W177">
        <v>500</v>
      </c>
      <c r="X177">
        <v>2.79</v>
      </c>
    </row>
    <row r="178" spans="1:24" hidden="1" outlineLevel="2" x14ac:dyDescent="0.25">
      <c r="A178" t="str">
        <f t="shared" si="30"/>
        <v>AK10 - 2002</v>
      </c>
      <c r="B178" t="s">
        <v>39</v>
      </c>
      <c r="C178">
        <v>11</v>
      </c>
      <c r="D178">
        <v>17</v>
      </c>
      <c r="E178">
        <v>2002</v>
      </c>
      <c r="F178">
        <v>180.3</v>
      </c>
      <c r="G178">
        <v>12.9</v>
      </c>
      <c r="H178">
        <v>12.9</v>
      </c>
      <c r="I178">
        <v>0</v>
      </c>
      <c r="J178">
        <v>0</v>
      </c>
      <c r="K178">
        <v>140.9</v>
      </c>
      <c r="L178">
        <v>1021.3</v>
      </c>
      <c r="M178">
        <v>355</v>
      </c>
      <c r="N178">
        <v>355</v>
      </c>
      <c r="Q178">
        <v>269</v>
      </c>
      <c r="R178">
        <v>496</v>
      </c>
      <c r="S178">
        <v>227</v>
      </c>
      <c r="T178">
        <v>249.6</v>
      </c>
      <c r="U178">
        <v>367</v>
      </c>
      <c r="V178">
        <v>369</v>
      </c>
      <c r="W178">
        <v>500</v>
      </c>
      <c r="X178">
        <v>2.79</v>
      </c>
    </row>
    <row r="179" spans="1:24" outlineLevel="1" collapsed="1" x14ac:dyDescent="0.25">
      <c r="A179" s="8" t="s">
        <v>184</v>
      </c>
      <c r="D179">
        <f t="shared" ref="D179:V179" si="31">SUBTOTAL(1,D168:D178)</f>
        <v>16.818181818181817</v>
      </c>
      <c r="E179">
        <f t="shared" si="31"/>
        <v>2002</v>
      </c>
      <c r="F179">
        <f t="shared" si="31"/>
        <v>206.77272727272731</v>
      </c>
      <c r="G179">
        <f t="shared" si="31"/>
        <v>8.5363636363636353</v>
      </c>
      <c r="H179">
        <f t="shared" si="31"/>
        <v>7.3636363636363651</v>
      </c>
      <c r="I179">
        <f t="shared" si="31"/>
        <v>1.1727272727272726</v>
      </c>
      <c r="J179">
        <f t="shared" si="31"/>
        <v>15</v>
      </c>
      <c r="K179">
        <f t="shared" si="31"/>
        <v>108.82727272727271</v>
      </c>
      <c r="L179">
        <f t="shared" si="31"/>
        <v>1369.0545454545454</v>
      </c>
      <c r="M179">
        <f t="shared" si="31"/>
        <v>410.63636363636363</v>
      </c>
      <c r="N179">
        <f t="shared" si="31"/>
        <v>387.81818181818181</v>
      </c>
      <c r="O179">
        <f t="shared" si="31"/>
        <v>535.70000000000005</v>
      </c>
      <c r="P179">
        <f t="shared" si="31"/>
        <v>144.6</v>
      </c>
      <c r="Q179">
        <f t="shared" si="31"/>
        <v>326.72727272727275</v>
      </c>
      <c r="R179">
        <f t="shared" si="31"/>
        <v>557.27272727272725</v>
      </c>
      <c r="S179">
        <f t="shared" si="31"/>
        <v>230.54545454545453</v>
      </c>
      <c r="T179">
        <f t="shared" si="31"/>
        <v>240.51818181818183</v>
      </c>
      <c r="U179">
        <f t="shared" si="31"/>
        <v>395.18181818181819</v>
      </c>
      <c r="V179">
        <f t="shared" si="31"/>
        <v>394</v>
      </c>
    </row>
    <row r="180" spans="1:24" hidden="1" outlineLevel="2" x14ac:dyDescent="0.25">
      <c r="A180" t="str">
        <f t="shared" ref="A180:A190" si="32">CONCATENATE(B180," - ",E180)</f>
        <v>AK10 - 2003</v>
      </c>
      <c r="B180" t="s">
        <v>39</v>
      </c>
      <c r="C180">
        <v>1</v>
      </c>
      <c r="D180">
        <v>18</v>
      </c>
      <c r="E180">
        <v>2003</v>
      </c>
      <c r="F180">
        <v>222</v>
      </c>
      <c r="G180">
        <v>1.8</v>
      </c>
      <c r="H180">
        <v>1.5</v>
      </c>
      <c r="I180">
        <v>0.3</v>
      </c>
      <c r="J180">
        <v>16</v>
      </c>
      <c r="K180">
        <v>25</v>
      </c>
      <c r="L180">
        <v>1548.3</v>
      </c>
      <c r="M180">
        <v>429</v>
      </c>
      <c r="N180">
        <v>392</v>
      </c>
      <c r="O180">
        <v>615</v>
      </c>
      <c r="P180">
        <v>223</v>
      </c>
      <c r="Q180">
        <v>364</v>
      </c>
      <c r="R180">
        <v>615</v>
      </c>
      <c r="S180">
        <v>251</v>
      </c>
      <c r="T180">
        <v>215.7</v>
      </c>
      <c r="U180">
        <v>428</v>
      </c>
      <c r="V180">
        <v>418</v>
      </c>
      <c r="W180">
        <v>500</v>
      </c>
      <c r="X180">
        <v>2.79</v>
      </c>
    </row>
    <row r="181" spans="1:24" hidden="1" outlineLevel="2" x14ac:dyDescent="0.25">
      <c r="A181" t="str">
        <f t="shared" si="32"/>
        <v>AK10 - 2003</v>
      </c>
      <c r="B181" t="s">
        <v>39</v>
      </c>
      <c r="C181">
        <v>2</v>
      </c>
      <c r="D181">
        <v>18</v>
      </c>
      <c r="E181">
        <v>2003</v>
      </c>
      <c r="F181">
        <v>227.2</v>
      </c>
      <c r="G181">
        <v>7.8</v>
      </c>
      <c r="H181">
        <v>7.2</v>
      </c>
      <c r="I181">
        <v>0.6</v>
      </c>
      <c r="J181">
        <v>7</v>
      </c>
      <c r="K181">
        <v>109.4</v>
      </c>
      <c r="L181">
        <v>1621.7</v>
      </c>
      <c r="M181">
        <v>415</v>
      </c>
      <c r="N181">
        <v>404</v>
      </c>
      <c r="O181">
        <v>554</v>
      </c>
      <c r="P181">
        <v>150</v>
      </c>
      <c r="Q181">
        <v>355</v>
      </c>
      <c r="R181">
        <v>606</v>
      </c>
      <c r="S181">
        <v>251</v>
      </c>
      <c r="T181">
        <v>237</v>
      </c>
      <c r="U181">
        <v>407</v>
      </c>
      <c r="V181">
        <v>410</v>
      </c>
      <c r="W181">
        <v>500</v>
      </c>
      <c r="X181">
        <v>2.79</v>
      </c>
    </row>
    <row r="182" spans="1:24" hidden="1" outlineLevel="2" x14ac:dyDescent="0.25">
      <c r="A182" t="str">
        <f t="shared" si="32"/>
        <v>AK10 - 2003</v>
      </c>
      <c r="B182" t="s">
        <v>39</v>
      </c>
      <c r="C182">
        <v>3</v>
      </c>
      <c r="D182">
        <v>18</v>
      </c>
      <c r="E182">
        <v>2003</v>
      </c>
      <c r="F182">
        <v>220.4</v>
      </c>
      <c r="G182">
        <v>8.4</v>
      </c>
      <c r="H182">
        <v>7.8</v>
      </c>
      <c r="I182">
        <v>0.6</v>
      </c>
      <c r="J182">
        <v>7</v>
      </c>
      <c r="K182">
        <v>114.1</v>
      </c>
      <c r="L182">
        <v>1526.1</v>
      </c>
      <c r="M182">
        <v>400</v>
      </c>
      <c r="N182">
        <v>390</v>
      </c>
      <c r="O182">
        <v>527</v>
      </c>
      <c r="P182">
        <v>137</v>
      </c>
      <c r="Q182">
        <v>348</v>
      </c>
      <c r="R182">
        <v>529</v>
      </c>
      <c r="S182">
        <v>181</v>
      </c>
      <c r="T182">
        <v>245.7</v>
      </c>
      <c r="U182">
        <v>415</v>
      </c>
      <c r="V182">
        <v>411</v>
      </c>
      <c r="W182">
        <v>500</v>
      </c>
      <c r="X182">
        <v>2.79</v>
      </c>
    </row>
    <row r="183" spans="1:24" hidden="1" outlineLevel="2" x14ac:dyDescent="0.25">
      <c r="A183" t="str">
        <f t="shared" si="32"/>
        <v>AK10 - 2003</v>
      </c>
      <c r="B183" t="s">
        <v>39</v>
      </c>
      <c r="C183">
        <v>4</v>
      </c>
      <c r="D183">
        <v>17</v>
      </c>
      <c r="E183">
        <v>2003</v>
      </c>
      <c r="F183">
        <v>155.1</v>
      </c>
      <c r="G183">
        <v>5.4</v>
      </c>
      <c r="H183">
        <v>5.0999999999999996</v>
      </c>
      <c r="I183">
        <v>0.3</v>
      </c>
      <c r="J183">
        <v>5</v>
      </c>
      <c r="K183">
        <v>51.7</v>
      </c>
      <c r="L183">
        <v>755.7</v>
      </c>
      <c r="M183">
        <v>399</v>
      </c>
      <c r="N183">
        <v>392</v>
      </c>
      <c r="O183">
        <v>517</v>
      </c>
      <c r="P183">
        <v>125</v>
      </c>
      <c r="Q183">
        <v>340</v>
      </c>
      <c r="R183">
        <v>517</v>
      </c>
      <c r="S183">
        <v>177</v>
      </c>
      <c r="T183">
        <v>174</v>
      </c>
      <c r="U183">
        <v>381</v>
      </c>
      <c r="V183">
        <v>390</v>
      </c>
      <c r="W183">
        <v>500</v>
      </c>
      <c r="X183">
        <v>2.79</v>
      </c>
    </row>
    <row r="184" spans="1:24" hidden="1" outlineLevel="2" x14ac:dyDescent="0.25">
      <c r="A184" t="str">
        <f t="shared" si="32"/>
        <v>AK10 - 2003</v>
      </c>
      <c r="B184" t="s">
        <v>39</v>
      </c>
      <c r="C184">
        <v>5</v>
      </c>
      <c r="D184">
        <v>18</v>
      </c>
      <c r="E184">
        <v>2003</v>
      </c>
      <c r="F184">
        <v>235.6</v>
      </c>
      <c r="G184">
        <v>8.6999999999999993</v>
      </c>
      <c r="H184">
        <v>8.4</v>
      </c>
      <c r="I184">
        <v>0.3</v>
      </c>
      <c r="J184">
        <v>3</v>
      </c>
      <c r="K184">
        <v>126.4</v>
      </c>
      <c r="L184">
        <v>1743.8</v>
      </c>
      <c r="M184">
        <v>399</v>
      </c>
      <c r="N184">
        <v>395</v>
      </c>
      <c r="O184">
        <v>504</v>
      </c>
      <c r="P184">
        <v>109</v>
      </c>
      <c r="Q184">
        <v>330</v>
      </c>
      <c r="R184">
        <v>504</v>
      </c>
      <c r="S184">
        <v>174</v>
      </c>
      <c r="T184">
        <v>256.2</v>
      </c>
      <c r="U184">
        <v>421</v>
      </c>
      <c r="V184">
        <v>409</v>
      </c>
      <c r="W184">
        <v>500</v>
      </c>
      <c r="X184">
        <v>2.79</v>
      </c>
    </row>
    <row r="185" spans="1:24" hidden="1" outlineLevel="2" x14ac:dyDescent="0.25">
      <c r="A185" t="str">
        <f t="shared" si="32"/>
        <v>AK10 - 2003</v>
      </c>
      <c r="B185" t="s">
        <v>39</v>
      </c>
      <c r="C185">
        <v>6</v>
      </c>
      <c r="D185">
        <v>18</v>
      </c>
      <c r="E185">
        <v>2003</v>
      </c>
      <c r="F185">
        <v>229.2</v>
      </c>
      <c r="G185">
        <v>10.8</v>
      </c>
      <c r="H185">
        <v>10.5</v>
      </c>
      <c r="I185">
        <v>0.3</v>
      </c>
      <c r="J185">
        <v>2</v>
      </c>
      <c r="K185">
        <v>151.9</v>
      </c>
      <c r="L185">
        <v>1650.4</v>
      </c>
      <c r="M185">
        <v>384</v>
      </c>
      <c r="N185">
        <v>381</v>
      </c>
      <c r="O185">
        <v>508</v>
      </c>
      <c r="P185">
        <v>127</v>
      </c>
      <c r="Q185">
        <v>330</v>
      </c>
      <c r="R185">
        <v>508</v>
      </c>
      <c r="S185">
        <v>178</v>
      </c>
      <c r="T185">
        <v>272.7</v>
      </c>
      <c r="U185">
        <v>388</v>
      </c>
      <c r="V185">
        <v>387</v>
      </c>
      <c r="W185">
        <v>500</v>
      </c>
      <c r="X185">
        <v>2.79</v>
      </c>
    </row>
    <row r="186" spans="1:24" hidden="1" outlineLevel="2" x14ac:dyDescent="0.25">
      <c r="A186" t="str">
        <f t="shared" si="32"/>
        <v>AK10 - 2003</v>
      </c>
      <c r="B186" t="s">
        <v>39</v>
      </c>
      <c r="C186">
        <v>7</v>
      </c>
      <c r="D186">
        <v>18</v>
      </c>
      <c r="E186">
        <v>2003</v>
      </c>
      <c r="F186">
        <v>259.39999999999998</v>
      </c>
      <c r="G186">
        <v>11.1</v>
      </c>
      <c r="H186">
        <v>11.1</v>
      </c>
      <c r="I186">
        <v>0</v>
      </c>
      <c r="J186">
        <v>0</v>
      </c>
      <c r="K186">
        <v>177</v>
      </c>
      <c r="L186">
        <v>2113.9</v>
      </c>
      <c r="M186">
        <v>391</v>
      </c>
      <c r="N186">
        <v>391</v>
      </c>
      <c r="Q186">
        <v>339</v>
      </c>
      <c r="R186">
        <v>493</v>
      </c>
      <c r="S186">
        <v>154</v>
      </c>
      <c r="T186">
        <v>289.2</v>
      </c>
      <c r="U186">
        <v>379</v>
      </c>
      <c r="V186">
        <v>380</v>
      </c>
      <c r="W186">
        <v>500</v>
      </c>
      <c r="X186">
        <v>2.79</v>
      </c>
    </row>
    <row r="187" spans="1:24" hidden="1" outlineLevel="2" x14ac:dyDescent="0.25">
      <c r="A187" t="str">
        <f t="shared" si="32"/>
        <v>AK10 - 2003</v>
      </c>
      <c r="B187" t="s">
        <v>39</v>
      </c>
      <c r="C187">
        <v>8</v>
      </c>
      <c r="D187">
        <v>18</v>
      </c>
      <c r="E187">
        <v>2003</v>
      </c>
      <c r="F187">
        <v>234.7</v>
      </c>
      <c r="G187">
        <v>4.8</v>
      </c>
      <c r="H187">
        <v>4.8</v>
      </c>
      <c r="I187">
        <v>0</v>
      </c>
      <c r="J187">
        <v>0</v>
      </c>
      <c r="K187">
        <v>70.099999999999994</v>
      </c>
      <c r="L187">
        <v>1730.5</v>
      </c>
      <c r="M187">
        <v>405</v>
      </c>
      <c r="N187">
        <v>405</v>
      </c>
      <c r="Q187">
        <v>346</v>
      </c>
      <c r="R187">
        <v>465</v>
      </c>
      <c r="S187">
        <v>119</v>
      </c>
      <c r="T187">
        <v>228.9</v>
      </c>
      <c r="U187">
        <v>379</v>
      </c>
      <c r="V187">
        <v>377</v>
      </c>
      <c r="W187">
        <v>500</v>
      </c>
      <c r="X187">
        <v>2.79</v>
      </c>
    </row>
    <row r="188" spans="1:24" hidden="1" outlineLevel="2" x14ac:dyDescent="0.25">
      <c r="A188" t="str">
        <f t="shared" si="32"/>
        <v>AK10 - 2003</v>
      </c>
      <c r="B188" t="s">
        <v>39</v>
      </c>
      <c r="C188">
        <v>9</v>
      </c>
      <c r="D188">
        <v>17</v>
      </c>
      <c r="E188">
        <v>2003</v>
      </c>
      <c r="F188">
        <v>218.9</v>
      </c>
      <c r="G188">
        <v>12.3</v>
      </c>
      <c r="H188">
        <v>12.3</v>
      </c>
      <c r="I188">
        <v>0</v>
      </c>
      <c r="J188">
        <v>0</v>
      </c>
      <c r="K188">
        <v>164.4</v>
      </c>
      <c r="L188">
        <v>1505.4</v>
      </c>
      <c r="M188">
        <v>376</v>
      </c>
      <c r="N188">
        <v>376</v>
      </c>
      <c r="Q188">
        <v>324</v>
      </c>
      <c r="R188">
        <v>464</v>
      </c>
      <c r="S188">
        <v>140</v>
      </c>
      <c r="T188">
        <v>273.3</v>
      </c>
      <c r="U188">
        <v>377</v>
      </c>
      <c r="V188">
        <v>375</v>
      </c>
      <c r="W188">
        <v>500</v>
      </c>
      <c r="X188">
        <v>2.79</v>
      </c>
    </row>
    <row r="189" spans="1:24" hidden="1" outlineLevel="2" x14ac:dyDescent="0.25">
      <c r="A189" t="str">
        <f t="shared" si="32"/>
        <v>AK10 - 2003</v>
      </c>
      <c r="B189" t="s">
        <v>39</v>
      </c>
      <c r="C189">
        <v>10</v>
      </c>
      <c r="D189">
        <v>18</v>
      </c>
      <c r="E189">
        <v>2003</v>
      </c>
      <c r="F189">
        <v>170.6</v>
      </c>
      <c r="G189">
        <v>7.8</v>
      </c>
      <c r="H189">
        <v>7.2</v>
      </c>
      <c r="I189">
        <v>0.6</v>
      </c>
      <c r="J189">
        <v>7</v>
      </c>
      <c r="K189">
        <v>81.7</v>
      </c>
      <c r="L189">
        <v>914.3</v>
      </c>
      <c r="M189">
        <v>411</v>
      </c>
      <c r="N189">
        <v>401</v>
      </c>
      <c r="O189">
        <v>525</v>
      </c>
      <c r="P189">
        <v>124</v>
      </c>
      <c r="Q189">
        <v>350</v>
      </c>
      <c r="R189">
        <v>526</v>
      </c>
      <c r="S189">
        <v>176</v>
      </c>
      <c r="T189">
        <v>203.4</v>
      </c>
      <c r="U189">
        <v>405</v>
      </c>
      <c r="V189">
        <v>408</v>
      </c>
      <c r="W189">
        <v>500</v>
      </c>
      <c r="X189">
        <v>2.79</v>
      </c>
    </row>
    <row r="190" spans="1:24" hidden="1" outlineLevel="2" x14ac:dyDescent="0.25">
      <c r="A190" t="str">
        <f t="shared" si="32"/>
        <v>AK10 - 2003</v>
      </c>
      <c r="B190" t="s">
        <v>39</v>
      </c>
      <c r="C190">
        <v>11</v>
      </c>
      <c r="D190">
        <v>18</v>
      </c>
      <c r="E190">
        <v>2003</v>
      </c>
      <c r="F190">
        <v>191.7</v>
      </c>
      <c r="G190">
        <v>11.4</v>
      </c>
      <c r="H190">
        <v>11.4</v>
      </c>
      <c r="I190">
        <v>0</v>
      </c>
      <c r="J190">
        <v>0</v>
      </c>
      <c r="K190">
        <v>133.19999999999999</v>
      </c>
      <c r="L190">
        <v>1154.5</v>
      </c>
      <c r="M190">
        <v>346</v>
      </c>
      <c r="N190">
        <v>346</v>
      </c>
      <c r="Q190">
        <v>305</v>
      </c>
      <c r="R190">
        <v>466</v>
      </c>
      <c r="S190">
        <v>161</v>
      </c>
      <c r="T190">
        <v>249.6</v>
      </c>
      <c r="U190">
        <v>367</v>
      </c>
      <c r="V190">
        <v>369</v>
      </c>
      <c r="W190">
        <v>500</v>
      </c>
      <c r="X190">
        <v>2.79</v>
      </c>
    </row>
    <row r="191" spans="1:24" outlineLevel="1" collapsed="1" x14ac:dyDescent="0.25">
      <c r="A191" s="8" t="s">
        <v>185</v>
      </c>
      <c r="D191">
        <f t="shared" ref="D191:V191" si="33">SUBTOTAL(1,D180:D190)</f>
        <v>17.818181818181817</v>
      </c>
      <c r="E191">
        <f t="shared" si="33"/>
        <v>2003</v>
      </c>
      <c r="F191">
        <f t="shared" si="33"/>
        <v>214.9818181818182</v>
      </c>
      <c r="G191">
        <f t="shared" si="33"/>
        <v>8.209090909090909</v>
      </c>
      <c r="H191">
        <f t="shared" si="33"/>
        <v>7.9363636363636374</v>
      </c>
      <c r="I191">
        <f t="shared" si="33"/>
        <v>0.27272727272727271</v>
      </c>
      <c r="J191">
        <f t="shared" si="33"/>
        <v>4.2727272727272725</v>
      </c>
      <c r="K191">
        <f t="shared" si="33"/>
        <v>109.53636363636365</v>
      </c>
      <c r="L191">
        <f t="shared" si="33"/>
        <v>1478.6</v>
      </c>
      <c r="M191">
        <f t="shared" si="33"/>
        <v>395.90909090909093</v>
      </c>
      <c r="N191">
        <f t="shared" si="33"/>
        <v>388.45454545454544</v>
      </c>
      <c r="O191">
        <f t="shared" si="33"/>
        <v>535.71428571428567</v>
      </c>
      <c r="P191">
        <f t="shared" si="33"/>
        <v>142.14285714285714</v>
      </c>
      <c r="Q191">
        <f t="shared" si="33"/>
        <v>339.18181818181819</v>
      </c>
      <c r="R191">
        <f t="shared" si="33"/>
        <v>517.5454545454545</v>
      </c>
      <c r="S191">
        <f t="shared" si="33"/>
        <v>178.36363636363637</v>
      </c>
      <c r="T191">
        <f t="shared" si="33"/>
        <v>240.51818181818183</v>
      </c>
      <c r="U191">
        <f t="shared" si="33"/>
        <v>395.18181818181819</v>
      </c>
      <c r="V191">
        <f t="shared" si="33"/>
        <v>394</v>
      </c>
    </row>
    <row r="192" spans="1:24" hidden="1" outlineLevel="2" x14ac:dyDescent="0.25">
      <c r="A192" t="str">
        <f t="shared" ref="A192:A202" si="34">CONCATENATE(B192," - ",E192)</f>
        <v>AK10 - 2004</v>
      </c>
      <c r="B192" t="s">
        <v>39</v>
      </c>
      <c r="C192">
        <v>1</v>
      </c>
      <c r="D192">
        <v>19</v>
      </c>
      <c r="E192">
        <v>2004</v>
      </c>
      <c r="F192">
        <v>223.8</v>
      </c>
      <c r="G192">
        <v>1.8</v>
      </c>
      <c r="H192">
        <v>1.5</v>
      </c>
      <c r="I192">
        <v>0.3</v>
      </c>
      <c r="J192">
        <v>16</v>
      </c>
      <c r="K192">
        <v>25.2</v>
      </c>
      <c r="L192">
        <v>1573.5</v>
      </c>
      <c r="M192">
        <v>429</v>
      </c>
      <c r="N192">
        <v>411</v>
      </c>
      <c r="O192">
        <v>519</v>
      </c>
      <c r="P192">
        <v>108</v>
      </c>
      <c r="Q192">
        <v>390</v>
      </c>
      <c r="R192">
        <v>519</v>
      </c>
      <c r="S192">
        <v>129</v>
      </c>
      <c r="T192">
        <v>215.7</v>
      </c>
      <c r="U192">
        <v>428</v>
      </c>
      <c r="V192">
        <v>418</v>
      </c>
      <c r="W192">
        <v>500</v>
      </c>
      <c r="X192">
        <v>2.79</v>
      </c>
    </row>
    <row r="193" spans="1:24" hidden="1" outlineLevel="2" x14ac:dyDescent="0.25">
      <c r="A193" t="str">
        <f t="shared" si="34"/>
        <v>AK10 - 2004</v>
      </c>
      <c r="B193" t="s">
        <v>39</v>
      </c>
      <c r="C193">
        <v>2</v>
      </c>
      <c r="D193">
        <v>19</v>
      </c>
      <c r="E193">
        <v>2004</v>
      </c>
      <c r="F193">
        <v>235</v>
      </c>
      <c r="G193">
        <v>7.8</v>
      </c>
      <c r="H193">
        <v>6.6</v>
      </c>
      <c r="I193">
        <v>1.2</v>
      </c>
      <c r="J193">
        <v>15</v>
      </c>
      <c r="K193">
        <v>113.3</v>
      </c>
      <c r="L193">
        <v>1734.9</v>
      </c>
      <c r="M193">
        <v>424</v>
      </c>
      <c r="N193">
        <v>396</v>
      </c>
      <c r="O193">
        <v>579</v>
      </c>
      <c r="P193">
        <v>183</v>
      </c>
      <c r="Q193">
        <v>357</v>
      </c>
      <c r="R193">
        <v>612</v>
      </c>
      <c r="S193">
        <v>255</v>
      </c>
      <c r="T193">
        <v>237</v>
      </c>
      <c r="U193">
        <v>407</v>
      </c>
      <c r="V193">
        <v>410</v>
      </c>
      <c r="W193">
        <v>500</v>
      </c>
      <c r="X193">
        <v>2.79</v>
      </c>
    </row>
    <row r="194" spans="1:24" hidden="1" outlineLevel="2" x14ac:dyDescent="0.25">
      <c r="A194" t="str">
        <f t="shared" si="34"/>
        <v>AK10 - 2004</v>
      </c>
      <c r="B194" t="s">
        <v>39</v>
      </c>
      <c r="C194">
        <v>3</v>
      </c>
      <c r="D194">
        <v>19</v>
      </c>
      <c r="E194">
        <v>2004</v>
      </c>
      <c r="F194">
        <v>226.4</v>
      </c>
      <c r="G194">
        <v>6</v>
      </c>
      <c r="H194">
        <v>4.8</v>
      </c>
      <c r="I194">
        <v>1.2</v>
      </c>
      <c r="J194">
        <v>20</v>
      </c>
      <c r="K194">
        <v>84.2</v>
      </c>
      <c r="L194">
        <v>1610.3</v>
      </c>
      <c r="M194">
        <v>415</v>
      </c>
      <c r="N194">
        <v>386</v>
      </c>
      <c r="O194">
        <v>532</v>
      </c>
      <c r="P194">
        <v>146</v>
      </c>
      <c r="Q194">
        <v>333</v>
      </c>
      <c r="R194">
        <v>574</v>
      </c>
      <c r="S194">
        <v>241</v>
      </c>
      <c r="T194">
        <v>245.7</v>
      </c>
      <c r="U194">
        <v>415</v>
      </c>
      <c r="V194">
        <v>411</v>
      </c>
      <c r="W194">
        <v>500</v>
      </c>
      <c r="X194">
        <v>2.79</v>
      </c>
    </row>
    <row r="195" spans="1:24" hidden="1" outlineLevel="2" x14ac:dyDescent="0.25">
      <c r="A195" t="str">
        <f t="shared" si="34"/>
        <v>AK10 - 2004</v>
      </c>
      <c r="B195" t="s">
        <v>39</v>
      </c>
      <c r="C195">
        <v>4</v>
      </c>
      <c r="D195">
        <v>18</v>
      </c>
      <c r="E195">
        <v>2004</v>
      </c>
      <c r="F195">
        <v>158.4</v>
      </c>
      <c r="G195">
        <v>3.3</v>
      </c>
      <c r="H195">
        <v>3</v>
      </c>
      <c r="I195">
        <v>0.3</v>
      </c>
      <c r="J195">
        <v>9</v>
      </c>
      <c r="K195">
        <v>32.5</v>
      </c>
      <c r="L195">
        <v>788.2</v>
      </c>
      <c r="M195">
        <v>409</v>
      </c>
      <c r="N195">
        <v>400</v>
      </c>
      <c r="O195">
        <v>502</v>
      </c>
      <c r="P195">
        <v>102</v>
      </c>
      <c r="Q195">
        <v>322</v>
      </c>
      <c r="R195">
        <v>502</v>
      </c>
      <c r="S195">
        <v>180</v>
      </c>
      <c r="T195">
        <v>174</v>
      </c>
      <c r="U195">
        <v>381</v>
      </c>
      <c r="V195">
        <v>390</v>
      </c>
      <c r="W195">
        <v>500</v>
      </c>
      <c r="X195">
        <v>2.79</v>
      </c>
    </row>
    <row r="196" spans="1:24" hidden="1" outlineLevel="2" x14ac:dyDescent="0.25">
      <c r="A196" t="str">
        <f t="shared" si="34"/>
        <v>AK10 - 2004</v>
      </c>
      <c r="B196" t="s">
        <v>39</v>
      </c>
      <c r="C196">
        <v>5</v>
      </c>
      <c r="D196">
        <v>19</v>
      </c>
      <c r="E196">
        <v>2004</v>
      </c>
      <c r="F196">
        <v>243.7</v>
      </c>
      <c r="G196">
        <v>8.1</v>
      </c>
      <c r="H196">
        <v>6.6</v>
      </c>
      <c r="I196">
        <v>1.5</v>
      </c>
      <c r="J196">
        <v>18</v>
      </c>
      <c r="K196">
        <v>122</v>
      </c>
      <c r="L196">
        <v>1865.8</v>
      </c>
      <c r="M196">
        <v>419</v>
      </c>
      <c r="N196">
        <v>395</v>
      </c>
      <c r="O196">
        <v>525</v>
      </c>
      <c r="P196">
        <v>130</v>
      </c>
      <c r="Q196">
        <v>335</v>
      </c>
      <c r="R196">
        <v>538</v>
      </c>
      <c r="S196">
        <v>203</v>
      </c>
      <c r="T196">
        <v>256.2</v>
      </c>
      <c r="U196">
        <v>421</v>
      </c>
      <c r="V196">
        <v>409</v>
      </c>
      <c r="W196">
        <v>500</v>
      </c>
      <c r="X196">
        <v>2.79</v>
      </c>
    </row>
    <row r="197" spans="1:24" hidden="1" outlineLevel="2" x14ac:dyDescent="0.25">
      <c r="A197" t="str">
        <f t="shared" si="34"/>
        <v>AK10 - 2004</v>
      </c>
      <c r="B197" t="s">
        <v>39</v>
      </c>
      <c r="C197">
        <v>6</v>
      </c>
      <c r="D197">
        <v>19</v>
      </c>
      <c r="E197">
        <v>2004</v>
      </c>
      <c r="F197">
        <v>238.2</v>
      </c>
      <c r="G197">
        <v>9</v>
      </c>
      <c r="H197">
        <v>8.6999999999999993</v>
      </c>
      <c r="I197">
        <v>0.3</v>
      </c>
      <c r="J197">
        <v>3</v>
      </c>
      <c r="K197">
        <v>132.19999999999999</v>
      </c>
      <c r="L197">
        <v>1782.5</v>
      </c>
      <c r="M197">
        <v>380</v>
      </c>
      <c r="N197">
        <v>375</v>
      </c>
      <c r="O197">
        <v>532</v>
      </c>
      <c r="P197">
        <v>157</v>
      </c>
      <c r="Q197">
        <v>303</v>
      </c>
      <c r="R197">
        <v>532</v>
      </c>
      <c r="S197">
        <v>229</v>
      </c>
      <c r="T197">
        <v>272.7</v>
      </c>
      <c r="U197">
        <v>388</v>
      </c>
      <c r="V197">
        <v>387</v>
      </c>
      <c r="W197">
        <v>500</v>
      </c>
      <c r="X197">
        <v>2.79</v>
      </c>
    </row>
    <row r="198" spans="1:24" hidden="1" outlineLevel="2" x14ac:dyDescent="0.25">
      <c r="A198" t="str">
        <f t="shared" si="34"/>
        <v>AK10 - 2004</v>
      </c>
      <c r="B198" t="s">
        <v>39</v>
      </c>
      <c r="C198">
        <v>7</v>
      </c>
      <c r="D198">
        <v>19</v>
      </c>
      <c r="E198">
        <v>2004</v>
      </c>
      <c r="F198">
        <v>268.10000000000002</v>
      </c>
      <c r="G198">
        <v>8.6999999999999993</v>
      </c>
      <c r="H198">
        <v>8.1</v>
      </c>
      <c r="I198">
        <v>0.6</v>
      </c>
      <c r="J198">
        <v>6</v>
      </c>
      <c r="K198">
        <v>144.19999999999999</v>
      </c>
      <c r="L198">
        <v>2258.1</v>
      </c>
      <c r="M198">
        <v>405</v>
      </c>
      <c r="N198">
        <v>396</v>
      </c>
      <c r="O198">
        <v>523</v>
      </c>
      <c r="P198">
        <v>127</v>
      </c>
      <c r="Q198">
        <v>332</v>
      </c>
      <c r="R198">
        <v>534</v>
      </c>
      <c r="S198">
        <v>202</v>
      </c>
      <c r="T198">
        <v>289.2</v>
      </c>
      <c r="U198">
        <v>379</v>
      </c>
      <c r="V198">
        <v>380</v>
      </c>
      <c r="W198">
        <v>500</v>
      </c>
      <c r="X198">
        <v>2.79</v>
      </c>
    </row>
    <row r="199" spans="1:24" hidden="1" outlineLevel="2" x14ac:dyDescent="0.25">
      <c r="A199" t="str">
        <f t="shared" si="34"/>
        <v>AK10 - 2004</v>
      </c>
      <c r="B199" t="s">
        <v>39</v>
      </c>
      <c r="C199">
        <v>8</v>
      </c>
      <c r="D199">
        <v>19</v>
      </c>
      <c r="E199">
        <v>2004</v>
      </c>
      <c r="F199">
        <v>237.7</v>
      </c>
      <c r="G199">
        <v>3</v>
      </c>
      <c r="H199">
        <v>2.7</v>
      </c>
      <c r="I199">
        <v>0.3</v>
      </c>
      <c r="J199">
        <v>10</v>
      </c>
      <c r="K199">
        <v>44.5</v>
      </c>
      <c r="L199">
        <v>1775</v>
      </c>
      <c r="M199">
        <v>409</v>
      </c>
      <c r="N199">
        <v>396</v>
      </c>
      <c r="O199">
        <v>526</v>
      </c>
      <c r="P199">
        <v>130</v>
      </c>
      <c r="Q199">
        <v>338</v>
      </c>
      <c r="R199">
        <v>526</v>
      </c>
      <c r="S199">
        <v>188</v>
      </c>
      <c r="T199">
        <v>228.9</v>
      </c>
      <c r="U199">
        <v>379</v>
      </c>
      <c r="V199">
        <v>377</v>
      </c>
      <c r="W199">
        <v>500</v>
      </c>
      <c r="X199">
        <v>2.79</v>
      </c>
    </row>
    <row r="200" spans="1:24" hidden="1" outlineLevel="2" x14ac:dyDescent="0.25">
      <c r="A200" t="str">
        <f t="shared" si="34"/>
        <v>AK10 - 2004</v>
      </c>
      <c r="B200" t="s">
        <v>39</v>
      </c>
      <c r="C200">
        <v>9</v>
      </c>
      <c r="D200">
        <v>18</v>
      </c>
      <c r="E200">
        <v>2004</v>
      </c>
      <c r="F200">
        <v>229.7</v>
      </c>
      <c r="G200">
        <v>10.8</v>
      </c>
      <c r="H200">
        <v>10.8</v>
      </c>
      <c r="I200">
        <v>0</v>
      </c>
      <c r="J200">
        <v>0</v>
      </c>
      <c r="K200">
        <v>152.19999999999999</v>
      </c>
      <c r="L200">
        <v>1657.6</v>
      </c>
      <c r="M200">
        <v>376</v>
      </c>
      <c r="N200">
        <v>376</v>
      </c>
      <c r="Q200">
        <v>301</v>
      </c>
      <c r="R200">
        <v>499</v>
      </c>
      <c r="S200">
        <v>198</v>
      </c>
      <c r="T200">
        <v>273.3</v>
      </c>
      <c r="U200">
        <v>377</v>
      </c>
      <c r="V200">
        <v>375</v>
      </c>
      <c r="W200">
        <v>500</v>
      </c>
      <c r="X200">
        <v>2.79</v>
      </c>
    </row>
    <row r="201" spans="1:24" hidden="1" outlineLevel="2" x14ac:dyDescent="0.25">
      <c r="A201" t="str">
        <f t="shared" si="34"/>
        <v>AK10 - 2004</v>
      </c>
      <c r="B201" t="s">
        <v>39</v>
      </c>
      <c r="C201">
        <v>10</v>
      </c>
      <c r="D201">
        <v>19</v>
      </c>
      <c r="E201">
        <v>2004</v>
      </c>
      <c r="F201">
        <v>177.2</v>
      </c>
      <c r="G201">
        <v>6.6</v>
      </c>
      <c r="H201">
        <v>5.0999999999999996</v>
      </c>
      <c r="I201">
        <v>1.5</v>
      </c>
      <c r="J201">
        <v>22</v>
      </c>
      <c r="K201">
        <v>72.099999999999994</v>
      </c>
      <c r="L201">
        <v>986.5</v>
      </c>
      <c r="M201">
        <v>422</v>
      </c>
      <c r="N201">
        <v>391</v>
      </c>
      <c r="O201">
        <v>530</v>
      </c>
      <c r="P201">
        <v>139</v>
      </c>
      <c r="Q201">
        <v>341</v>
      </c>
      <c r="R201">
        <v>560</v>
      </c>
      <c r="S201">
        <v>219</v>
      </c>
      <c r="T201">
        <v>203.4</v>
      </c>
      <c r="U201">
        <v>405</v>
      </c>
      <c r="V201">
        <v>408</v>
      </c>
      <c r="W201">
        <v>500</v>
      </c>
      <c r="X201">
        <v>2.79</v>
      </c>
    </row>
    <row r="202" spans="1:24" hidden="1" outlineLevel="2" x14ac:dyDescent="0.25">
      <c r="A202" t="str">
        <f t="shared" si="34"/>
        <v>AK10 - 2004</v>
      </c>
      <c r="B202" t="s">
        <v>39</v>
      </c>
      <c r="C202">
        <v>11</v>
      </c>
      <c r="D202">
        <v>19</v>
      </c>
      <c r="E202">
        <v>2004</v>
      </c>
      <c r="F202">
        <v>199.5</v>
      </c>
      <c r="G202">
        <v>7.8</v>
      </c>
      <c r="H202">
        <v>7.8</v>
      </c>
      <c r="I202">
        <v>0</v>
      </c>
      <c r="J202">
        <v>0</v>
      </c>
      <c r="K202">
        <v>95.9</v>
      </c>
      <c r="L202">
        <v>1250.4000000000001</v>
      </c>
      <c r="M202">
        <v>350</v>
      </c>
      <c r="N202">
        <v>350</v>
      </c>
      <c r="Q202">
        <v>287</v>
      </c>
      <c r="R202">
        <v>477</v>
      </c>
      <c r="S202">
        <v>190</v>
      </c>
      <c r="T202">
        <v>249.6</v>
      </c>
      <c r="U202">
        <v>367</v>
      </c>
      <c r="V202">
        <v>369</v>
      </c>
      <c r="W202">
        <v>500</v>
      </c>
      <c r="X202">
        <v>2.79</v>
      </c>
    </row>
    <row r="203" spans="1:24" outlineLevel="1" collapsed="1" x14ac:dyDescent="0.25">
      <c r="A203" s="8" t="s">
        <v>186</v>
      </c>
      <c r="D203">
        <f t="shared" ref="D203:V203" si="35">SUBTOTAL(1,D192:D202)</f>
        <v>18.818181818181817</v>
      </c>
      <c r="E203">
        <f t="shared" si="35"/>
        <v>2004</v>
      </c>
      <c r="F203">
        <f t="shared" si="35"/>
        <v>221.6090909090909</v>
      </c>
      <c r="G203">
        <f t="shared" si="35"/>
        <v>6.6272727272727261</v>
      </c>
      <c r="H203">
        <f t="shared" si="35"/>
        <v>5.9727272727272727</v>
      </c>
      <c r="I203">
        <f t="shared" si="35"/>
        <v>0.65454545454545443</v>
      </c>
      <c r="J203">
        <f t="shared" si="35"/>
        <v>10.818181818181818</v>
      </c>
      <c r="K203">
        <f t="shared" si="35"/>
        <v>92.572727272727263</v>
      </c>
      <c r="L203">
        <f t="shared" si="35"/>
        <v>1571.1636363636367</v>
      </c>
      <c r="M203">
        <f t="shared" si="35"/>
        <v>403.45454545454544</v>
      </c>
      <c r="N203">
        <f t="shared" si="35"/>
        <v>388.36363636363637</v>
      </c>
      <c r="O203">
        <f t="shared" si="35"/>
        <v>529.77777777777783</v>
      </c>
      <c r="P203">
        <f t="shared" si="35"/>
        <v>135.77777777777777</v>
      </c>
      <c r="Q203">
        <f t="shared" si="35"/>
        <v>330.81818181818181</v>
      </c>
      <c r="R203">
        <f t="shared" si="35"/>
        <v>533.90909090909088</v>
      </c>
      <c r="S203">
        <f t="shared" si="35"/>
        <v>203.09090909090909</v>
      </c>
      <c r="T203">
        <f t="shared" si="35"/>
        <v>240.51818181818183</v>
      </c>
      <c r="U203">
        <f t="shared" si="35"/>
        <v>395.18181818181819</v>
      </c>
      <c r="V203">
        <f t="shared" si="35"/>
        <v>394</v>
      </c>
    </row>
    <row r="204" spans="1:24" hidden="1" outlineLevel="2" x14ac:dyDescent="0.25">
      <c r="A204" t="str">
        <f t="shared" ref="A204:A214" si="36">CONCATENATE(B204," - ",E204)</f>
        <v>AK10 - 2005</v>
      </c>
      <c r="B204" t="s">
        <v>39</v>
      </c>
      <c r="C204">
        <v>1</v>
      </c>
      <c r="D204">
        <v>20</v>
      </c>
      <c r="E204">
        <v>2005</v>
      </c>
      <c r="F204">
        <v>224.4</v>
      </c>
      <c r="G204">
        <v>0.6</v>
      </c>
      <c r="H204">
        <v>0</v>
      </c>
      <c r="I204">
        <v>0.6</v>
      </c>
      <c r="J204">
        <v>99</v>
      </c>
      <c r="K204">
        <v>8.4</v>
      </c>
      <c r="L204">
        <v>1582</v>
      </c>
      <c r="M204">
        <v>540</v>
      </c>
      <c r="N204">
        <v>0</v>
      </c>
      <c r="O204">
        <v>540</v>
      </c>
      <c r="P204">
        <v>540</v>
      </c>
      <c r="Q204">
        <v>535</v>
      </c>
      <c r="R204">
        <v>546</v>
      </c>
      <c r="S204">
        <v>11</v>
      </c>
      <c r="T204">
        <v>215.7</v>
      </c>
      <c r="U204">
        <v>428</v>
      </c>
      <c r="V204">
        <v>418</v>
      </c>
      <c r="W204">
        <v>500</v>
      </c>
      <c r="X204">
        <v>2.79</v>
      </c>
    </row>
    <row r="205" spans="1:24" hidden="1" outlineLevel="2" x14ac:dyDescent="0.25">
      <c r="A205" t="str">
        <f t="shared" si="36"/>
        <v>AK10 - 2005</v>
      </c>
      <c r="B205" t="s">
        <v>39</v>
      </c>
      <c r="C205">
        <v>2</v>
      </c>
      <c r="D205">
        <v>20</v>
      </c>
      <c r="E205">
        <v>2005</v>
      </c>
      <c r="F205">
        <v>240.1</v>
      </c>
      <c r="G205">
        <v>5.0999999999999996</v>
      </c>
      <c r="H205">
        <v>4.8</v>
      </c>
      <c r="I205">
        <v>0.3</v>
      </c>
      <c r="J205">
        <v>5</v>
      </c>
      <c r="K205">
        <v>76.099999999999994</v>
      </c>
      <c r="L205">
        <v>1811.1</v>
      </c>
      <c r="M205">
        <v>404</v>
      </c>
      <c r="N205">
        <v>396</v>
      </c>
      <c r="O205">
        <v>532</v>
      </c>
      <c r="P205">
        <v>136</v>
      </c>
      <c r="Q205">
        <v>334</v>
      </c>
      <c r="R205">
        <v>532</v>
      </c>
      <c r="S205">
        <v>198</v>
      </c>
      <c r="T205">
        <v>237</v>
      </c>
      <c r="U205">
        <v>407</v>
      </c>
      <c r="V205">
        <v>410</v>
      </c>
      <c r="W205">
        <v>500</v>
      </c>
      <c r="X205">
        <v>2.79</v>
      </c>
    </row>
    <row r="206" spans="1:24" hidden="1" outlineLevel="2" x14ac:dyDescent="0.25">
      <c r="A206" t="str">
        <f t="shared" si="36"/>
        <v>AK10 - 2005</v>
      </c>
      <c r="B206" t="s">
        <v>39</v>
      </c>
      <c r="C206">
        <v>3</v>
      </c>
      <c r="D206">
        <v>20</v>
      </c>
      <c r="E206">
        <v>2005</v>
      </c>
      <c r="F206">
        <v>233</v>
      </c>
      <c r="G206">
        <v>6.6</v>
      </c>
      <c r="H206">
        <v>5.4</v>
      </c>
      <c r="I206">
        <v>1.2</v>
      </c>
      <c r="J206">
        <v>18</v>
      </c>
      <c r="K206">
        <v>95.3</v>
      </c>
      <c r="L206">
        <v>1705.5</v>
      </c>
      <c r="M206">
        <v>420</v>
      </c>
      <c r="N206">
        <v>398</v>
      </c>
      <c r="O206">
        <v>520</v>
      </c>
      <c r="P206">
        <v>122</v>
      </c>
      <c r="Q206">
        <v>342</v>
      </c>
      <c r="R206">
        <v>549</v>
      </c>
      <c r="S206">
        <v>207</v>
      </c>
      <c r="T206">
        <v>245.7</v>
      </c>
      <c r="U206">
        <v>415</v>
      </c>
      <c r="V206">
        <v>411</v>
      </c>
      <c r="W206">
        <v>500</v>
      </c>
      <c r="X206">
        <v>2.79</v>
      </c>
    </row>
    <row r="207" spans="1:24" hidden="1" outlineLevel="2" x14ac:dyDescent="0.25">
      <c r="A207" t="str">
        <f t="shared" si="36"/>
        <v>AK10 - 2005</v>
      </c>
      <c r="B207" t="s">
        <v>39</v>
      </c>
      <c r="C207">
        <v>4</v>
      </c>
      <c r="D207">
        <v>19</v>
      </c>
      <c r="E207">
        <v>2005</v>
      </c>
      <c r="F207">
        <v>162.6</v>
      </c>
      <c r="G207">
        <v>4.2</v>
      </c>
      <c r="H207">
        <v>4.2</v>
      </c>
      <c r="I207">
        <v>0</v>
      </c>
      <c r="J207">
        <v>0</v>
      </c>
      <c r="K207">
        <v>42.4</v>
      </c>
      <c r="L207">
        <v>830.6</v>
      </c>
      <c r="M207">
        <v>380</v>
      </c>
      <c r="N207">
        <v>380</v>
      </c>
      <c r="Q207">
        <v>331</v>
      </c>
      <c r="R207">
        <v>410</v>
      </c>
      <c r="S207">
        <v>79</v>
      </c>
      <c r="T207">
        <v>174</v>
      </c>
      <c r="U207">
        <v>381</v>
      </c>
      <c r="V207">
        <v>390</v>
      </c>
      <c r="W207">
        <v>500</v>
      </c>
      <c r="X207">
        <v>2.79</v>
      </c>
    </row>
    <row r="208" spans="1:24" hidden="1" outlineLevel="2" x14ac:dyDescent="0.25">
      <c r="A208" t="str">
        <f t="shared" si="36"/>
        <v>AK10 - 2005</v>
      </c>
      <c r="B208" t="s">
        <v>39</v>
      </c>
      <c r="C208">
        <v>5</v>
      </c>
      <c r="D208">
        <v>20</v>
      </c>
      <c r="E208">
        <v>2005</v>
      </c>
      <c r="F208">
        <v>250.3</v>
      </c>
      <c r="G208">
        <v>6.6</v>
      </c>
      <c r="H208">
        <v>6.6</v>
      </c>
      <c r="I208">
        <v>0</v>
      </c>
      <c r="J208">
        <v>0</v>
      </c>
      <c r="K208">
        <v>102.4</v>
      </c>
      <c r="L208">
        <v>1968.2</v>
      </c>
      <c r="M208">
        <v>402</v>
      </c>
      <c r="N208">
        <v>402</v>
      </c>
      <c r="Q208">
        <v>322</v>
      </c>
      <c r="R208">
        <v>465</v>
      </c>
      <c r="S208">
        <v>143</v>
      </c>
      <c r="T208">
        <v>256.2</v>
      </c>
      <c r="U208">
        <v>421</v>
      </c>
      <c r="V208">
        <v>409</v>
      </c>
      <c r="W208">
        <v>500</v>
      </c>
      <c r="X208">
        <v>2.79</v>
      </c>
    </row>
    <row r="209" spans="1:24" hidden="1" outlineLevel="2" x14ac:dyDescent="0.25">
      <c r="A209" t="str">
        <f t="shared" si="36"/>
        <v>AK10 - 2005</v>
      </c>
      <c r="B209" t="s">
        <v>39</v>
      </c>
      <c r="C209">
        <v>6</v>
      </c>
      <c r="D209">
        <v>20</v>
      </c>
      <c r="E209">
        <v>2005</v>
      </c>
      <c r="F209">
        <v>244.8</v>
      </c>
      <c r="G209">
        <v>6.6</v>
      </c>
      <c r="H209">
        <v>6</v>
      </c>
      <c r="I209">
        <v>0.6</v>
      </c>
      <c r="J209">
        <v>9</v>
      </c>
      <c r="K209">
        <v>100.1</v>
      </c>
      <c r="L209">
        <v>1882.7</v>
      </c>
      <c r="M209">
        <v>399</v>
      </c>
      <c r="N209">
        <v>388</v>
      </c>
      <c r="O209">
        <v>515</v>
      </c>
      <c r="P209">
        <v>127</v>
      </c>
      <c r="Q209">
        <v>326</v>
      </c>
      <c r="R209">
        <v>523</v>
      </c>
      <c r="S209">
        <v>197</v>
      </c>
      <c r="T209">
        <v>272.7</v>
      </c>
      <c r="U209">
        <v>388</v>
      </c>
      <c r="V209">
        <v>387</v>
      </c>
      <c r="W209">
        <v>500</v>
      </c>
      <c r="X209">
        <v>2.79</v>
      </c>
    </row>
    <row r="210" spans="1:24" hidden="1" outlineLevel="2" x14ac:dyDescent="0.25">
      <c r="A210" t="str">
        <f t="shared" si="36"/>
        <v>AK10 - 2005</v>
      </c>
      <c r="B210" t="s">
        <v>39</v>
      </c>
      <c r="C210">
        <v>7</v>
      </c>
      <c r="D210">
        <v>20</v>
      </c>
      <c r="E210">
        <v>2005</v>
      </c>
      <c r="F210">
        <v>275.3</v>
      </c>
      <c r="G210">
        <v>7.2</v>
      </c>
      <c r="H210">
        <v>7.2</v>
      </c>
      <c r="I210">
        <v>0</v>
      </c>
      <c r="J210">
        <v>0</v>
      </c>
      <c r="K210">
        <v>122.9</v>
      </c>
      <c r="L210">
        <v>2381</v>
      </c>
      <c r="M210">
        <v>408</v>
      </c>
      <c r="N210">
        <v>408</v>
      </c>
      <c r="Q210">
        <v>368</v>
      </c>
      <c r="R210">
        <v>460</v>
      </c>
      <c r="S210">
        <v>92</v>
      </c>
      <c r="T210">
        <v>289.2</v>
      </c>
      <c r="U210">
        <v>379</v>
      </c>
      <c r="V210">
        <v>380</v>
      </c>
      <c r="W210">
        <v>500</v>
      </c>
      <c r="X210">
        <v>2.79</v>
      </c>
    </row>
    <row r="211" spans="1:24" hidden="1" outlineLevel="2" x14ac:dyDescent="0.25">
      <c r="A211" t="str">
        <f t="shared" si="36"/>
        <v>AK10 - 2005</v>
      </c>
      <c r="B211" t="s">
        <v>39</v>
      </c>
      <c r="C211">
        <v>8</v>
      </c>
      <c r="D211">
        <v>20</v>
      </c>
      <c r="E211">
        <v>2005</v>
      </c>
      <c r="F211">
        <v>238.9</v>
      </c>
      <c r="G211">
        <v>1.2</v>
      </c>
      <c r="H211">
        <v>1.2</v>
      </c>
      <c r="I211">
        <v>0</v>
      </c>
      <c r="J211">
        <v>0</v>
      </c>
      <c r="K211">
        <v>18</v>
      </c>
      <c r="L211">
        <v>1793</v>
      </c>
      <c r="M211">
        <v>343</v>
      </c>
      <c r="N211">
        <v>343</v>
      </c>
      <c r="Q211">
        <v>325</v>
      </c>
      <c r="R211">
        <v>359</v>
      </c>
      <c r="S211">
        <v>34</v>
      </c>
      <c r="T211">
        <v>228.9</v>
      </c>
      <c r="U211">
        <v>379</v>
      </c>
      <c r="V211">
        <v>377</v>
      </c>
      <c r="W211">
        <v>500</v>
      </c>
      <c r="X211">
        <v>2.79</v>
      </c>
    </row>
    <row r="212" spans="1:24" hidden="1" outlineLevel="2" x14ac:dyDescent="0.25">
      <c r="A212" t="str">
        <f t="shared" si="36"/>
        <v>AK10 - 2005</v>
      </c>
      <c r="B212" t="s">
        <v>39</v>
      </c>
      <c r="C212">
        <v>9</v>
      </c>
      <c r="D212">
        <v>19</v>
      </c>
      <c r="E212">
        <v>2005</v>
      </c>
      <c r="F212">
        <v>240.2</v>
      </c>
      <c r="G212">
        <v>10.5</v>
      </c>
      <c r="H212">
        <v>10.5</v>
      </c>
      <c r="I212">
        <v>0</v>
      </c>
      <c r="J212">
        <v>0</v>
      </c>
      <c r="K212">
        <v>155</v>
      </c>
      <c r="L212">
        <v>1812.6</v>
      </c>
      <c r="M212">
        <v>377</v>
      </c>
      <c r="N212">
        <v>377</v>
      </c>
      <c r="Q212">
        <v>324</v>
      </c>
      <c r="R212">
        <v>492</v>
      </c>
      <c r="S212">
        <v>168</v>
      </c>
      <c r="T212">
        <v>273.3</v>
      </c>
      <c r="U212">
        <v>377</v>
      </c>
      <c r="V212">
        <v>375</v>
      </c>
      <c r="W212">
        <v>500</v>
      </c>
      <c r="X212">
        <v>2.79</v>
      </c>
    </row>
    <row r="213" spans="1:24" hidden="1" outlineLevel="2" x14ac:dyDescent="0.25">
      <c r="A213" t="str">
        <f t="shared" si="36"/>
        <v>AK10 - 2005</v>
      </c>
      <c r="B213" t="s">
        <v>39</v>
      </c>
      <c r="C213">
        <v>10</v>
      </c>
      <c r="D213">
        <v>20</v>
      </c>
      <c r="E213">
        <v>2005</v>
      </c>
      <c r="F213">
        <v>182.3</v>
      </c>
      <c r="G213">
        <v>5.0999999999999996</v>
      </c>
      <c r="H213">
        <v>4.8</v>
      </c>
      <c r="I213">
        <v>0.3</v>
      </c>
      <c r="J213">
        <v>5</v>
      </c>
      <c r="K213">
        <v>57.6</v>
      </c>
      <c r="L213">
        <v>1044.0999999999999</v>
      </c>
      <c r="M213">
        <v>396</v>
      </c>
      <c r="N213">
        <v>387</v>
      </c>
      <c r="O213">
        <v>533</v>
      </c>
      <c r="P213">
        <v>146</v>
      </c>
      <c r="Q213">
        <v>339</v>
      </c>
      <c r="R213">
        <v>533</v>
      </c>
      <c r="S213">
        <v>194</v>
      </c>
      <c r="T213">
        <v>203.4</v>
      </c>
      <c r="U213">
        <v>405</v>
      </c>
      <c r="V213">
        <v>408</v>
      </c>
      <c r="W213">
        <v>500</v>
      </c>
      <c r="X213">
        <v>2.79</v>
      </c>
    </row>
    <row r="214" spans="1:24" hidden="1" outlineLevel="2" x14ac:dyDescent="0.25">
      <c r="A214" t="str">
        <f t="shared" si="36"/>
        <v>AK10 - 2005</v>
      </c>
      <c r="B214" t="s">
        <v>39</v>
      </c>
      <c r="C214">
        <v>11</v>
      </c>
      <c r="D214">
        <v>20</v>
      </c>
      <c r="E214">
        <v>2005</v>
      </c>
      <c r="F214">
        <v>207.9</v>
      </c>
      <c r="G214">
        <v>8.4</v>
      </c>
      <c r="H214">
        <v>8.4</v>
      </c>
      <c r="I214">
        <v>0</v>
      </c>
      <c r="J214">
        <v>0</v>
      </c>
      <c r="K214">
        <v>107.5</v>
      </c>
      <c r="L214">
        <v>1357.9</v>
      </c>
      <c r="M214">
        <v>356</v>
      </c>
      <c r="N214">
        <v>356</v>
      </c>
      <c r="Q214">
        <v>294</v>
      </c>
      <c r="R214">
        <v>467</v>
      </c>
      <c r="S214">
        <v>173</v>
      </c>
      <c r="T214">
        <v>249.6</v>
      </c>
      <c r="U214">
        <v>367</v>
      </c>
      <c r="V214">
        <v>369</v>
      </c>
      <c r="W214">
        <v>500</v>
      </c>
      <c r="X214">
        <v>2.79</v>
      </c>
    </row>
    <row r="215" spans="1:24" outlineLevel="1" collapsed="1" x14ac:dyDescent="0.25">
      <c r="A215" s="8" t="s">
        <v>187</v>
      </c>
      <c r="D215">
        <f t="shared" ref="D215:V215" si="37">SUBTOTAL(1,D204:D214)</f>
        <v>19.818181818181817</v>
      </c>
      <c r="E215">
        <f t="shared" si="37"/>
        <v>2005</v>
      </c>
      <c r="F215">
        <f t="shared" si="37"/>
        <v>227.25454545454548</v>
      </c>
      <c r="G215">
        <f t="shared" si="37"/>
        <v>5.6454545454545464</v>
      </c>
      <c r="H215">
        <f t="shared" si="37"/>
        <v>5.372727272727273</v>
      </c>
      <c r="I215">
        <f t="shared" si="37"/>
        <v>0.27272727272727271</v>
      </c>
      <c r="J215">
        <f t="shared" si="37"/>
        <v>12.363636363636363</v>
      </c>
      <c r="K215">
        <f t="shared" si="37"/>
        <v>80.518181818181816</v>
      </c>
      <c r="L215">
        <f t="shared" si="37"/>
        <v>1651.7</v>
      </c>
      <c r="M215">
        <f t="shared" si="37"/>
        <v>402.27272727272725</v>
      </c>
      <c r="N215">
        <f t="shared" si="37"/>
        <v>348.63636363636363</v>
      </c>
      <c r="O215">
        <f t="shared" si="37"/>
        <v>528</v>
      </c>
      <c r="P215">
        <f t="shared" si="37"/>
        <v>214.2</v>
      </c>
      <c r="Q215">
        <f t="shared" si="37"/>
        <v>349.09090909090907</v>
      </c>
      <c r="R215">
        <f t="shared" si="37"/>
        <v>485.09090909090907</v>
      </c>
      <c r="S215">
        <f t="shared" si="37"/>
        <v>136</v>
      </c>
      <c r="T215">
        <f t="shared" si="37"/>
        <v>240.51818181818183</v>
      </c>
      <c r="U215">
        <f t="shared" si="37"/>
        <v>395.18181818181819</v>
      </c>
      <c r="V215">
        <f t="shared" si="37"/>
        <v>394</v>
      </c>
    </row>
    <row r="216" spans="1:24" hidden="1" outlineLevel="2" x14ac:dyDescent="0.25">
      <c r="A216" t="str">
        <f t="shared" ref="A216:A226" si="38">CONCATENATE(B216," - ",E216)</f>
        <v>AK10 - 2006</v>
      </c>
      <c r="B216" t="s">
        <v>39</v>
      </c>
      <c r="C216">
        <v>1</v>
      </c>
      <c r="D216">
        <v>21</v>
      </c>
      <c r="E216">
        <v>2006</v>
      </c>
      <c r="F216">
        <v>225.3</v>
      </c>
      <c r="G216">
        <v>0.9</v>
      </c>
      <c r="H216">
        <v>0.6</v>
      </c>
      <c r="I216">
        <v>0.3</v>
      </c>
      <c r="J216">
        <v>33</v>
      </c>
      <c r="K216">
        <v>12.7</v>
      </c>
      <c r="L216">
        <v>1594.7</v>
      </c>
      <c r="M216">
        <v>497</v>
      </c>
      <c r="N216">
        <v>470</v>
      </c>
      <c r="O216">
        <v>551</v>
      </c>
      <c r="P216">
        <v>81</v>
      </c>
      <c r="Q216">
        <v>450</v>
      </c>
      <c r="R216">
        <v>551</v>
      </c>
      <c r="S216">
        <v>101</v>
      </c>
      <c r="T216">
        <v>215.7</v>
      </c>
      <c r="U216">
        <v>428</v>
      </c>
      <c r="V216">
        <v>418</v>
      </c>
      <c r="W216">
        <v>500</v>
      </c>
      <c r="X216">
        <v>2.79</v>
      </c>
    </row>
    <row r="217" spans="1:24" hidden="1" outlineLevel="2" x14ac:dyDescent="0.25">
      <c r="A217" t="str">
        <f t="shared" si="38"/>
        <v>AK10 - 2006</v>
      </c>
      <c r="B217" t="s">
        <v>39</v>
      </c>
      <c r="C217">
        <v>2</v>
      </c>
      <c r="D217">
        <v>21</v>
      </c>
      <c r="E217">
        <v>2006</v>
      </c>
      <c r="F217">
        <v>244</v>
      </c>
      <c r="G217">
        <v>3.9</v>
      </c>
      <c r="H217">
        <v>3.9</v>
      </c>
      <c r="I217">
        <v>0</v>
      </c>
      <c r="J217">
        <v>0</v>
      </c>
      <c r="K217">
        <v>59.3</v>
      </c>
      <c r="L217">
        <v>1870.4</v>
      </c>
      <c r="M217">
        <v>397</v>
      </c>
      <c r="N217">
        <v>397</v>
      </c>
      <c r="Q217">
        <v>327</v>
      </c>
      <c r="R217">
        <v>483</v>
      </c>
      <c r="S217">
        <v>156</v>
      </c>
      <c r="T217">
        <v>237</v>
      </c>
      <c r="U217">
        <v>407</v>
      </c>
      <c r="V217">
        <v>410</v>
      </c>
      <c r="W217">
        <v>500</v>
      </c>
      <c r="X217">
        <v>2.79</v>
      </c>
    </row>
    <row r="218" spans="1:24" hidden="1" outlineLevel="2" x14ac:dyDescent="0.25">
      <c r="A218" t="str">
        <f t="shared" si="38"/>
        <v>AK10 - 2006</v>
      </c>
      <c r="B218" t="s">
        <v>39</v>
      </c>
      <c r="C218">
        <v>3</v>
      </c>
      <c r="D218">
        <v>21</v>
      </c>
      <c r="E218">
        <v>2006</v>
      </c>
      <c r="F218">
        <v>236.6</v>
      </c>
      <c r="G218">
        <v>3.6</v>
      </c>
      <c r="H218">
        <v>3</v>
      </c>
      <c r="I218">
        <v>0.6</v>
      </c>
      <c r="J218">
        <v>16</v>
      </c>
      <c r="K218">
        <v>53.1</v>
      </c>
      <c r="L218">
        <v>1758.6</v>
      </c>
      <c r="M218">
        <v>418</v>
      </c>
      <c r="N218">
        <v>401</v>
      </c>
      <c r="O218">
        <v>504</v>
      </c>
      <c r="P218">
        <v>103</v>
      </c>
      <c r="Q218">
        <v>326</v>
      </c>
      <c r="R218">
        <v>506</v>
      </c>
      <c r="S218">
        <v>180</v>
      </c>
      <c r="T218">
        <v>245.7</v>
      </c>
      <c r="U218">
        <v>415</v>
      </c>
      <c r="V218">
        <v>411</v>
      </c>
      <c r="W218">
        <v>500</v>
      </c>
      <c r="X218">
        <v>2.79</v>
      </c>
    </row>
    <row r="219" spans="1:24" hidden="1" outlineLevel="2" x14ac:dyDescent="0.25">
      <c r="A219" t="str">
        <f t="shared" si="38"/>
        <v>AK10 - 2006</v>
      </c>
      <c r="B219" t="s">
        <v>39</v>
      </c>
      <c r="C219">
        <v>4</v>
      </c>
      <c r="D219">
        <v>20</v>
      </c>
      <c r="E219">
        <v>2006</v>
      </c>
      <c r="F219">
        <v>165.9</v>
      </c>
      <c r="G219">
        <v>3.3</v>
      </c>
      <c r="H219">
        <v>3.3</v>
      </c>
      <c r="I219">
        <v>0</v>
      </c>
      <c r="J219">
        <v>0</v>
      </c>
      <c r="K219">
        <v>34.1</v>
      </c>
      <c r="L219">
        <v>864.7</v>
      </c>
      <c r="M219">
        <v>406</v>
      </c>
      <c r="N219">
        <v>406</v>
      </c>
      <c r="Q219">
        <v>362</v>
      </c>
      <c r="R219">
        <v>425</v>
      </c>
      <c r="S219">
        <v>63</v>
      </c>
      <c r="T219">
        <v>174</v>
      </c>
      <c r="U219">
        <v>381</v>
      </c>
      <c r="V219">
        <v>390</v>
      </c>
      <c r="W219">
        <v>500</v>
      </c>
      <c r="X219">
        <v>2.79</v>
      </c>
    </row>
    <row r="220" spans="1:24" hidden="1" outlineLevel="2" x14ac:dyDescent="0.25">
      <c r="A220" t="str">
        <f t="shared" si="38"/>
        <v>AK10 - 2006</v>
      </c>
      <c r="B220" t="s">
        <v>39</v>
      </c>
      <c r="C220">
        <v>5</v>
      </c>
      <c r="D220">
        <v>21</v>
      </c>
      <c r="E220">
        <v>2006</v>
      </c>
      <c r="F220">
        <v>252.7</v>
      </c>
      <c r="G220">
        <v>2.4</v>
      </c>
      <c r="H220">
        <v>2.1</v>
      </c>
      <c r="I220">
        <v>0.3</v>
      </c>
      <c r="J220">
        <v>12</v>
      </c>
      <c r="K220">
        <v>37.9</v>
      </c>
      <c r="L220">
        <v>2006.1</v>
      </c>
      <c r="M220">
        <v>411</v>
      </c>
      <c r="N220">
        <v>397</v>
      </c>
      <c r="O220">
        <v>512</v>
      </c>
      <c r="P220">
        <v>115</v>
      </c>
      <c r="Q220">
        <v>335</v>
      </c>
      <c r="R220">
        <v>512</v>
      </c>
      <c r="S220">
        <v>177</v>
      </c>
      <c r="T220">
        <v>256.2</v>
      </c>
      <c r="U220">
        <v>421</v>
      </c>
      <c r="V220">
        <v>409</v>
      </c>
      <c r="W220">
        <v>500</v>
      </c>
      <c r="X220">
        <v>2.79</v>
      </c>
    </row>
    <row r="221" spans="1:24" hidden="1" outlineLevel="2" x14ac:dyDescent="0.25">
      <c r="A221" t="str">
        <f t="shared" si="38"/>
        <v>AK10 - 2006</v>
      </c>
      <c r="B221" t="s">
        <v>39</v>
      </c>
      <c r="C221">
        <v>6</v>
      </c>
      <c r="D221">
        <v>21</v>
      </c>
      <c r="E221">
        <v>2006</v>
      </c>
      <c r="F221">
        <v>249.6</v>
      </c>
      <c r="G221">
        <v>4.8</v>
      </c>
      <c r="H221">
        <v>4.2</v>
      </c>
      <c r="I221">
        <v>0.6</v>
      </c>
      <c r="J221">
        <v>12</v>
      </c>
      <c r="K221">
        <v>74.599999999999994</v>
      </c>
      <c r="L221">
        <v>1957.2</v>
      </c>
      <c r="M221">
        <v>408</v>
      </c>
      <c r="N221">
        <v>393</v>
      </c>
      <c r="O221">
        <v>515</v>
      </c>
      <c r="P221">
        <v>122</v>
      </c>
      <c r="Q221">
        <v>300</v>
      </c>
      <c r="R221">
        <v>522</v>
      </c>
      <c r="S221">
        <v>222</v>
      </c>
      <c r="T221">
        <v>272.7</v>
      </c>
      <c r="U221">
        <v>388</v>
      </c>
      <c r="V221">
        <v>387</v>
      </c>
      <c r="W221">
        <v>500</v>
      </c>
      <c r="X221">
        <v>2.79</v>
      </c>
    </row>
    <row r="222" spans="1:24" hidden="1" outlineLevel="2" x14ac:dyDescent="0.25">
      <c r="A222" t="str">
        <f t="shared" si="38"/>
        <v>AK10 - 2006</v>
      </c>
      <c r="B222" t="s">
        <v>39</v>
      </c>
      <c r="C222">
        <v>7</v>
      </c>
      <c r="D222">
        <v>21</v>
      </c>
      <c r="E222">
        <v>2006</v>
      </c>
      <c r="F222">
        <v>278.89999999999998</v>
      </c>
      <c r="G222">
        <v>3.6</v>
      </c>
      <c r="H222">
        <v>3.6</v>
      </c>
      <c r="I222">
        <v>0</v>
      </c>
      <c r="J222">
        <v>0</v>
      </c>
      <c r="K222">
        <v>62.7</v>
      </c>
      <c r="L222">
        <v>2443.6999999999998</v>
      </c>
      <c r="M222">
        <v>413</v>
      </c>
      <c r="N222">
        <v>413</v>
      </c>
      <c r="Q222">
        <v>358</v>
      </c>
      <c r="R222">
        <v>471</v>
      </c>
      <c r="S222">
        <v>113</v>
      </c>
      <c r="T222">
        <v>289.2</v>
      </c>
      <c r="U222">
        <v>379</v>
      </c>
      <c r="V222">
        <v>380</v>
      </c>
      <c r="W222">
        <v>500</v>
      </c>
      <c r="X222">
        <v>2.79</v>
      </c>
    </row>
    <row r="223" spans="1:24" hidden="1" outlineLevel="2" x14ac:dyDescent="0.25">
      <c r="A223" t="str">
        <f t="shared" si="38"/>
        <v>AK10 - 2006</v>
      </c>
      <c r="B223" t="s">
        <v>39</v>
      </c>
      <c r="C223">
        <v>8</v>
      </c>
      <c r="D223">
        <v>21</v>
      </c>
      <c r="E223">
        <v>2006</v>
      </c>
      <c r="F223">
        <v>239.8</v>
      </c>
      <c r="G223">
        <v>0.9</v>
      </c>
      <c r="H223">
        <v>0.9</v>
      </c>
      <c r="I223">
        <v>0</v>
      </c>
      <c r="J223">
        <v>0</v>
      </c>
      <c r="K223">
        <v>13.5</v>
      </c>
      <c r="L223">
        <v>1806.5</v>
      </c>
      <c r="M223">
        <v>371</v>
      </c>
      <c r="N223">
        <v>371</v>
      </c>
      <c r="Q223">
        <v>364</v>
      </c>
      <c r="R223">
        <v>375</v>
      </c>
      <c r="S223">
        <v>11</v>
      </c>
      <c r="T223">
        <v>228.9</v>
      </c>
      <c r="U223">
        <v>379</v>
      </c>
      <c r="V223">
        <v>377</v>
      </c>
      <c r="W223">
        <v>500</v>
      </c>
      <c r="X223">
        <v>2.79</v>
      </c>
    </row>
    <row r="224" spans="1:24" hidden="1" outlineLevel="2" x14ac:dyDescent="0.25">
      <c r="A224" t="str">
        <f t="shared" si="38"/>
        <v>AK10 - 2006</v>
      </c>
      <c r="B224" t="s">
        <v>39</v>
      </c>
      <c r="C224">
        <v>9</v>
      </c>
      <c r="D224">
        <v>20</v>
      </c>
      <c r="E224">
        <v>2006</v>
      </c>
      <c r="F224">
        <v>246.2</v>
      </c>
      <c r="G224">
        <v>6</v>
      </c>
      <c r="H224">
        <v>6</v>
      </c>
      <c r="I224">
        <v>0</v>
      </c>
      <c r="J224">
        <v>0</v>
      </c>
      <c r="K224">
        <v>91.7</v>
      </c>
      <c r="L224">
        <v>1904.3</v>
      </c>
      <c r="M224">
        <v>371</v>
      </c>
      <c r="N224">
        <v>371</v>
      </c>
      <c r="Q224">
        <v>285</v>
      </c>
      <c r="R224">
        <v>483</v>
      </c>
      <c r="S224">
        <v>198</v>
      </c>
      <c r="T224">
        <v>273.3</v>
      </c>
      <c r="U224">
        <v>377</v>
      </c>
      <c r="V224">
        <v>375</v>
      </c>
      <c r="W224">
        <v>500</v>
      </c>
      <c r="X224">
        <v>2.79</v>
      </c>
    </row>
    <row r="225" spans="1:24" hidden="1" outlineLevel="2" x14ac:dyDescent="0.25">
      <c r="A225" t="str">
        <f t="shared" si="38"/>
        <v>AK10 - 2006</v>
      </c>
      <c r="B225" t="s">
        <v>39</v>
      </c>
      <c r="C225">
        <v>10</v>
      </c>
      <c r="D225">
        <v>21</v>
      </c>
      <c r="E225">
        <v>2006</v>
      </c>
      <c r="F225">
        <v>186.8</v>
      </c>
      <c r="G225">
        <v>4.5</v>
      </c>
      <c r="H225">
        <v>4.5</v>
      </c>
      <c r="I225">
        <v>0</v>
      </c>
      <c r="J225">
        <v>0</v>
      </c>
      <c r="K225">
        <v>52.2</v>
      </c>
      <c r="L225">
        <v>1096.2</v>
      </c>
      <c r="M225">
        <v>416</v>
      </c>
      <c r="N225">
        <v>416</v>
      </c>
      <c r="Q225">
        <v>340</v>
      </c>
      <c r="R225">
        <v>485</v>
      </c>
      <c r="S225">
        <v>145</v>
      </c>
      <c r="T225">
        <v>203.4</v>
      </c>
      <c r="U225">
        <v>405</v>
      </c>
      <c r="V225">
        <v>408</v>
      </c>
      <c r="W225">
        <v>500</v>
      </c>
      <c r="X225">
        <v>2.79</v>
      </c>
    </row>
    <row r="226" spans="1:24" hidden="1" outlineLevel="2" x14ac:dyDescent="0.25">
      <c r="A226" t="str">
        <f t="shared" si="38"/>
        <v>AK10 - 2006</v>
      </c>
      <c r="B226" t="s">
        <v>39</v>
      </c>
      <c r="C226">
        <v>11</v>
      </c>
      <c r="D226">
        <v>21</v>
      </c>
      <c r="E226">
        <v>2006</v>
      </c>
      <c r="F226">
        <v>215.1</v>
      </c>
      <c r="G226">
        <v>7.2</v>
      </c>
      <c r="H226">
        <v>7.2</v>
      </c>
      <c r="I226">
        <v>0</v>
      </c>
      <c r="J226">
        <v>0</v>
      </c>
      <c r="K226">
        <v>95.7</v>
      </c>
      <c r="L226">
        <v>1453.6</v>
      </c>
      <c r="M226">
        <v>352</v>
      </c>
      <c r="N226">
        <v>352</v>
      </c>
      <c r="Q226">
        <v>294</v>
      </c>
      <c r="R226">
        <v>451</v>
      </c>
      <c r="S226">
        <v>157</v>
      </c>
      <c r="T226">
        <v>249.6</v>
      </c>
      <c r="U226">
        <v>367</v>
      </c>
      <c r="V226">
        <v>369</v>
      </c>
      <c r="W226">
        <v>500</v>
      </c>
      <c r="X226">
        <v>2.79</v>
      </c>
    </row>
    <row r="227" spans="1:24" outlineLevel="1" collapsed="1" x14ac:dyDescent="0.25">
      <c r="A227" s="8" t="s">
        <v>188</v>
      </c>
      <c r="D227">
        <f t="shared" ref="D227:V227" si="39">SUBTOTAL(1,D216:D226)</f>
        <v>20.818181818181817</v>
      </c>
      <c r="E227">
        <f t="shared" si="39"/>
        <v>2006</v>
      </c>
      <c r="F227">
        <f t="shared" si="39"/>
        <v>230.9909090909091</v>
      </c>
      <c r="G227">
        <f t="shared" si="39"/>
        <v>3.7363636363636363</v>
      </c>
      <c r="H227">
        <f t="shared" si="39"/>
        <v>3.5727272727272732</v>
      </c>
      <c r="I227">
        <f t="shared" si="39"/>
        <v>0.16363636363636361</v>
      </c>
      <c r="J227">
        <f t="shared" si="39"/>
        <v>6.6363636363636367</v>
      </c>
      <c r="K227">
        <f t="shared" si="39"/>
        <v>53.409090909090907</v>
      </c>
      <c r="L227">
        <f t="shared" si="39"/>
        <v>1705.090909090909</v>
      </c>
      <c r="M227">
        <f t="shared" si="39"/>
        <v>405.45454545454544</v>
      </c>
      <c r="N227">
        <f t="shared" si="39"/>
        <v>398.81818181818181</v>
      </c>
      <c r="O227">
        <f t="shared" si="39"/>
        <v>520.5</v>
      </c>
      <c r="P227">
        <f t="shared" si="39"/>
        <v>105.25</v>
      </c>
      <c r="Q227">
        <f t="shared" si="39"/>
        <v>340.09090909090907</v>
      </c>
      <c r="R227">
        <f t="shared" si="39"/>
        <v>478.54545454545456</v>
      </c>
      <c r="S227">
        <f t="shared" si="39"/>
        <v>138.45454545454547</v>
      </c>
      <c r="T227">
        <f t="shared" si="39"/>
        <v>240.51818181818183</v>
      </c>
      <c r="U227">
        <f t="shared" si="39"/>
        <v>395.18181818181819</v>
      </c>
      <c r="V227">
        <f t="shared" si="39"/>
        <v>394</v>
      </c>
    </row>
    <row r="228" spans="1:24" hidden="1" outlineLevel="2" x14ac:dyDescent="0.25">
      <c r="A228" t="str">
        <f t="shared" ref="A228:A238" si="40">CONCATENATE(B228," - ",E228)</f>
        <v>AK10 - 2007</v>
      </c>
      <c r="B228" t="s">
        <v>39</v>
      </c>
      <c r="C228">
        <v>1</v>
      </c>
      <c r="D228">
        <v>22</v>
      </c>
      <c r="E228">
        <v>2007</v>
      </c>
      <c r="F228">
        <v>226.5</v>
      </c>
      <c r="G228">
        <v>1.2</v>
      </c>
      <c r="H228">
        <v>1.2</v>
      </c>
      <c r="I228">
        <v>0</v>
      </c>
      <c r="J228">
        <v>0</v>
      </c>
      <c r="K228">
        <v>17</v>
      </c>
      <c r="L228">
        <v>1611.7</v>
      </c>
      <c r="M228">
        <v>422</v>
      </c>
      <c r="N228">
        <v>422</v>
      </c>
      <c r="Q228">
        <v>349</v>
      </c>
      <c r="R228">
        <v>478</v>
      </c>
      <c r="S228">
        <v>129</v>
      </c>
      <c r="T228">
        <v>215.7</v>
      </c>
      <c r="U228">
        <v>428</v>
      </c>
      <c r="V228">
        <v>418</v>
      </c>
      <c r="W228">
        <v>500</v>
      </c>
      <c r="X228">
        <v>2.79</v>
      </c>
    </row>
    <row r="229" spans="1:24" hidden="1" outlineLevel="2" x14ac:dyDescent="0.25">
      <c r="A229" t="str">
        <f t="shared" si="40"/>
        <v>AK10 - 2007</v>
      </c>
      <c r="B229" t="s">
        <v>39</v>
      </c>
      <c r="C229">
        <v>2</v>
      </c>
      <c r="D229">
        <v>22</v>
      </c>
      <c r="E229">
        <v>2007</v>
      </c>
      <c r="F229">
        <v>246.7</v>
      </c>
      <c r="G229">
        <v>2.7</v>
      </c>
      <c r="H229">
        <v>2.1</v>
      </c>
      <c r="I229">
        <v>0.6</v>
      </c>
      <c r="J229">
        <v>22</v>
      </c>
      <c r="K229">
        <v>41.6</v>
      </c>
      <c r="L229">
        <v>1912</v>
      </c>
      <c r="M229">
        <v>419</v>
      </c>
      <c r="N229">
        <v>392</v>
      </c>
      <c r="O229">
        <v>515</v>
      </c>
      <c r="P229">
        <v>123</v>
      </c>
      <c r="Q229">
        <v>342</v>
      </c>
      <c r="R229">
        <v>519</v>
      </c>
      <c r="S229">
        <v>177</v>
      </c>
      <c r="T229">
        <v>237</v>
      </c>
      <c r="U229">
        <v>407</v>
      </c>
      <c r="V229">
        <v>410</v>
      </c>
      <c r="W229">
        <v>500</v>
      </c>
      <c r="X229">
        <v>2.79</v>
      </c>
    </row>
    <row r="230" spans="1:24" hidden="1" outlineLevel="2" x14ac:dyDescent="0.25">
      <c r="A230" t="str">
        <f t="shared" si="40"/>
        <v>AK10 - 2007</v>
      </c>
      <c r="B230" t="s">
        <v>39</v>
      </c>
      <c r="C230">
        <v>3</v>
      </c>
      <c r="D230">
        <v>22</v>
      </c>
      <c r="E230">
        <v>2007</v>
      </c>
      <c r="F230">
        <v>239.3</v>
      </c>
      <c r="G230">
        <v>2.7</v>
      </c>
      <c r="H230">
        <v>2.1</v>
      </c>
      <c r="I230">
        <v>0.6</v>
      </c>
      <c r="J230">
        <v>22</v>
      </c>
      <c r="K230">
        <v>40.4</v>
      </c>
      <c r="L230">
        <v>1799</v>
      </c>
      <c r="M230">
        <v>453</v>
      </c>
      <c r="N230">
        <v>435</v>
      </c>
      <c r="O230">
        <v>518</v>
      </c>
      <c r="P230">
        <v>83</v>
      </c>
      <c r="Q230">
        <v>373</v>
      </c>
      <c r="R230">
        <v>534</v>
      </c>
      <c r="S230">
        <v>161</v>
      </c>
      <c r="T230">
        <v>245.7</v>
      </c>
      <c r="U230">
        <v>415</v>
      </c>
      <c r="V230">
        <v>411</v>
      </c>
      <c r="W230">
        <v>500</v>
      </c>
      <c r="X230">
        <v>2.79</v>
      </c>
    </row>
    <row r="231" spans="1:24" hidden="1" outlineLevel="2" x14ac:dyDescent="0.25">
      <c r="A231" t="str">
        <f t="shared" si="40"/>
        <v>AK10 - 2007</v>
      </c>
      <c r="B231" t="s">
        <v>39</v>
      </c>
      <c r="C231">
        <v>4</v>
      </c>
      <c r="D231">
        <v>21</v>
      </c>
      <c r="E231">
        <v>2007</v>
      </c>
      <c r="F231">
        <v>167.7</v>
      </c>
      <c r="G231">
        <v>1.8</v>
      </c>
      <c r="H231">
        <v>1.8</v>
      </c>
      <c r="I231">
        <v>0</v>
      </c>
      <c r="J231">
        <v>0</v>
      </c>
      <c r="K231">
        <v>18.899999999999999</v>
      </c>
      <c r="L231">
        <v>883.5</v>
      </c>
      <c r="M231">
        <v>384</v>
      </c>
      <c r="N231">
        <v>384</v>
      </c>
      <c r="Q231">
        <v>316</v>
      </c>
      <c r="R231">
        <v>438</v>
      </c>
      <c r="S231">
        <v>122</v>
      </c>
      <c r="T231">
        <v>174</v>
      </c>
      <c r="U231">
        <v>381</v>
      </c>
      <c r="V231">
        <v>390</v>
      </c>
      <c r="W231">
        <v>500</v>
      </c>
      <c r="X231">
        <v>2.79</v>
      </c>
    </row>
    <row r="232" spans="1:24" hidden="1" outlineLevel="2" x14ac:dyDescent="0.25">
      <c r="A232" t="str">
        <f t="shared" si="40"/>
        <v>AK10 - 2007</v>
      </c>
      <c r="B232" t="s">
        <v>39</v>
      </c>
      <c r="C232">
        <v>5</v>
      </c>
      <c r="D232">
        <v>22</v>
      </c>
      <c r="E232">
        <v>2007</v>
      </c>
      <c r="F232">
        <v>255.7</v>
      </c>
      <c r="G232">
        <v>3</v>
      </c>
      <c r="H232">
        <v>1.5</v>
      </c>
      <c r="I232">
        <v>1.5</v>
      </c>
      <c r="J232">
        <v>50</v>
      </c>
      <c r="K232">
        <v>47.9</v>
      </c>
      <c r="L232">
        <v>2054.1</v>
      </c>
      <c r="M232">
        <v>480</v>
      </c>
      <c r="N232">
        <v>410</v>
      </c>
      <c r="O232">
        <v>550</v>
      </c>
      <c r="P232">
        <v>140</v>
      </c>
      <c r="Q232">
        <v>366</v>
      </c>
      <c r="R232">
        <v>608</v>
      </c>
      <c r="S232">
        <v>242</v>
      </c>
      <c r="T232">
        <v>256.2</v>
      </c>
      <c r="U232">
        <v>421</v>
      </c>
      <c r="V232">
        <v>409</v>
      </c>
      <c r="W232">
        <v>500</v>
      </c>
      <c r="X232">
        <v>2.79</v>
      </c>
    </row>
    <row r="233" spans="1:24" hidden="1" outlineLevel="2" x14ac:dyDescent="0.25">
      <c r="A233" t="str">
        <f t="shared" si="40"/>
        <v>AK10 - 2007</v>
      </c>
      <c r="B233" t="s">
        <v>39</v>
      </c>
      <c r="C233">
        <v>6</v>
      </c>
      <c r="D233">
        <v>22</v>
      </c>
      <c r="E233">
        <v>2007</v>
      </c>
      <c r="F233">
        <v>255.3</v>
      </c>
      <c r="G233">
        <v>5.7</v>
      </c>
      <c r="H233">
        <v>5.0999999999999996</v>
      </c>
      <c r="I233">
        <v>0.6</v>
      </c>
      <c r="J233">
        <v>10</v>
      </c>
      <c r="K233">
        <v>90.4</v>
      </c>
      <c r="L233">
        <v>2047.6</v>
      </c>
      <c r="M233">
        <v>425</v>
      </c>
      <c r="N233">
        <v>408</v>
      </c>
      <c r="O233">
        <v>570</v>
      </c>
      <c r="P233">
        <v>162</v>
      </c>
      <c r="Q233">
        <v>330</v>
      </c>
      <c r="R233">
        <v>571</v>
      </c>
      <c r="S233">
        <v>241</v>
      </c>
      <c r="T233">
        <v>272.7</v>
      </c>
      <c r="U233">
        <v>388</v>
      </c>
      <c r="V233">
        <v>387</v>
      </c>
      <c r="W233">
        <v>500</v>
      </c>
      <c r="X233">
        <v>2.79</v>
      </c>
    </row>
    <row r="234" spans="1:24" hidden="1" outlineLevel="2" x14ac:dyDescent="0.25">
      <c r="A234" t="str">
        <f t="shared" si="40"/>
        <v>AK10 - 2007</v>
      </c>
      <c r="B234" t="s">
        <v>39</v>
      </c>
      <c r="C234">
        <v>7</v>
      </c>
      <c r="D234">
        <v>22</v>
      </c>
      <c r="E234">
        <v>2007</v>
      </c>
      <c r="F234">
        <v>281.60000000000002</v>
      </c>
      <c r="G234">
        <v>2.7</v>
      </c>
      <c r="H234">
        <v>2.4</v>
      </c>
      <c r="I234">
        <v>0.3</v>
      </c>
      <c r="J234">
        <v>11</v>
      </c>
      <c r="K234">
        <v>47.5</v>
      </c>
      <c r="L234">
        <v>2491.1999999999998</v>
      </c>
      <c r="M234">
        <v>426</v>
      </c>
      <c r="N234">
        <v>410</v>
      </c>
      <c r="O234">
        <v>553</v>
      </c>
      <c r="P234">
        <v>143</v>
      </c>
      <c r="Q234">
        <v>361</v>
      </c>
      <c r="R234">
        <v>553</v>
      </c>
      <c r="S234">
        <v>192</v>
      </c>
      <c r="T234">
        <v>289.2</v>
      </c>
      <c r="U234">
        <v>379</v>
      </c>
      <c r="V234">
        <v>380</v>
      </c>
      <c r="W234">
        <v>500</v>
      </c>
      <c r="X234">
        <v>2.79</v>
      </c>
    </row>
    <row r="235" spans="1:24" hidden="1" outlineLevel="2" x14ac:dyDescent="0.25">
      <c r="A235" t="str">
        <f t="shared" si="40"/>
        <v>AK10 - 2007</v>
      </c>
      <c r="B235" t="s">
        <v>39</v>
      </c>
      <c r="C235">
        <v>8</v>
      </c>
      <c r="D235">
        <v>22</v>
      </c>
      <c r="E235">
        <v>2007</v>
      </c>
      <c r="F235">
        <v>240.7</v>
      </c>
      <c r="G235">
        <v>0.9</v>
      </c>
      <c r="H235">
        <v>0.9</v>
      </c>
      <c r="I235">
        <v>0</v>
      </c>
      <c r="J235">
        <v>0</v>
      </c>
      <c r="K235">
        <v>13.6</v>
      </c>
      <c r="L235">
        <v>1820.1</v>
      </c>
      <c r="M235">
        <v>378</v>
      </c>
      <c r="N235">
        <v>378</v>
      </c>
      <c r="Q235">
        <v>361</v>
      </c>
      <c r="R235">
        <v>411</v>
      </c>
      <c r="S235">
        <v>50</v>
      </c>
      <c r="T235">
        <v>228.9</v>
      </c>
      <c r="U235">
        <v>379</v>
      </c>
      <c r="V235">
        <v>377</v>
      </c>
      <c r="W235">
        <v>500</v>
      </c>
      <c r="X235">
        <v>2.79</v>
      </c>
    </row>
    <row r="236" spans="1:24" hidden="1" outlineLevel="2" x14ac:dyDescent="0.25">
      <c r="A236" t="str">
        <f t="shared" si="40"/>
        <v>AK10 - 2007</v>
      </c>
      <c r="B236" t="s">
        <v>39</v>
      </c>
      <c r="C236">
        <v>9</v>
      </c>
      <c r="D236">
        <v>21</v>
      </c>
      <c r="E236">
        <v>2007</v>
      </c>
      <c r="F236">
        <v>251.9</v>
      </c>
      <c r="G236">
        <v>5.7</v>
      </c>
      <c r="H236">
        <v>5.4</v>
      </c>
      <c r="I236">
        <v>0.3</v>
      </c>
      <c r="J236">
        <v>5</v>
      </c>
      <c r="K236">
        <v>89.2</v>
      </c>
      <c r="L236">
        <v>1993.5</v>
      </c>
      <c r="M236">
        <v>415</v>
      </c>
      <c r="N236">
        <v>409</v>
      </c>
      <c r="O236">
        <v>521</v>
      </c>
      <c r="P236">
        <v>112</v>
      </c>
      <c r="Q236">
        <v>317</v>
      </c>
      <c r="R236">
        <v>521</v>
      </c>
      <c r="S236">
        <v>204</v>
      </c>
      <c r="T236">
        <v>273.3</v>
      </c>
      <c r="U236">
        <v>377</v>
      </c>
      <c r="V236">
        <v>375</v>
      </c>
      <c r="W236">
        <v>500</v>
      </c>
      <c r="X236">
        <v>2.79</v>
      </c>
    </row>
    <row r="237" spans="1:24" hidden="1" outlineLevel="2" x14ac:dyDescent="0.25">
      <c r="A237" t="str">
        <f t="shared" si="40"/>
        <v>AK10 - 2007</v>
      </c>
      <c r="B237" t="s">
        <v>39</v>
      </c>
      <c r="C237">
        <v>10</v>
      </c>
      <c r="D237">
        <v>22</v>
      </c>
      <c r="E237">
        <v>2007</v>
      </c>
      <c r="F237">
        <v>191</v>
      </c>
      <c r="G237">
        <v>4.2</v>
      </c>
      <c r="H237">
        <v>3.3</v>
      </c>
      <c r="I237">
        <v>0.9</v>
      </c>
      <c r="J237">
        <v>21</v>
      </c>
      <c r="K237">
        <v>49.8</v>
      </c>
      <c r="L237">
        <v>1146.0999999999999</v>
      </c>
      <c r="M237">
        <v>427</v>
      </c>
      <c r="N237">
        <v>399</v>
      </c>
      <c r="O237">
        <v>532</v>
      </c>
      <c r="P237">
        <v>133</v>
      </c>
      <c r="Q237">
        <v>332</v>
      </c>
      <c r="R237">
        <v>555</v>
      </c>
      <c r="S237">
        <v>223</v>
      </c>
      <c r="T237">
        <v>203.4</v>
      </c>
      <c r="U237">
        <v>405</v>
      </c>
      <c r="V237">
        <v>408</v>
      </c>
      <c r="W237">
        <v>500</v>
      </c>
      <c r="X237">
        <v>2.79</v>
      </c>
    </row>
    <row r="238" spans="1:24" hidden="1" outlineLevel="2" x14ac:dyDescent="0.25">
      <c r="A238" t="str">
        <f t="shared" si="40"/>
        <v>AK10 - 2007</v>
      </c>
      <c r="B238" t="s">
        <v>39</v>
      </c>
      <c r="C238">
        <v>11</v>
      </c>
      <c r="D238">
        <v>22</v>
      </c>
      <c r="E238">
        <v>2007</v>
      </c>
      <c r="F238">
        <v>221.7</v>
      </c>
      <c r="G238">
        <v>6.6</v>
      </c>
      <c r="H238">
        <v>6</v>
      </c>
      <c r="I238">
        <v>0.6</v>
      </c>
      <c r="J238">
        <v>9</v>
      </c>
      <c r="K238">
        <v>90.6</v>
      </c>
      <c r="L238">
        <v>1544.1</v>
      </c>
      <c r="M238">
        <v>394</v>
      </c>
      <c r="N238">
        <v>382</v>
      </c>
      <c r="O238">
        <v>520</v>
      </c>
      <c r="P238">
        <v>138</v>
      </c>
      <c r="Q238">
        <v>328</v>
      </c>
      <c r="R238">
        <v>522</v>
      </c>
      <c r="S238">
        <v>194</v>
      </c>
      <c r="T238">
        <v>249.6</v>
      </c>
      <c r="U238">
        <v>367</v>
      </c>
      <c r="V238">
        <v>369</v>
      </c>
      <c r="W238">
        <v>500</v>
      </c>
      <c r="X238">
        <v>2.79</v>
      </c>
    </row>
    <row r="239" spans="1:24" outlineLevel="1" collapsed="1" x14ac:dyDescent="0.25">
      <c r="A239" s="8" t="s">
        <v>189</v>
      </c>
      <c r="D239">
        <f t="shared" ref="D239:V239" si="41">SUBTOTAL(1,D228:D238)</f>
        <v>21.818181818181817</v>
      </c>
      <c r="E239">
        <f t="shared" si="41"/>
        <v>2007</v>
      </c>
      <c r="F239">
        <f t="shared" si="41"/>
        <v>234.37272727272727</v>
      </c>
      <c r="G239">
        <f t="shared" si="41"/>
        <v>3.3818181818181814</v>
      </c>
      <c r="H239">
        <f t="shared" si="41"/>
        <v>2.8909090909090911</v>
      </c>
      <c r="I239">
        <f t="shared" si="41"/>
        <v>0.49090909090909085</v>
      </c>
      <c r="J239">
        <f t="shared" si="41"/>
        <v>13.636363636363637</v>
      </c>
      <c r="K239">
        <f t="shared" si="41"/>
        <v>49.718181818181826</v>
      </c>
      <c r="L239">
        <f t="shared" si="41"/>
        <v>1754.8090909090904</v>
      </c>
      <c r="M239">
        <f t="shared" si="41"/>
        <v>420.27272727272725</v>
      </c>
      <c r="N239">
        <f t="shared" si="41"/>
        <v>402.63636363636363</v>
      </c>
      <c r="O239">
        <f t="shared" si="41"/>
        <v>534.875</v>
      </c>
      <c r="P239">
        <f t="shared" si="41"/>
        <v>129.25</v>
      </c>
      <c r="Q239">
        <f t="shared" si="41"/>
        <v>343.18181818181819</v>
      </c>
      <c r="R239">
        <f t="shared" si="41"/>
        <v>519.09090909090912</v>
      </c>
      <c r="S239">
        <f t="shared" si="41"/>
        <v>175.90909090909091</v>
      </c>
      <c r="T239">
        <f t="shared" si="41"/>
        <v>240.51818181818183</v>
      </c>
      <c r="U239">
        <f t="shared" si="41"/>
        <v>395.18181818181819</v>
      </c>
      <c r="V239">
        <f t="shared" si="41"/>
        <v>394</v>
      </c>
    </row>
    <row r="240" spans="1:24" hidden="1" outlineLevel="2" x14ac:dyDescent="0.25">
      <c r="A240" t="str">
        <f t="shared" ref="A240:A250" si="42">CONCATENATE(B240," - ",E240)</f>
        <v>AK10 - 2008</v>
      </c>
      <c r="B240" t="s">
        <v>39</v>
      </c>
      <c r="C240">
        <v>1</v>
      </c>
      <c r="D240">
        <v>23</v>
      </c>
      <c r="E240">
        <v>2008</v>
      </c>
      <c r="F240">
        <v>227.7</v>
      </c>
      <c r="G240">
        <v>1.2</v>
      </c>
      <c r="H240">
        <v>0.9</v>
      </c>
      <c r="I240">
        <v>0.3</v>
      </c>
      <c r="J240">
        <v>25</v>
      </c>
      <c r="K240">
        <v>17.100000000000001</v>
      </c>
      <c r="L240">
        <v>1628.8</v>
      </c>
      <c r="M240">
        <v>488</v>
      </c>
      <c r="N240">
        <v>452</v>
      </c>
      <c r="O240">
        <v>595</v>
      </c>
      <c r="P240">
        <v>143</v>
      </c>
      <c r="Q240">
        <v>404</v>
      </c>
      <c r="R240">
        <v>595</v>
      </c>
      <c r="S240">
        <v>191</v>
      </c>
      <c r="T240">
        <v>215.7</v>
      </c>
      <c r="U240">
        <v>428</v>
      </c>
      <c r="V240">
        <v>418</v>
      </c>
      <c r="W240">
        <v>500</v>
      </c>
      <c r="X240">
        <v>2.79</v>
      </c>
    </row>
    <row r="241" spans="1:24" hidden="1" outlineLevel="2" x14ac:dyDescent="0.25">
      <c r="A241" t="str">
        <f t="shared" si="42"/>
        <v>AK10 - 2008</v>
      </c>
      <c r="B241" t="s">
        <v>39</v>
      </c>
      <c r="C241">
        <v>2</v>
      </c>
      <c r="D241">
        <v>23</v>
      </c>
      <c r="E241">
        <v>2008</v>
      </c>
      <c r="F241">
        <v>249.4</v>
      </c>
      <c r="G241">
        <v>2.7</v>
      </c>
      <c r="H241">
        <v>2.4</v>
      </c>
      <c r="I241">
        <v>0.3</v>
      </c>
      <c r="J241">
        <v>11</v>
      </c>
      <c r="K241">
        <v>42.1</v>
      </c>
      <c r="L241">
        <v>1954.1</v>
      </c>
      <c r="M241">
        <v>405</v>
      </c>
      <c r="N241">
        <v>393</v>
      </c>
      <c r="O241">
        <v>502</v>
      </c>
      <c r="P241">
        <v>109</v>
      </c>
      <c r="Q241">
        <v>338</v>
      </c>
      <c r="R241">
        <v>502</v>
      </c>
      <c r="S241">
        <v>164</v>
      </c>
      <c r="T241">
        <v>237</v>
      </c>
      <c r="U241">
        <v>407</v>
      </c>
      <c r="V241">
        <v>410</v>
      </c>
      <c r="W241">
        <v>500</v>
      </c>
      <c r="X241">
        <v>2.79</v>
      </c>
    </row>
    <row r="242" spans="1:24" hidden="1" outlineLevel="2" x14ac:dyDescent="0.25">
      <c r="A242" t="str">
        <f t="shared" si="42"/>
        <v>AK10 - 2008</v>
      </c>
      <c r="B242" t="s">
        <v>39</v>
      </c>
      <c r="C242">
        <v>3</v>
      </c>
      <c r="D242">
        <v>23</v>
      </c>
      <c r="E242">
        <v>2008</v>
      </c>
      <c r="F242">
        <v>242.3</v>
      </c>
      <c r="G242">
        <v>3</v>
      </c>
      <c r="H242">
        <v>2.7</v>
      </c>
      <c r="I242">
        <v>0.3</v>
      </c>
      <c r="J242">
        <v>10</v>
      </c>
      <c r="K242">
        <v>45.4</v>
      </c>
      <c r="L242">
        <v>1844.4</v>
      </c>
      <c r="M242">
        <v>432</v>
      </c>
      <c r="N242">
        <v>417</v>
      </c>
      <c r="O242">
        <v>570</v>
      </c>
      <c r="P242">
        <v>153</v>
      </c>
      <c r="Q242">
        <v>357</v>
      </c>
      <c r="R242">
        <v>570</v>
      </c>
      <c r="S242">
        <v>213</v>
      </c>
      <c r="T242">
        <v>245.7</v>
      </c>
      <c r="U242">
        <v>415</v>
      </c>
      <c r="V242">
        <v>411</v>
      </c>
      <c r="W242">
        <v>500</v>
      </c>
      <c r="X242">
        <v>2.79</v>
      </c>
    </row>
    <row r="243" spans="1:24" hidden="1" outlineLevel="2" x14ac:dyDescent="0.25">
      <c r="A243" t="str">
        <f t="shared" si="42"/>
        <v>AK10 - 2008</v>
      </c>
      <c r="B243" t="s">
        <v>39</v>
      </c>
      <c r="C243">
        <v>4</v>
      </c>
      <c r="D243">
        <v>22</v>
      </c>
      <c r="E243">
        <v>2008</v>
      </c>
      <c r="F243">
        <v>169.2</v>
      </c>
      <c r="G243">
        <v>1.5</v>
      </c>
      <c r="H243">
        <v>1.5</v>
      </c>
      <c r="I243">
        <v>0</v>
      </c>
      <c r="J243">
        <v>0</v>
      </c>
      <c r="K243">
        <v>15.9</v>
      </c>
      <c r="L243">
        <v>899.4</v>
      </c>
      <c r="M243">
        <v>351</v>
      </c>
      <c r="N243">
        <v>351</v>
      </c>
      <c r="Q243">
        <v>332</v>
      </c>
      <c r="R243">
        <v>386</v>
      </c>
      <c r="S243">
        <v>54</v>
      </c>
      <c r="T243">
        <v>174</v>
      </c>
      <c r="U243">
        <v>381</v>
      </c>
      <c r="V243">
        <v>390</v>
      </c>
      <c r="W243">
        <v>500</v>
      </c>
      <c r="X243">
        <v>2.79</v>
      </c>
    </row>
    <row r="244" spans="1:24" hidden="1" outlineLevel="2" x14ac:dyDescent="0.25">
      <c r="A244" t="str">
        <f t="shared" si="42"/>
        <v>AK10 - 2008</v>
      </c>
      <c r="B244" t="s">
        <v>39</v>
      </c>
      <c r="C244">
        <v>5</v>
      </c>
      <c r="D244">
        <v>23</v>
      </c>
      <c r="E244">
        <v>2008</v>
      </c>
      <c r="F244">
        <v>257.5</v>
      </c>
      <c r="G244">
        <v>1.8</v>
      </c>
      <c r="H244">
        <v>1.5</v>
      </c>
      <c r="I244">
        <v>0.3</v>
      </c>
      <c r="J244">
        <v>16</v>
      </c>
      <c r="K244">
        <v>29</v>
      </c>
      <c r="L244">
        <v>2083.1</v>
      </c>
      <c r="M244">
        <v>435</v>
      </c>
      <c r="N244">
        <v>413</v>
      </c>
      <c r="O244">
        <v>544</v>
      </c>
      <c r="P244">
        <v>131</v>
      </c>
      <c r="Q244">
        <v>363</v>
      </c>
      <c r="R244">
        <v>544</v>
      </c>
      <c r="S244">
        <v>181</v>
      </c>
      <c r="T244">
        <v>256.2</v>
      </c>
      <c r="U244">
        <v>421</v>
      </c>
      <c r="V244">
        <v>409</v>
      </c>
      <c r="W244">
        <v>500</v>
      </c>
      <c r="X244">
        <v>2.79</v>
      </c>
    </row>
    <row r="245" spans="1:24" hidden="1" outlineLevel="2" x14ac:dyDescent="0.25">
      <c r="A245" t="str">
        <f t="shared" si="42"/>
        <v>AK10 - 2008</v>
      </c>
      <c r="B245" t="s">
        <v>39</v>
      </c>
      <c r="C245">
        <v>6</v>
      </c>
      <c r="D245">
        <v>23</v>
      </c>
      <c r="E245">
        <v>2008</v>
      </c>
      <c r="F245">
        <v>261.89999999999998</v>
      </c>
      <c r="G245">
        <v>6.6</v>
      </c>
      <c r="H245">
        <v>6</v>
      </c>
      <c r="I245">
        <v>0.6</v>
      </c>
      <c r="J245">
        <v>9</v>
      </c>
      <c r="K245">
        <v>107.2</v>
      </c>
      <c r="L245">
        <v>2154.9</v>
      </c>
      <c r="M245">
        <v>396</v>
      </c>
      <c r="N245">
        <v>384</v>
      </c>
      <c r="O245">
        <v>517</v>
      </c>
      <c r="P245">
        <v>133</v>
      </c>
      <c r="Q245">
        <v>338</v>
      </c>
      <c r="R245">
        <v>533</v>
      </c>
      <c r="S245">
        <v>195</v>
      </c>
      <c r="T245">
        <v>272.7</v>
      </c>
      <c r="U245">
        <v>388</v>
      </c>
      <c r="V245">
        <v>387</v>
      </c>
      <c r="W245">
        <v>500</v>
      </c>
      <c r="X245">
        <v>2.79</v>
      </c>
    </row>
    <row r="246" spans="1:24" hidden="1" outlineLevel="2" x14ac:dyDescent="0.25">
      <c r="A246" t="str">
        <f t="shared" si="42"/>
        <v>AK10 - 2008</v>
      </c>
      <c r="B246" t="s">
        <v>39</v>
      </c>
      <c r="C246">
        <v>7</v>
      </c>
      <c r="D246">
        <v>23</v>
      </c>
      <c r="E246">
        <v>2008</v>
      </c>
      <c r="F246">
        <v>284.60000000000002</v>
      </c>
      <c r="G246">
        <v>3</v>
      </c>
      <c r="H246">
        <v>3</v>
      </c>
      <c r="I246">
        <v>0</v>
      </c>
      <c r="J246">
        <v>0</v>
      </c>
      <c r="K246">
        <v>53.4</v>
      </c>
      <c r="L246">
        <v>2544.6</v>
      </c>
      <c r="M246">
        <v>397</v>
      </c>
      <c r="N246">
        <v>397</v>
      </c>
      <c r="Q246">
        <v>354</v>
      </c>
      <c r="R246">
        <v>439</v>
      </c>
      <c r="S246">
        <v>85</v>
      </c>
      <c r="T246">
        <v>289.2</v>
      </c>
      <c r="U246">
        <v>379</v>
      </c>
      <c r="V246">
        <v>380</v>
      </c>
      <c r="W246">
        <v>500</v>
      </c>
      <c r="X246">
        <v>2.79</v>
      </c>
    </row>
    <row r="247" spans="1:24" hidden="1" outlineLevel="2" x14ac:dyDescent="0.25">
      <c r="A247" t="str">
        <f t="shared" si="42"/>
        <v>AK10 - 2008</v>
      </c>
      <c r="B247" t="s">
        <v>39</v>
      </c>
      <c r="C247">
        <v>8</v>
      </c>
      <c r="D247">
        <v>23</v>
      </c>
      <c r="E247">
        <v>2008</v>
      </c>
      <c r="F247">
        <v>241.9</v>
      </c>
      <c r="G247">
        <v>1.2</v>
      </c>
      <c r="H247">
        <v>1.2</v>
      </c>
      <c r="I247">
        <v>0</v>
      </c>
      <c r="J247">
        <v>0</v>
      </c>
      <c r="K247">
        <v>18.2</v>
      </c>
      <c r="L247">
        <v>1838.3</v>
      </c>
      <c r="M247">
        <v>404</v>
      </c>
      <c r="N247">
        <v>404</v>
      </c>
      <c r="Q247">
        <v>388</v>
      </c>
      <c r="R247">
        <v>424</v>
      </c>
      <c r="S247">
        <v>36</v>
      </c>
      <c r="T247">
        <v>228.9</v>
      </c>
      <c r="U247">
        <v>379</v>
      </c>
      <c r="V247">
        <v>377</v>
      </c>
      <c r="W247">
        <v>500</v>
      </c>
      <c r="X247">
        <v>2.79</v>
      </c>
    </row>
    <row r="248" spans="1:24" hidden="1" outlineLevel="2" x14ac:dyDescent="0.25">
      <c r="A248" t="str">
        <f t="shared" si="42"/>
        <v>AK10 - 2008</v>
      </c>
      <c r="B248" t="s">
        <v>39</v>
      </c>
      <c r="C248">
        <v>9</v>
      </c>
      <c r="D248">
        <v>22</v>
      </c>
      <c r="E248">
        <v>2008</v>
      </c>
      <c r="F248">
        <v>258.5</v>
      </c>
      <c r="G248">
        <v>6.6</v>
      </c>
      <c r="H248">
        <v>6.3</v>
      </c>
      <c r="I248">
        <v>0.3</v>
      </c>
      <c r="J248">
        <v>4</v>
      </c>
      <c r="K248">
        <v>105.8</v>
      </c>
      <c r="L248">
        <v>2099.3000000000002</v>
      </c>
      <c r="M248">
        <v>388</v>
      </c>
      <c r="N248">
        <v>381</v>
      </c>
      <c r="O248">
        <v>519</v>
      </c>
      <c r="P248">
        <v>138</v>
      </c>
      <c r="Q248">
        <v>321</v>
      </c>
      <c r="R248">
        <v>519</v>
      </c>
      <c r="S248">
        <v>198</v>
      </c>
      <c r="T248">
        <v>273.3</v>
      </c>
      <c r="U248">
        <v>377</v>
      </c>
      <c r="V248">
        <v>375</v>
      </c>
      <c r="W248">
        <v>500</v>
      </c>
      <c r="X248">
        <v>2.79</v>
      </c>
    </row>
    <row r="249" spans="1:24" hidden="1" outlineLevel="2" x14ac:dyDescent="0.25">
      <c r="A249" t="str">
        <f t="shared" si="42"/>
        <v>AK10 - 2008</v>
      </c>
      <c r="B249" t="s">
        <v>39</v>
      </c>
      <c r="C249">
        <v>10</v>
      </c>
      <c r="D249">
        <v>23</v>
      </c>
      <c r="E249">
        <v>2008</v>
      </c>
      <c r="F249">
        <v>195.8</v>
      </c>
      <c r="G249">
        <v>4.8</v>
      </c>
      <c r="H249">
        <v>4.5</v>
      </c>
      <c r="I249">
        <v>0.3</v>
      </c>
      <c r="J249">
        <v>6</v>
      </c>
      <c r="K249">
        <v>58.3</v>
      </c>
      <c r="L249">
        <v>1204.4000000000001</v>
      </c>
      <c r="M249">
        <v>416</v>
      </c>
      <c r="N249">
        <v>409</v>
      </c>
      <c r="O249">
        <v>524</v>
      </c>
      <c r="P249">
        <v>115</v>
      </c>
      <c r="Q249">
        <v>351</v>
      </c>
      <c r="R249">
        <v>524</v>
      </c>
      <c r="S249">
        <v>173</v>
      </c>
      <c r="T249">
        <v>203.4</v>
      </c>
      <c r="U249">
        <v>405</v>
      </c>
      <c r="V249">
        <v>408</v>
      </c>
      <c r="W249">
        <v>500</v>
      </c>
      <c r="X249">
        <v>2.79</v>
      </c>
    </row>
    <row r="250" spans="1:24" hidden="1" outlineLevel="2" x14ac:dyDescent="0.25">
      <c r="A250" t="str">
        <f t="shared" si="42"/>
        <v>AK10 - 2008</v>
      </c>
      <c r="B250" t="s">
        <v>39</v>
      </c>
      <c r="C250">
        <v>11</v>
      </c>
      <c r="D250">
        <v>23</v>
      </c>
      <c r="E250">
        <v>2008</v>
      </c>
      <c r="F250">
        <v>230.4</v>
      </c>
      <c r="G250">
        <v>8.6999999999999993</v>
      </c>
      <c r="H250">
        <v>8.6999999999999993</v>
      </c>
      <c r="I250">
        <v>0</v>
      </c>
      <c r="J250">
        <v>0</v>
      </c>
      <c r="K250">
        <v>123.6</v>
      </c>
      <c r="L250">
        <v>1667.7</v>
      </c>
      <c r="M250">
        <v>373</v>
      </c>
      <c r="N250">
        <v>373</v>
      </c>
      <c r="Q250">
        <v>297</v>
      </c>
      <c r="R250">
        <v>459</v>
      </c>
      <c r="S250">
        <v>162</v>
      </c>
      <c r="T250">
        <v>249.6</v>
      </c>
      <c r="U250">
        <v>367</v>
      </c>
      <c r="V250">
        <v>369</v>
      </c>
      <c r="W250">
        <v>500</v>
      </c>
      <c r="X250">
        <v>2.79</v>
      </c>
    </row>
    <row r="251" spans="1:24" outlineLevel="1" collapsed="1" x14ac:dyDescent="0.25">
      <c r="A251" s="8" t="s">
        <v>190</v>
      </c>
      <c r="D251">
        <f t="shared" ref="D251:V251" si="43">SUBTOTAL(1,D240:D250)</f>
        <v>22.818181818181817</v>
      </c>
      <c r="E251">
        <f t="shared" si="43"/>
        <v>2008</v>
      </c>
      <c r="F251">
        <f t="shared" si="43"/>
        <v>238.10909090909092</v>
      </c>
      <c r="G251">
        <f t="shared" si="43"/>
        <v>3.7363636363636359</v>
      </c>
      <c r="H251">
        <f t="shared" si="43"/>
        <v>3.5181818181818185</v>
      </c>
      <c r="I251">
        <f t="shared" si="43"/>
        <v>0.21818181818181814</v>
      </c>
      <c r="J251">
        <f t="shared" si="43"/>
        <v>7.3636363636363633</v>
      </c>
      <c r="K251">
        <f t="shared" si="43"/>
        <v>56</v>
      </c>
      <c r="L251">
        <f t="shared" si="43"/>
        <v>1810.8181818181818</v>
      </c>
      <c r="M251">
        <f t="shared" si="43"/>
        <v>407.72727272727275</v>
      </c>
      <c r="N251">
        <f t="shared" si="43"/>
        <v>397.63636363636363</v>
      </c>
      <c r="O251">
        <f t="shared" si="43"/>
        <v>538.71428571428567</v>
      </c>
      <c r="P251">
        <f t="shared" si="43"/>
        <v>131.71428571428572</v>
      </c>
      <c r="Q251">
        <f t="shared" si="43"/>
        <v>349.36363636363637</v>
      </c>
      <c r="R251">
        <f t="shared" si="43"/>
        <v>499.54545454545456</v>
      </c>
      <c r="S251">
        <f t="shared" si="43"/>
        <v>150.18181818181819</v>
      </c>
      <c r="T251">
        <f t="shared" si="43"/>
        <v>240.51818181818183</v>
      </c>
      <c r="U251">
        <f t="shared" si="43"/>
        <v>395.18181818181819</v>
      </c>
      <c r="V251">
        <f t="shared" si="43"/>
        <v>394</v>
      </c>
    </row>
    <row r="252" spans="1:24" hidden="1" outlineLevel="2" x14ac:dyDescent="0.25">
      <c r="A252" t="str">
        <f t="shared" ref="A252:A262" si="44">CONCATENATE(B252," - ",E252)</f>
        <v>AK10 - 2009</v>
      </c>
      <c r="B252" t="s">
        <v>39</v>
      </c>
      <c r="C252">
        <v>1</v>
      </c>
      <c r="D252">
        <v>24</v>
      </c>
      <c r="E252">
        <v>2009</v>
      </c>
      <c r="F252">
        <v>228.3</v>
      </c>
      <c r="G252">
        <v>0.6</v>
      </c>
      <c r="H252">
        <v>0.6</v>
      </c>
      <c r="I252">
        <v>0</v>
      </c>
      <c r="J252">
        <v>0</v>
      </c>
      <c r="K252">
        <v>8.6</v>
      </c>
      <c r="L252">
        <v>1637.4</v>
      </c>
      <c r="M252">
        <v>373</v>
      </c>
      <c r="N252">
        <v>373</v>
      </c>
      <c r="Q252">
        <v>368</v>
      </c>
      <c r="R252">
        <v>378</v>
      </c>
      <c r="S252">
        <v>10</v>
      </c>
      <c r="T252">
        <v>215.7</v>
      </c>
      <c r="U252">
        <v>428</v>
      </c>
      <c r="V252">
        <v>418</v>
      </c>
      <c r="W252">
        <v>500</v>
      </c>
      <c r="X252">
        <v>2.79</v>
      </c>
    </row>
    <row r="253" spans="1:24" hidden="1" outlineLevel="2" x14ac:dyDescent="0.25">
      <c r="A253" t="str">
        <f t="shared" si="44"/>
        <v>AK10 - 2009</v>
      </c>
      <c r="B253" t="s">
        <v>39</v>
      </c>
      <c r="C253">
        <v>2</v>
      </c>
      <c r="D253">
        <v>24</v>
      </c>
      <c r="E253">
        <v>2009</v>
      </c>
      <c r="F253">
        <v>253.3</v>
      </c>
      <c r="G253">
        <v>3.9</v>
      </c>
      <c r="H253">
        <v>3.3</v>
      </c>
      <c r="I253">
        <v>0.6</v>
      </c>
      <c r="J253">
        <v>15</v>
      </c>
      <c r="K253">
        <v>61.6</v>
      </c>
      <c r="L253">
        <v>2015.7</v>
      </c>
      <c r="M253">
        <v>419</v>
      </c>
      <c r="N253">
        <v>393</v>
      </c>
      <c r="O253">
        <v>559</v>
      </c>
      <c r="P253">
        <v>166</v>
      </c>
      <c r="Q253">
        <v>361</v>
      </c>
      <c r="R253">
        <v>570</v>
      </c>
      <c r="S253">
        <v>209</v>
      </c>
      <c r="T253">
        <v>237</v>
      </c>
      <c r="U253">
        <v>407</v>
      </c>
      <c r="V253">
        <v>410</v>
      </c>
      <c r="W253">
        <v>500</v>
      </c>
      <c r="X253">
        <v>2.79</v>
      </c>
    </row>
    <row r="254" spans="1:24" hidden="1" outlineLevel="2" x14ac:dyDescent="0.25">
      <c r="A254" t="str">
        <f t="shared" si="44"/>
        <v>AK10 - 2009</v>
      </c>
      <c r="B254" t="s">
        <v>39</v>
      </c>
      <c r="C254">
        <v>3</v>
      </c>
      <c r="D254">
        <v>24</v>
      </c>
      <c r="E254">
        <v>2009</v>
      </c>
      <c r="F254">
        <v>244.7</v>
      </c>
      <c r="G254">
        <v>2.4</v>
      </c>
      <c r="H254">
        <v>1.5</v>
      </c>
      <c r="I254">
        <v>0.9</v>
      </c>
      <c r="J254">
        <v>37</v>
      </c>
      <c r="K254">
        <v>36.700000000000003</v>
      </c>
      <c r="L254">
        <v>1881.1</v>
      </c>
      <c r="M254">
        <v>452</v>
      </c>
      <c r="N254">
        <v>396</v>
      </c>
      <c r="O254">
        <v>545</v>
      </c>
      <c r="P254">
        <v>149</v>
      </c>
      <c r="Q254">
        <v>336</v>
      </c>
      <c r="R254">
        <v>581</v>
      </c>
      <c r="S254">
        <v>245</v>
      </c>
      <c r="T254">
        <v>245.7</v>
      </c>
      <c r="U254">
        <v>415</v>
      </c>
      <c r="V254">
        <v>411</v>
      </c>
      <c r="W254">
        <v>500</v>
      </c>
      <c r="X254">
        <v>2.79</v>
      </c>
    </row>
    <row r="255" spans="1:24" hidden="1" outlineLevel="2" x14ac:dyDescent="0.25">
      <c r="A255" t="str">
        <f t="shared" si="44"/>
        <v>AK10 - 2009</v>
      </c>
      <c r="B255" t="s">
        <v>39</v>
      </c>
      <c r="C255">
        <v>4</v>
      </c>
      <c r="D255">
        <v>23</v>
      </c>
      <c r="E255">
        <v>2009</v>
      </c>
      <c r="F255">
        <v>170.4</v>
      </c>
      <c r="G255">
        <v>1.2</v>
      </c>
      <c r="H255">
        <v>1.2</v>
      </c>
      <c r="I255">
        <v>0</v>
      </c>
      <c r="J255">
        <v>0</v>
      </c>
      <c r="K255">
        <v>12.8</v>
      </c>
      <c r="L255">
        <v>912.2</v>
      </c>
      <c r="M255">
        <v>375</v>
      </c>
      <c r="N255">
        <v>375</v>
      </c>
      <c r="Q255">
        <v>355</v>
      </c>
      <c r="R255">
        <v>401</v>
      </c>
      <c r="S255">
        <v>46</v>
      </c>
      <c r="T255">
        <v>174</v>
      </c>
      <c r="U255">
        <v>381</v>
      </c>
      <c r="V255">
        <v>390</v>
      </c>
      <c r="W255">
        <v>500</v>
      </c>
      <c r="X255">
        <v>2.79</v>
      </c>
    </row>
    <row r="256" spans="1:24" hidden="1" outlineLevel="2" x14ac:dyDescent="0.25">
      <c r="A256" t="str">
        <f t="shared" si="44"/>
        <v>AK10 - 2009</v>
      </c>
      <c r="B256" t="s">
        <v>39</v>
      </c>
      <c r="C256">
        <v>5</v>
      </c>
      <c r="D256">
        <v>24</v>
      </c>
      <c r="E256">
        <v>2009</v>
      </c>
      <c r="F256">
        <v>259</v>
      </c>
      <c r="G256">
        <v>1.5</v>
      </c>
      <c r="H256">
        <v>0.9</v>
      </c>
      <c r="I256">
        <v>0.6</v>
      </c>
      <c r="J256">
        <v>40</v>
      </c>
      <c r="K256">
        <v>24.3</v>
      </c>
      <c r="L256">
        <v>2107.4</v>
      </c>
      <c r="M256">
        <v>482</v>
      </c>
      <c r="N256">
        <v>432</v>
      </c>
      <c r="O256">
        <v>557</v>
      </c>
      <c r="P256">
        <v>125</v>
      </c>
      <c r="Q256">
        <v>379</v>
      </c>
      <c r="R256">
        <v>580</v>
      </c>
      <c r="S256">
        <v>201</v>
      </c>
      <c r="T256">
        <v>256.2</v>
      </c>
      <c r="U256">
        <v>421</v>
      </c>
      <c r="V256">
        <v>409</v>
      </c>
      <c r="W256">
        <v>500</v>
      </c>
      <c r="X256">
        <v>2.79</v>
      </c>
    </row>
    <row r="257" spans="1:24" hidden="1" outlineLevel="2" x14ac:dyDescent="0.25">
      <c r="A257" t="str">
        <f t="shared" si="44"/>
        <v>AK10 - 2009</v>
      </c>
      <c r="B257" t="s">
        <v>39</v>
      </c>
      <c r="C257">
        <v>6</v>
      </c>
      <c r="D257">
        <v>24</v>
      </c>
      <c r="E257">
        <v>2009</v>
      </c>
      <c r="F257">
        <v>266.7</v>
      </c>
      <c r="G257">
        <v>4.8</v>
      </c>
      <c r="H257">
        <v>3.9</v>
      </c>
      <c r="I257">
        <v>0.9</v>
      </c>
      <c r="J257">
        <v>18</v>
      </c>
      <c r="K257">
        <v>79.7</v>
      </c>
      <c r="L257">
        <v>2234.6</v>
      </c>
      <c r="M257">
        <v>418</v>
      </c>
      <c r="N257">
        <v>392</v>
      </c>
      <c r="O257">
        <v>529</v>
      </c>
      <c r="P257">
        <v>137</v>
      </c>
      <c r="Q257">
        <v>343</v>
      </c>
      <c r="R257">
        <v>535</v>
      </c>
      <c r="S257">
        <v>192</v>
      </c>
      <c r="T257">
        <v>272.7</v>
      </c>
      <c r="U257">
        <v>388</v>
      </c>
      <c r="V257">
        <v>387</v>
      </c>
      <c r="W257">
        <v>500</v>
      </c>
      <c r="X257">
        <v>2.79</v>
      </c>
    </row>
    <row r="258" spans="1:24" hidden="1" outlineLevel="2" x14ac:dyDescent="0.25">
      <c r="A258" t="str">
        <f t="shared" si="44"/>
        <v>AK10 - 2009</v>
      </c>
      <c r="B258" t="s">
        <v>39</v>
      </c>
      <c r="C258">
        <v>7</v>
      </c>
      <c r="D258">
        <v>24</v>
      </c>
      <c r="E258">
        <v>2009</v>
      </c>
      <c r="F258">
        <v>287.3</v>
      </c>
      <c r="G258">
        <v>2.7</v>
      </c>
      <c r="H258">
        <v>2.4</v>
      </c>
      <c r="I258">
        <v>0.3</v>
      </c>
      <c r="J258">
        <v>11</v>
      </c>
      <c r="K258">
        <v>48.5</v>
      </c>
      <c r="L258">
        <v>2593.1</v>
      </c>
      <c r="M258">
        <v>425</v>
      </c>
      <c r="N258">
        <v>416</v>
      </c>
      <c r="O258">
        <v>501</v>
      </c>
      <c r="P258">
        <v>85</v>
      </c>
      <c r="Q258">
        <v>371</v>
      </c>
      <c r="R258">
        <v>501</v>
      </c>
      <c r="S258">
        <v>130</v>
      </c>
      <c r="T258">
        <v>289.2</v>
      </c>
      <c r="U258">
        <v>379</v>
      </c>
      <c r="V258">
        <v>380</v>
      </c>
      <c r="W258">
        <v>500</v>
      </c>
      <c r="X258">
        <v>2.79</v>
      </c>
    </row>
    <row r="259" spans="1:24" hidden="1" outlineLevel="2" x14ac:dyDescent="0.25">
      <c r="A259" t="str">
        <f t="shared" si="44"/>
        <v>AK10 - 2009</v>
      </c>
      <c r="B259" t="s">
        <v>39</v>
      </c>
      <c r="C259">
        <v>8</v>
      </c>
      <c r="D259">
        <v>24</v>
      </c>
      <c r="E259">
        <v>2009</v>
      </c>
      <c r="F259">
        <v>242.5</v>
      </c>
      <c r="G259">
        <v>0.6</v>
      </c>
      <c r="H259">
        <v>0.6</v>
      </c>
      <c r="I259">
        <v>0</v>
      </c>
      <c r="J259">
        <v>0</v>
      </c>
      <c r="K259">
        <v>9.1</v>
      </c>
      <c r="L259">
        <v>1847.5</v>
      </c>
      <c r="M259">
        <v>381</v>
      </c>
      <c r="N259">
        <v>381</v>
      </c>
      <c r="Q259">
        <v>373</v>
      </c>
      <c r="R259">
        <v>389</v>
      </c>
      <c r="S259">
        <v>16</v>
      </c>
      <c r="T259">
        <v>228.9</v>
      </c>
      <c r="U259">
        <v>379</v>
      </c>
      <c r="V259">
        <v>377</v>
      </c>
      <c r="W259">
        <v>500</v>
      </c>
      <c r="X259">
        <v>2.79</v>
      </c>
    </row>
    <row r="260" spans="1:24" hidden="1" outlineLevel="2" x14ac:dyDescent="0.25">
      <c r="A260" t="str">
        <f t="shared" si="44"/>
        <v>AK10 - 2009</v>
      </c>
      <c r="B260" t="s">
        <v>39</v>
      </c>
      <c r="C260">
        <v>9</v>
      </c>
      <c r="D260">
        <v>23</v>
      </c>
      <c r="E260">
        <v>2009</v>
      </c>
      <c r="F260">
        <v>265.39999999999998</v>
      </c>
      <c r="G260">
        <v>6.9</v>
      </c>
      <c r="H260">
        <v>6.9</v>
      </c>
      <c r="I260">
        <v>0</v>
      </c>
      <c r="J260">
        <v>0</v>
      </c>
      <c r="K260">
        <v>113.6</v>
      </c>
      <c r="L260">
        <v>2212.8000000000002</v>
      </c>
      <c r="M260">
        <v>406</v>
      </c>
      <c r="N260">
        <v>406</v>
      </c>
      <c r="Q260">
        <v>318</v>
      </c>
      <c r="R260">
        <v>489</v>
      </c>
      <c r="S260">
        <v>171</v>
      </c>
      <c r="T260">
        <v>273.3</v>
      </c>
      <c r="U260">
        <v>377</v>
      </c>
      <c r="V260">
        <v>375</v>
      </c>
      <c r="W260">
        <v>500</v>
      </c>
      <c r="X260">
        <v>2.79</v>
      </c>
    </row>
    <row r="261" spans="1:24" hidden="1" outlineLevel="2" x14ac:dyDescent="0.25">
      <c r="A261" t="str">
        <f t="shared" si="44"/>
        <v>AK10 - 2009</v>
      </c>
      <c r="B261" t="s">
        <v>39</v>
      </c>
      <c r="C261">
        <v>10</v>
      </c>
      <c r="D261">
        <v>24</v>
      </c>
      <c r="E261">
        <v>2009</v>
      </c>
      <c r="F261">
        <v>199.7</v>
      </c>
      <c r="G261">
        <v>3.9</v>
      </c>
      <c r="H261">
        <v>3.3</v>
      </c>
      <c r="I261">
        <v>0.6</v>
      </c>
      <c r="J261">
        <v>15</v>
      </c>
      <c r="K261">
        <v>48.5</v>
      </c>
      <c r="L261">
        <v>1252.9000000000001</v>
      </c>
      <c r="M261">
        <v>421</v>
      </c>
      <c r="N261">
        <v>402</v>
      </c>
      <c r="O261">
        <v>521</v>
      </c>
      <c r="P261">
        <v>119</v>
      </c>
      <c r="Q261">
        <v>342</v>
      </c>
      <c r="R261">
        <v>536</v>
      </c>
      <c r="S261">
        <v>194</v>
      </c>
      <c r="T261">
        <v>203.4</v>
      </c>
      <c r="U261">
        <v>405</v>
      </c>
      <c r="V261">
        <v>408</v>
      </c>
      <c r="W261">
        <v>500</v>
      </c>
      <c r="X261">
        <v>2.79</v>
      </c>
    </row>
    <row r="262" spans="1:24" hidden="1" outlineLevel="2" x14ac:dyDescent="0.25">
      <c r="A262" t="str">
        <f t="shared" si="44"/>
        <v>AK10 - 2009</v>
      </c>
      <c r="B262" t="s">
        <v>39</v>
      </c>
      <c r="C262">
        <v>11</v>
      </c>
      <c r="D262">
        <v>24</v>
      </c>
      <c r="E262">
        <v>2009</v>
      </c>
      <c r="F262">
        <v>237.6</v>
      </c>
      <c r="G262">
        <v>7.2</v>
      </c>
      <c r="H262">
        <v>6.6</v>
      </c>
      <c r="I262">
        <v>0.6</v>
      </c>
      <c r="J262">
        <v>8</v>
      </c>
      <c r="K262">
        <v>105.9</v>
      </c>
      <c r="L262">
        <v>1773.5</v>
      </c>
      <c r="M262">
        <v>397</v>
      </c>
      <c r="N262">
        <v>387</v>
      </c>
      <c r="O262">
        <v>512</v>
      </c>
      <c r="P262">
        <v>125</v>
      </c>
      <c r="Q262">
        <v>344</v>
      </c>
      <c r="R262">
        <v>524</v>
      </c>
      <c r="S262">
        <v>180</v>
      </c>
      <c r="T262">
        <v>249.6</v>
      </c>
      <c r="U262">
        <v>367</v>
      </c>
      <c r="V262">
        <v>369</v>
      </c>
      <c r="W262">
        <v>500</v>
      </c>
      <c r="X262">
        <v>2.79</v>
      </c>
    </row>
    <row r="263" spans="1:24" outlineLevel="1" collapsed="1" x14ac:dyDescent="0.25">
      <c r="A263" s="8" t="s">
        <v>191</v>
      </c>
      <c r="D263">
        <f t="shared" ref="D263:V263" si="45">SUBTOTAL(1,D252:D262)</f>
        <v>23.818181818181817</v>
      </c>
      <c r="E263">
        <f t="shared" si="45"/>
        <v>2009</v>
      </c>
      <c r="F263">
        <f t="shared" si="45"/>
        <v>241.35454545454542</v>
      </c>
      <c r="G263">
        <f t="shared" si="45"/>
        <v>3.2454545454545456</v>
      </c>
      <c r="H263">
        <f t="shared" si="45"/>
        <v>2.8363636363636364</v>
      </c>
      <c r="I263">
        <f t="shared" si="45"/>
        <v>0.40909090909090912</v>
      </c>
      <c r="J263">
        <f t="shared" si="45"/>
        <v>13.090909090909092</v>
      </c>
      <c r="K263">
        <f t="shared" si="45"/>
        <v>49.93636363636363</v>
      </c>
      <c r="L263">
        <f t="shared" si="45"/>
        <v>1860.745454545455</v>
      </c>
      <c r="M263">
        <f t="shared" si="45"/>
        <v>413.54545454545456</v>
      </c>
      <c r="N263">
        <f t="shared" si="45"/>
        <v>395.72727272727275</v>
      </c>
      <c r="O263">
        <f t="shared" si="45"/>
        <v>532</v>
      </c>
      <c r="P263">
        <f t="shared" si="45"/>
        <v>129.42857142857142</v>
      </c>
      <c r="Q263">
        <f t="shared" si="45"/>
        <v>353.63636363636363</v>
      </c>
      <c r="R263">
        <f t="shared" si="45"/>
        <v>498.54545454545456</v>
      </c>
      <c r="S263">
        <f t="shared" si="45"/>
        <v>144.90909090909091</v>
      </c>
      <c r="T263">
        <f t="shared" si="45"/>
        <v>240.51818181818183</v>
      </c>
      <c r="U263">
        <f t="shared" si="45"/>
        <v>395.18181818181819</v>
      </c>
      <c r="V263">
        <f t="shared" si="45"/>
        <v>394</v>
      </c>
    </row>
    <row r="264" spans="1:24" hidden="1" outlineLevel="2" x14ac:dyDescent="0.25">
      <c r="A264" t="str">
        <f t="shared" ref="A264:A274" si="46">CONCATENATE(B264," - ",E264)</f>
        <v>AK10 - 2010</v>
      </c>
      <c r="B264" t="s">
        <v>39</v>
      </c>
      <c r="C264">
        <v>1</v>
      </c>
      <c r="D264">
        <v>25</v>
      </c>
      <c r="E264">
        <v>2010</v>
      </c>
      <c r="F264">
        <v>229.2</v>
      </c>
      <c r="G264">
        <v>0.9</v>
      </c>
      <c r="H264">
        <v>0.6</v>
      </c>
      <c r="I264">
        <v>0.3</v>
      </c>
      <c r="J264">
        <v>33</v>
      </c>
      <c r="K264">
        <v>12.9</v>
      </c>
      <c r="L264">
        <v>1650.4</v>
      </c>
      <c r="M264">
        <v>473</v>
      </c>
      <c r="N264">
        <v>425</v>
      </c>
      <c r="O264">
        <v>568</v>
      </c>
      <c r="P264">
        <v>143</v>
      </c>
      <c r="Q264">
        <v>401</v>
      </c>
      <c r="R264">
        <v>568</v>
      </c>
      <c r="S264">
        <v>167</v>
      </c>
      <c r="T264">
        <v>215.7</v>
      </c>
      <c r="U264">
        <v>428</v>
      </c>
      <c r="V264">
        <v>418</v>
      </c>
      <c r="W264">
        <v>500</v>
      </c>
      <c r="X264">
        <v>2.79</v>
      </c>
    </row>
    <row r="265" spans="1:24" hidden="1" outlineLevel="2" x14ac:dyDescent="0.25">
      <c r="A265" t="str">
        <f t="shared" si="46"/>
        <v>AK10 - 2010</v>
      </c>
      <c r="B265" t="s">
        <v>39</v>
      </c>
      <c r="C265">
        <v>2</v>
      </c>
      <c r="D265">
        <v>25</v>
      </c>
      <c r="E265">
        <v>2010</v>
      </c>
      <c r="F265">
        <v>256.60000000000002</v>
      </c>
      <c r="G265">
        <v>3.3</v>
      </c>
      <c r="H265">
        <v>2.7</v>
      </c>
      <c r="I265">
        <v>0.6</v>
      </c>
      <c r="J265">
        <v>18</v>
      </c>
      <c r="K265">
        <v>52.9</v>
      </c>
      <c r="L265">
        <v>2068.5</v>
      </c>
      <c r="M265">
        <v>410</v>
      </c>
      <c r="N265">
        <v>376</v>
      </c>
      <c r="O265">
        <v>563</v>
      </c>
      <c r="P265">
        <v>187</v>
      </c>
      <c r="Q265">
        <v>330</v>
      </c>
      <c r="R265">
        <v>570</v>
      </c>
      <c r="S265">
        <v>240</v>
      </c>
      <c r="T265">
        <v>237</v>
      </c>
      <c r="U265">
        <v>407</v>
      </c>
      <c r="V265">
        <v>410</v>
      </c>
      <c r="W265">
        <v>500</v>
      </c>
      <c r="X265">
        <v>2.79</v>
      </c>
    </row>
    <row r="266" spans="1:24" hidden="1" outlineLevel="2" x14ac:dyDescent="0.25">
      <c r="A266" t="str">
        <f t="shared" si="46"/>
        <v>AK10 - 2010</v>
      </c>
      <c r="B266" t="s">
        <v>39</v>
      </c>
      <c r="C266">
        <v>3</v>
      </c>
      <c r="D266">
        <v>25</v>
      </c>
      <c r="E266">
        <v>2010</v>
      </c>
      <c r="F266">
        <v>247.4</v>
      </c>
      <c r="G266">
        <v>2.7</v>
      </c>
      <c r="H266">
        <v>2.1</v>
      </c>
      <c r="I266">
        <v>0.6</v>
      </c>
      <c r="J266">
        <v>22</v>
      </c>
      <c r="K266">
        <v>41.7</v>
      </c>
      <c r="L266">
        <v>1922.9</v>
      </c>
      <c r="M266">
        <v>442</v>
      </c>
      <c r="N266">
        <v>413</v>
      </c>
      <c r="O266">
        <v>542</v>
      </c>
      <c r="P266">
        <v>129</v>
      </c>
      <c r="Q266">
        <v>364</v>
      </c>
      <c r="R266">
        <v>553</v>
      </c>
      <c r="S266">
        <v>189</v>
      </c>
      <c r="T266">
        <v>245.7</v>
      </c>
      <c r="U266">
        <v>415</v>
      </c>
      <c r="V266">
        <v>411</v>
      </c>
      <c r="W266">
        <v>500</v>
      </c>
      <c r="X266">
        <v>2.79</v>
      </c>
    </row>
    <row r="267" spans="1:24" hidden="1" outlineLevel="2" x14ac:dyDescent="0.25">
      <c r="A267" t="str">
        <f t="shared" si="46"/>
        <v>AK10 - 2010</v>
      </c>
      <c r="B267" t="s">
        <v>39</v>
      </c>
      <c r="C267">
        <v>4</v>
      </c>
      <c r="D267">
        <v>24</v>
      </c>
      <c r="E267">
        <v>2010</v>
      </c>
      <c r="F267">
        <v>171.9</v>
      </c>
      <c r="G267">
        <v>1.5</v>
      </c>
      <c r="H267">
        <v>1.5</v>
      </c>
      <c r="I267">
        <v>0</v>
      </c>
      <c r="J267">
        <v>0</v>
      </c>
      <c r="K267">
        <v>16.100000000000001</v>
      </c>
      <c r="L267">
        <v>928.3</v>
      </c>
      <c r="M267">
        <v>411</v>
      </c>
      <c r="N267">
        <v>411</v>
      </c>
      <c r="Q267">
        <v>364</v>
      </c>
      <c r="R267">
        <v>457</v>
      </c>
      <c r="S267">
        <v>93</v>
      </c>
      <c r="T267">
        <v>174</v>
      </c>
      <c r="U267">
        <v>381</v>
      </c>
      <c r="V267">
        <v>390</v>
      </c>
      <c r="W267">
        <v>500</v>
      </c>
      <c r="X267">
        <v>2.79</v>
      </c>
    </row>
    <row r="268" spans="1:24" hidden="1" outlineLevel="2" x14ac:dyDescent="0.25">
      <c r="A268" t="str">
        <f t="shared" si="46"/>
        <v>AK10 - 2010</v>
      </c>
      <c r="B268" t="s">
        <v>39</v>
      </c>
      <c r="C268">
        <v>5</v>
      </c>
      <c r="D268">
        <v>25</v>
      </c>
      <c r="E268">
        <v>2010</v>
      </c>
      <c r="F268">
        <v>260.5</v>
      </c>
      <c r="G268">
        <v>1.5</v>
      </c>
      <c r="H268">
        <v>0.9</v>
      </c>
      <c r="I268">
        <v>0.6</v>
      </c>
      <c r="J268">
        <v>40</v>
      </c>
      <c r="K268">
        <v>24.5</v>
      </c>
      <c r="L268">
        <v>2131.9</v>
      </c>
      <c r="M268">
        <v>469</v>
      </c>
      <c r="N268">
        <v>432</v>
      </c>
      <c r="O268">
        <v>526</v>
      </c>
      <c r="P268">
        <v>94</v>
      </c>
      <c r="Q268">
        <v>393</v>
      </c>
      <c r="R268">
        <v>551</v>
      </c>
      <c r="S268">
        <v>158</v>
      </c>
      <c r="T268">
        <v>256.2</v>
      </c>
      <c r="U268">
        <v>421</v>
      </c>
      <c r="V268">
        <v>409</v>
      </c>
      <c r="W268">
        <v>500</v>
      </c>
      <c r="X268">
        <v>2.79</v>
      </c>
    </row>
    <row r="269" spans="1:24" hidden="1" outlineLevel="2" x14ac:dyDescent="0.25">
      <c r="A269" t="str">
        <f t="shared" si="46"/>
        <v>AK10 - 2010</v>
      </c>
      <c r="B269" t="s">
        <v>39</v>
      </c>
      <c r="C269">
        <v>6</v>
      </c>
      <c r="D269">
        <v>25</v>
      </c>
      <c r="E269">
        <v>2010</v>
      </c>
      <c r="F269">
        <v>271.5</v>
      </c>
      <c r="G269">
        <v>4.8</v>
      </c>
      <c r="H269">
        <v>3.6</v>
      </c>
      <c r="I269">
        <v>1.2</v>
      </c>
      <c r="J269">
        <v>25</v>
      </c>
      <c r="K269">
        <v>81.2</v>
      </c>
      <c r="L269">
        <v>2315.6999999999998</v>
      </c>
      <c r="M269">
        <v>436</v>
      </c>
      <c r="N269">
        <v>395</v>
      </c>
      <c r="O269">
        <v>558</v>
      </c>
      <c r="P269">
        <v>163</v>
      </c>
      <c r="Q269">
        <v>343</v>
      </c>
      <c r="R269">
        <v>571</v>
      </c>
      <c r="S269">
        <v>228</v>
      </c>
      <c r="T269">
        <v>272.7</v>
      </c>
      <c r="U269">
        <v>388</v>
      </c>
      <c r="V269">
        <v>387</v>
      </c>
      <c r="W269">
        <v>500</v>
      </c>
      <c r="X269">
        <v>2.79</v>
      </c>
    </row>
    <row r="270" spans="1:24" hidden="1" outlineLevel="2" x14ac:dyDescent="0.25">
      <c r="A270" t="str">
        <f t="shared" si="46"/>
        <v>AK10 - 2010</v>
      </c>
      <c r="B270" t="s">
        <v>39</v>
      </c>
      <c r="C270">
        <v>7</v>
      </c>
      <c r="D270">
        <v>25</v>
      </c>
      <c r="E270">
        <v>2010</v>
      </c>
      <c r="F270">
        <v>289.39999999999998</v>
      </c>
      <c r="G270">
        <v>2.1</v>
      </c>
      <c r="H270">
        <v>2.1</v>
      </c>
      <c r="I270">
        <v>0</v>
      </c>
      <c r="J270">
        <v>0</v>
      </c>
      <c r="K270">
        <v>38</v>
      </c>
      <c r="L270">
        <v>2631.2</v>
      </c>
      <c r="M270">
        <v>381</v>
      </c>
      <c r="N270">
        <v>381</v>
      </c>
      <c r="Q270">
        <v>361</v>
      </c>
      <c r="R270">
        <v>425</v>
      </c>
      <c r="S270">
        <v>64</v>
      </c>
      <c r="T270">
        <v>289.2</v>
      </c>
      <c r="U270">
        <v>379</v>
      </c>
      <c r="V270">
        <v>380</v>
      </c>
      <c r="W270">
        <v>500</v>
      </c>
      <c r="X270">
        <v>2.79</v>
      </c>
    </row>
    <row r="271" spans="1:24" hidden="1" outlineLevel="2" x14ac:dyDescent="0.25">
      <c r="A271" t="str">
        <f t="shared" si="46"/>
        <v>AK10 - 2010</v>
      </c>
      <c r="B271" t="s">
        <v>39</v>
      </c>
      <c r="C271">
        <v>8</v>
      </c>
      <c r="D271">
        <v>25</v>
      </c>
      <c r="E271">
        <v>2010</v>
      </c>
      <c r="F271">
        <v>243.4</v>
      </c>
      <c r="G271">
        <v>0.9</v>
      </c>
      <c r="H271">
        <v>0.9</v>
      </c>
      <c r="I271">
        <v>0</v>
      </c>
      <c r="J271">
        <v>0</v>
      </c>
      <c r="K271">
        <v>13.7</v>
      </c>
      <c r="L271">
        <v>1861.2</v>
      </c>
      <c r="M271">
        <v>399</v>
      </c>
      <c r="N271">
        <v>399</v>
      </c>
      <c r="Q271">
        <v>396</v>
      </c>
      <c r="R271">
        <v>401</v>
      </c>
      <c r="S271">
        <v>5</v>
      </c>
      <c r="T271">
        <v>228.9</v>
      </c>
      <c r="U271">
        <v>379</v>
      </c>
      <c r="V271">
        <v>377</v>
      </c>
      <c r="W271">
        <v>500</v>
      </c>
      <c r="X271">
        <v>2.79</v>
      </c>
    </row>
    <row r="272" spans="1:24" hidden="1" outlineLevel="2" x14ac:dyDescent="0.25">
      <c r="A272" t="str">
        <f t="shared" si="46"/>
        <v>AK10 - 2010</v>
      </c>
      <c r="B272" t="s">
        <v>39</v>
      </c>
      <c r="C272">
        <v>9</v>
      </c>
      <c r="D272">
        <v>24</v>
      </c>
      <c r="E272">
        <v>2010</v>
      </c>
      <c r="F272">
        <v>271.39999999999998</v>
      </c>
      <c r="G272">
        <v>6</v>
      </c>
      <c r="H272">
        <v>4.8</v>
      </c>
      <c r="I272">
        <v>1.2</v>
      </c>
      <c r="J272">
        <v>20</v>
      </c>
      <c r="K272">
        <v>101.2</v>
      </c>
      <c r="L272">
        <v>2314</v>
      </c>
      <c r="M272">
        <v>408</v>
      </c>
      <c r="N272">
        <v>382</v>
      </c>
      <c r="O272">
        <v>512</v>
      </c>
      <c r="P272">
        <v>130</v>
      </c>
      <c r="Q272">
        <v>325</v>
      </c>
      <c r="R272">
        <v>517</v>
      </c>
      <c r="S272">
        <v>192</v>
      </c>
      <c r="T272">
        <v>273.3</v>
      </c>
      <c r="U272">
        <v>377</v>
      </c>
      <c r="V272">
        <v>375</v>
      </c>
      <c r="W272">
        <v>500</v>
      </c>
      <c r="X272">
        <v>2.79</v>
      </c>
    </row>
    <row r="273" spans="1:24" hidden="1" outlineLevel="2" x14ac:dyDescent="0.25">
      <c r="A273" t="str">
        <f t="shared" si="46"/>
        <v>AK10 - 2010</v>
      </c>
      <c r="B273" t="s">
        <v>39</v>
      </c>
      <c r="C273">
        <v>10</v>
      </c>
      <c r="D273">
        <v>25</v>
      </c>
      <c r="E273">
        <v>2010</v>
      </c>
      <c r="F273">
        <v>203.3</v>
      </c>
      <c r="G273">
        <v>3.6</v>
      </c>
      <c r="H273">
        <v>3.3</v>
      </c>
      <c r="I273">
        <v>0.3</v>
      </c>
      <c r="J273">
        <v>8</v>
      </c>
      <c r="K273">
        <v>45.6</v>
      </c>
      <c r="L273">
        <v>1298.4000000000001</v>
      </c>
      <c r="M273">
        <v>429</v>
      </c>
      <c r="N273">
        <v>417</v>
      </c>
      <c r="O273">
        <v>561</v>
      </c>
      <c r="P273">
        <v>144</v>
      </c>
      <c r="Q273">
        <v>341</v>
      </c>
      <c r="R273">
        <v>561</v>
      </c>
      <c r="S273">
        <v>220</v>
      </c>
      <c r="T273">
        <v>203.4</v>
      </c>
      <c r="U273">
        <v>405</v>
      </c>
      <c r="V273">
        <v>408</v>
      </c>
      <c r="W273">
        <v>500</v>
      </c>
      <c r="X273">
        <v>2.79</v>
      </c>
    </row>
    <row r="274" spans="1:24" hidden="1" outlineLevel="2" x14ac:dyDescent="0.25">
      <c r="A274" t="str">
        <f t="shared" si="46"/>
        <v>AK10 - 2010</v>
      </c>
      <c r="B274" t="s">
        <v>39</v>
      </c>
      <c r="C274">
        <v>11</v>
      </c>
      <c r="D274">
        <v>25</v>
      </c>
      <c r="E274">
        <v>2010</v>
      </c>
      <c r="F274">
        <v>246.6</v>
      </c>
      <c r="G274">
        <v>9</v>
      </c>
      <c r="H274">
        <v>8.4</v>
      </c>
      <c r="I274">
        <v>0.6</v>
      </c>
      <c r="J274">
        <v>6</v>
      </c>
      <c r="K274">
        <v>136.9</v>
      </c>
      <c r="L274">
        <v>1910.5</v>
      </c>
      <c r="M274">
        <v>399</v>
      </c>
      <c r="N274">
        <v>390</v>
      </c>
      <c r="O274">
        <v>514</v>
      </c>
      <c r="P274">
        <v>124</v>
      </c>
      <c r="Q274">
        <v>337</v>
      </c>
      <c r="R274">
        <v>523</v>
      </c>
      <c r="S274">
        <v>186</v>
      </c>
      <c r="T274">
        <v>249.6</v>
      </c>
      <c r="U274">
        <v>367</v>
      </c>
      <c r="V274">
        <v>369</v>
      </c>
      <c r="W274">
        <v>500</v>
      </c>
      <c r="X274">
        <v>2.79</v>
      </c>
    </row>
    <row r="275" spans="1:24" outlineLevel="1" collapsed="1" x14ac:dyDescent="0.25">
      <c r="A275" s="8" t="s">
        <v>192</v>
      </c>
      <c r="D275">
        <f t="shared" ref="D275:V275" si="47">SUBTOTAL(1,D264:D274)</f>
        <v>24.818181818181817</v>
      </c>
      <c r="E275">
        <f t="shared" si="47"/>
        <v>2010</v>
      </c>
      <c r="F275">
        <f t="shared" si="47"/>
        <v>244.65454545454548</v>
      </c>
      <c r="G275">
        <f t="shared" si="47"/>
        <v>3.3</v>
      </c>
      <c r="H275">
        <f t="shared" si="47"/>
        <v>2.8090909090909091</v>
      </c>
      <c r="I275">
        <f t="shared" si="47"/>
        <v>0.49090909090909085</v>
      </c>
      <c r="J275">
        <f t="shared" si="47"/>
        <v>15.636363636363637</v>
      </c>
      <c r="K275">
        <f t="shared" si="47"/>
        <v>51.336363636363643</v>
      </c>
      <c r="L275">
        <f t="shared" si="47"/>
        <v>1912.0909090909095</v>
      </c>
      <c r="M275">
        <f t="shared" si="47"/>
        <v>423.36363636363637</v>
      </c>
      <c r="N275">
        <f t="shared" si="47"/>
        <v>401.90909090909093</v>
      </c>
      <c r="O275">
        <f t="shared" si="47"/>
        <v>543</v>
      </c>
      <c r="P275">
        <f t="shared" si="47"/>
        <v>139.25</v>
      </c>
      <c r="Q275">
        <f t="shared" si="47"/>
        <v>359.54545454545456</v>
      </c>
      <c r="R275">
        <f t="shared" si="47"/>
        <v>517.90909090909088</v>
      </c>
      <c r="S275">
        <f t="shared" si="47"/>
        <v>158.36363636363637</v>
      </c>
      <c r="T275">
        <f t="shared" si="47"/>
        <v>240.51818181818183</v>
      </c>
      <c r="U275">
        <f t="shared" si="47"/>
        <v>395.18181818181819</v>
      </c>
      <c r="V275">
        <f t="shared" si="47"/>
        <v>394</v>
      </c>
    </row>
    <row r="276" spans="1:24" hidden="1" outlineLevel="2" x14ac:dyDescent="0.25">
      <c r="A276" t="str">
        <f t="shared" ref="A276:A286" si="48">CONCATENATE(B276," - ",E276)</f>
        <v>AK10 - 2011</v>
      </c>
      <c r="B276" t="s">
        <v>39</v>
      </c>
      <c r="C276">
        <v>1</v>
      </c>
      <c r="D276">
        <v>26</v>
      </c>
      <c r="E276">
        <v>2011</v>
      </c>
      <c r="F276">
        <v>230.1</v>
      </c>
      <c r="G276">
        <v>0.9</v>
      </c>
      <c r="H276">
        <v>0.6</v>
      </c>
      <c r="I276">
        <v>0.3</v>
      </c>
      <c r="J276">
        <v>33</v>
      </c>
      <c r="K276">
        <v>13</v>
      </c>
      <c r="L276">
        <v>1663.3</v>
      </c>
      <c r="M276">
        <v>427</v>
      </c>
      <c r="N276">
        <v>386</v>
      </c>
      <c r="O276">
        <v>510</v>
      </c>
      <c r="P276">
        <v>124</v>
      </c>
      <c r="Q276">
        <v>368</v>
      </c>
      <c r="R276">
        <v>510</v>
      </c>
      <c r="S276">
        <v>142</v>
      </c>
      <c r="T276">
        <v>215.7</v>
      </c>
      <c r="U276">
        <v>428</v>
      </c>
      <c r="V276">
        <v>418</v>
      </c>
      <c r="W276">
        <v>500</v>
      </c>
      <c r="X276">
        <v>2.79</v>
      </c>
    </row>
    <row r="277" spans="1:24" hidden="1" outlineLevel="2" x14ac:dyDescent="0.25">
      <c r="A277" t="str">
        <f t="shared" si="48"/>
        <v>AK10 - 2011</v>
      </c>
      <c r="B277" t="s">
        <v>39</v>
      </c>
      <c r="C277">
        <v>2</v>
      </c>
      <c r="D277">
        <v>26</v>
      </c>
      <c r="E277">
        <v>2011</v>
      </c>
      <c r="F277">
        <v>259.60000000000002</v>
      </c>
      <c r="G277">
        <v>3</v>
      </c>
      <c r="H277">
        <v>2.7</v>
      </c>
      <c r="I277">
        <v>0.3</v>
      </c>
      <c r="J277">
        <v>10</v>
      </c>
      <c r="K277">
        <v>48.7</v>
      </c>
      <c r="L277">
        <v>2117.1999999999998</v>
      </c>
      <c r="M277">
        <v>419</v>
      </c>
      <c r="N277">
        <v>403</v>
      </c>
      <c r="O277">
        <v>557</v>
      </c>
      <c r="P277">
        <v>154</v>
      </c>
      <c r="Q277">
        <v>339</v>
      </c>
      <c r="R277">
        <v>557</v>
      </c>
      <c r="S277">
        <v>218</v>
      </c>
      <c r="T277">
        <v>237</v>
      </c>
      <c r="U277">
        <v>407</v>
      </c>
      <c r="V277">
        <v>410</v>
      </c>
      <c r="W277">
        <v>500</v>
      </c>
      <c r="X277">
        <v>2.79</v>
      </c>
    </row>
    <row r="278" spans="1:24" hidden="1" outlineLevel="2" x14ac:dyDescent="0.25">
      <c r="A278" t="str">
        <f t="shared" si="48"/>
        <v>AK10 - 2011</v>
      </c>
      <c r="B278" t="s">
        <v>39</v>
      </c>
      <c r="C278">
        <v>3</v>
      </c>
      <c r="D278">
        <v>26</v>
      </c>
      <c r="E278">
        <v>2011</v>
      </c>
      <c r="F278">
        <v>249.5</v>
      </c>
      <c r="G278">
        <v>2.1</v>
      </c>
      <c r="H278">
        <v>1.5</v>
      </c>
      <c r="I278">
        <v>0.6</v>
      </c>
      <c r="J278">
        <v>28</v>
      </c>
      <c r="K278">
        <v>32.799999999999997</v>
      </c>
      <c r="L278">
        <v>1955.6</v>
      </c>
      <c r="M278">
        <v>462</v>
      </c>
      <c r="N278">
        <v>428</v>
      </c>
      <c r="O278">
        <v>545</v>
      </c>
      <c r="P278">
        <v>117</v>
      </c>
      <c r="Q278">
        <v>384</v>
      </c>
      <c r="R278">
        <v>578</v>
      </c>
      <c r="S278">
        <v>194</v>
      </c>
      <c r="T278">
        <v>245.7</v>
      </c>
      <c r="U278">
        <v>415</v>
      </c>
      <c r="V278">
        <v>411</v>
      </c>
      <c r="W278">
        <v>500</v>
      </c>
      <c r="X278">
        <v>2.79</v>
      </c>
    </row>
    <row r="279" spans="1:24" hidden="1" outlineLevel="2" x14ac:dyDescent="0.25">
      <c r="A279" t="str">
        <f t="shared" si="48"/>
        <v>AK10 - 2011</v>
      </c>
      <c r="B279" t="s">
        <v>39</v>
      </c>
      <c r="C279">
        <v>4</v>
      </c>
      <c r="D279">
        <v>25</v>
      </c>
      <c r="E279">
        <v>2011</v>
      </c>
      <c r="F279">
        <v>173.1</v>
      </c>
      <c r="G279">
        <v>1.2</v>
      </c>
      <c r="H279">
        <v>1.2</v>
      </c>
      <c r="I279">
        <v>0</v>
      </c>
      <c r="J279">
        <v>0</v>
      </c>
      <c r="K279">
        <v>13</v>
      </c>
      <c r="L279">
        <v>941.3</v>
      </c>
      <c r="M279">
        <v>380</v>
      </c>
      <c r="N279">
        <v>380</v>
      </c>
      <c r="Q279">
        <v>355</v>
      </c>
      <c r="R279">
        <v>412</v>
      </c>
      <c r="S279">
        <v>57</v>
      </c>
      <c r="T279">
        <v>174</v>
      </c>
      <c r="U279">
        <v>381</v>
      </c>
      <c r="V279">
        <v>390</v>
      </c>
      <c r="W279">
        <v>500</v>
      </c>
      <c r="X279">
        <v>2.79</v>
      </c>
    </row>
    <row r="280" spans="1:24" hidden="1" outlineLevel="2" x14ac:dyDescent="0.25">
      <c r="A280" t="str">
        <f t="shared" si="48"/>
        <v>AK10 - 2011</v>
      </c>
      <c r="B280" t="s">
        <v>39</v>
      </c>
      <c r="C280">
        <v>5</v>
      </c>
      <c r="D280">
        <v>26</v>
      </c>
      <c r="E280">
        <v>2011</v>
      </c>
      <c r="F280">
        <v>261.7</v>
      </c>
      <c r="G280">
        <v>1.2</v>
      </c>
      <c r="H280">
        <v>0.9</v>
      </c>
      <c r="I280">
        <v>0.3</v>
      </c>
      <c r="J280">
        <v>24</v>
      </c>
      <c r="K280">
        <v>19.7</v>
      </c>
      <c r="L280">
        <v>2151.6</v>
      </c>
      <c r="M280">
        <v>480</v>
      </c>
      <c r="N280">
        <v>458</v>
      </c>
      <c r="O280">
        <v>546</v>
      </c>
      <c r="P280">
        <v>88</v>
      </c>
      <c r="Q280">
        <v>441</v>
      </c>
      <c r="R280">
        <v>546</v>
      </c>
      <c r="S280">
        <v>105</v>
      </c>
      <c r="T280">
        <v>256.2</v>
      </c>
      <c r="U280">
        <v>421</v>
      </c>
      <c r="V280">
        <v>409</v>
      </c>
      <c r="W280">
        <v>500</v>
      </c>
      <c r="X280">
        <v>2.79</v>
      </c>
    </row>
    <row r="281" spans="1:24" hidden="1" outlineLevel="2" x14ac:dyDescent="0.25">
      <c r="A281" t="str">
        <f t="shared" si="48"/>
        <v>AK10 - 2011</v>
      </c>
      <c r="B281" t="s">
        <v>39</v>
      </c>
      <c r="C281">
        <v>6</v>
      </c>
      <c r="D281">
        <v>26</v>
      </c>
      <c r="E281">
        <v>2011</v>
      </c>
      <c r="F281">
        <v>276</v>
      </c>
      <c r="G281">
        <v>4.5</v>
      </c>
      <c r="H281">
        <v>3.6</v>
      </c>
      <c r="I281">
        <v>0.9</v>
      </c>
      <c r="J281">
        <v>20</v>
      </c>
      <c r="K281">
        <v>77.400000000000006</v>
      </c>
      <c r="L281">
        <v>2393.1</v>
      </c>
      <c r="M281">
        <v>439</v>
      </c>
      <c r="N281">
        <v>410</v>
      </c>
      <c r="O281">
        <v>556</v>
      </c>
      <c r="P281">
        <v>146</v>
      </c>
      <c r="Q281">
        <v>353</v>
      </c>
      <c r="R281">
        <v>586</v>
      </c>
      <c r="S281">
        <v>233</v>
      </c>
      <c r="T281">
        <v>272.7</v>
      </c>
      <c r="U281">
        <v>388</v>
      </c>
      <c r="V281">
        <v>387</v>
      </c>
      <c r="W281">
        <v>500</v>
      </c>
      <c r="X281">
        <v>2.79</v>
      </c>
    </row>
    <row r="282" spans="1:24" hidden="1" outlineLevel="2" x14ac:dyDescent="0.25">
      <c r="A282" t="str">
        <f t="shared" si="48"/>
        <v>AK10 - 2011</v>
      </c>
      <c r="B282" t="s">
        <v>39</v>
      </c>
      <c r="C282">
        <v>7</v>
      </c>
      <c r="D282">
        <v>26</v>
      </c>
      <c r="E282">
        <v>2011</v>
      </c>
      <c r="F282">
        <v>292.10000000000002</v>
      </c>
      <c r="G282">
        <v>2.7</v>
      </c>
      <c r="H282">
        <v>2.7</v>
      </c>
      <c r="I282">
        <v>0</v>
      </c>
      <c r="J282">
        <v>0</v>
      </c>
      <c r="K282">
        <v>49.3</v>
      </c>
      <c r="L282">
        <v>2680.5</v>
      </c>
      <c r="M282">
        <v>373</v>
      </c>
      <c r="N282">
        <v>373</v>
      </c>
      <c r="Q282">
        <v>351</v>
      </c>
      <c r="R282">
        <v>416</v>
      </c>
      <c r="S282">
        <v>65</v>
      </c>
      <c r="T282">
        <v>289.2</v>
      </c>
      <c r="U282">
        <v>379</v>
      </c>
      <c r="V282">
        <v>380</v>
      </c>
      <c r="W282">
        <v>500</v>
      </c>
      <c r="X282">
        <v>2.79</v>
      </c>
    </row>
    <row r="283" spans="1:24" hidden="1" outlineLevel="2" x14ac:dyDescent="0.25">
      <c r="A283" t="str">
        <f t="shared" si="48"/>
        <v>AK10 - 2011</v>
      </c>
      <c r="B283" t="s">
        <v>39</v>
      </c>
      <c r="C283">
        <v>8</v>
      </c>
      <c r="D283">
        <v>26</v>
      </c>
      <c r="E283">
        <v>2011</v>
      </c>
      <c r="F283">
        <v>244</v>
      </c>
      <c r="G283">
        <v>0.6</v>
      </c>
      <c r="H283">
        <v>0.6</v>
      </c>
      <c r="I283">
        <v>0</v>
      </c>
      <c r="J283">
        <v>0</v>
      </c>
      <c r="K283">
        <v>9.1999999999999993</v>
      </c>
      <c r="L283">
        <v>1870.4</v>
      </c>
      <c r="M283">
        <v>401</v>
      </c>
      <c r="N283">
        <v>401</v>
      </c>
      <c r="Q283">
        <v>376</v>
      </c>
      <c r="R283">
        <v>427</v>
      </c>
      <c r="S283">
        <v>51</v>
      </c>
      <c r="T283">
        <v>228.9</v>
      </c>
      <c r="U283">
        <v>379</v>
      </c>
      <c r="V283">
        <v>377</v>
      </c>
      <c r="W283">
        <v>500</v>
      </c>
      <c r="X283">
        <v>2.79</v>
      </c>
    </row>
    <row r="284" spans="1:24" hidden="1" outlineLevel="2" x14ac:dyDescent="0.25">
      <c r="A284" t="str">
        <f t="shared" si="48"/>
        <v>AK10 - 2011</v>
      </c>
      <c r="B284" t="s">
        <v>39</v>
      </c>
      <c r="C284">
        <v>9</v>
      </c>
      <c r="D284">
        <v>25</v>
      </c>
      <c r="E284">
        <v>2011</v>
      </c>
      <c r="F284">
        <v>277.7</v>
      </c>
      <c r="G284">
        <v>6.3</v>
      </c>
      <c r="H284">
        <v>5.4</v>
      </c>
      <c r="I284">
        <v>0.9</v>
      </c>
      <c r="J284">
        <v>14</v>
      </c>
      <c r="K284">
        <v>108.7</v>
      </c>
      <c r="L284">
        <v>2422.6999999999998</v>
      </c>
      <c r="M284">
        <v>408</v>
      </c>
      <c r="N284">
        <v>389</v>
      </c>
      <c r="O284">
        <v>520</v>
      </c>
      <c r="P284">
        <v>131</v>
      </c>
      <c r="Q284">
        <v>322</v>
      </c>
      <c r="R284">
        <v>538</v>
      </c>
      <c r="S284">
        <v>216</v>
      </c>
      <c r="T284">
        <v>273.3</v>
      </c>
      <c r="U284">
        <v>377</v>
      </c>
      <c r="V284">
        <v>375</v>
      </c>
      <c r="W284">
        <v>500</v>
      </c>
      <c r="X284">
        <v>2.79</v>
      </c>
    </row>
    <row r="285" spans="1:24" hidden="1" outlineLevel="2" x14ac:dyDescent="0.25">
      <c r="A285" t="str">
        <f t="shared" si="48"/>
        <v>AK10 - 2011</v>
      </c>
      <c r="B285" t="s">
        <v>39</v>
      </c>
      <c r="C285">
        <v>10</v>
      </c>
      <c r="D285">
        <v>26</v>
      </c>
      <c r="E285">
        <v>2011</v>
      </c>
      <c r="F285">
        <v>206.3</v>
      </c>
      <c r="G285">
        <v>3</v>
      </c>
      <c r="H285">
        <v>2.7</v>
      </c>
      <c r="I285">
        <v>0.3</v>
      </c>
      <c r="J285">
        <v>10</v>
      </c>
      <c r="K285">
        <v>38.6</v>
      </c>
      <c r="L285">
        <v>1337.1</v>
      </c>
      <c r="M285">
        <v>422</v>
      </c>
      <c r="N285">
        <v>409</v>
      </c>
      <c r="O285">
        <v>537</v>
      </c>
      <c r="P285">
        <v>128</v>
      </c>
      <c r="Q285">
        <v>353</v>
      </c>
      <c r="R285">
        <v>537</v>
      </c>
      <c r="S285">
        <v>184</v>
      </c>
      <c r="T285">
        <v>203.4</v>
      </c>
      <c r="U285">
        <v>405</v>
      </c>
      <c r="V285">
        <v>408</v>
      </c>
      <c r="W285">
        <v>500</v>
      </c>
      <c r="X285">
        <v>2.79</v>
      </c>
    </row>
    <row r="286" spans="1:24" hidden="1" outlineLevel="2" x14ac:dyDescent="0.25">
      <c r="A286" t="str">
        <f t="shared" si="48"/>
        <v>AK10 - 2011</v>
      </c>
      <c r="B286" t="s">
        <v>39</v>
      </c>
      <c r="C286">
        <v>11</v>
      </c>
      <c r="D286">
        <v>26</v>
      </c>
      <c r="E286">
        <v>2011</v>
      </c>
      <c r="F286">
        <v>254.7</v>
      </c>
      <c r="G286">
        <v>8.1</v>
      </c>
      <c r="H286">
        <v>7.2</v>
      </c>
      <c r="I286">
        <v>0.9</v>
      </c>
      <c r="J286">
        <v>11</v>
      </c>
      <c r="K286">
        <v>127.6</v>
      </c>
      <c r="L286">
        <v>2038</v>
      </c>
      <c r="M286">
        <v>399</v>
      </c>
      <c r="N286">
        <v>384</v>
      </c>
      <c r="O286">
        <v>517</v>
      </c>
      <c r="P286">
        <v>133</v>
      </c>
      <c r="Q286">
        <v>330</v>
      </c>
      <c r="R286">
        <v>524</v>
      </c>
      <c r="S286">
        <v>194</v>
      </c>
      <c r="T286">
        <v>249.6</v>
      </c>
      <c r="U286">
        <v>367</v>
      </c>
      <c r="V286">
        <v>369</v>
      </c>
      <c r="W286">
        <v>500</v>
      </c>
      <c r="X286">
        <v>2.79</v>
      </c>
    </row>
    <row r="287" spans="1:24" outlineLevel="1" collapsed="1" x14ac:dyDescent="0.25">
      <c r="A287" s="8" t="s">
        <v>193</v>
      </c>
      <c r="D287">
        <f t="shared" ref="D287:V287" si="49">SUBTOTAL(1,D276:D286)</f>
        <v>25.818181818181817</v>
      </c>
      <c r="E287">
        <f t="shared" si="49"/>
        <v>2011</v>
      </c>
      <c r="F287">
        <f t="shared" si="49"/>
        <v>247.70909090909089</v>
      </c>
      <c r="G287">
        <f t="shared" si="49"/>
        <v>3.0545454545454547</v>
      </c>
      <c r="H287">
        <f t="shared" si="49"/>
        <v>2.6454545454545455</v>
      </c>
      <c r="I287">
        <f t="shared" si="49"/>
        <v>0.40909090909090912</v>
      </c>
      <c r="J287">
        <f t="shared" si="49"/>
        <v>13.636363636363637</v>
      </c>
      <c r="K287">
        <f t="shared" si="49"/>
        <v>48.909090909090907</v>
      </c>
      <c r="L287">
        <f t="shared" si="49"/>
        <v>1960.9818181818182</v>
      </c>
      <c r="M287">
        <f t="shared" si="49"/>
        <v>419.09090909090907</v>
      </c>
      <c r="N287">
        <f t="shared" si="49"/>
        <v>401.90909090909093</v>
      </c>
      <c r="O287">
        <f t="shared" si="49"/>
        <v>536</v>
      </c>
      <c r="P287">
        <f t="shared" si="49"/>
        <v>127.625</v>
      </c>
      <c r="Q287">
        <f t="shared" si="49"/>
        <v>361.09090909090907</v>
      </c>
      <c r="R287">
        <f t="shared" si="49"/>
        <v>511.90909090909093</v>
      </c>
      <c r="S287">
        <f t="shared" si="49"/>
        <v>150.81818181818181</v>
      </c>
      <c r="T287">
        <f t="shared" si="49"/>
        <v>240.51818181818183</v>
      </c>
      <c r="U287">
        <f t="shared" si="49"/>
        <v>395.18181818181819</v>
      </c>
      <c r="V287">
        <f t="shared" si="49"/>
        <v>394</v>
      </c>
    </row>
    <row r="288" spans="1:24" hidden="1" outlineLevel="2" x14ac:dyDescent="0.25">
      <c r="A288" t="str">
        <f t="shared" ref="A288:A298" si="50">CONCATENATE(B288," - ",E288)</f>
        <v>AK10 - 2012</v>
      </c>
      <c r="B288" t="s">
        <v>39</v>
      </c>
      <c r="C288">
        <v>1</v>
      </c>
      <c r="D288">
        <v>27</v>
      </c>
      <c r="E288">
        <v>2012</v>
      </c>
      <c r="F288">
        <v>230.7</v>
      </c>
      <c r="G288">
        <v>0.6</v>
      </c>
      <c r="H288">
        <v>0.3</v>
      </c>
      <c r="I288">
        <v>0.3</v>
      </c>
      <c r="J288">
        <v>49</v>
      </c>
      <c r="K288">
        <v>8.6999999999999993</v>
      </c>
      <c r="L288">
        <v>1672</v>
      </c>
      <c r="M288">
        <v>313</v>
      </c>
      <c r="N288">
        <v>117</v>
      </c>
      <c r="O288">
        <v>509</v>
      </c>
      <c r="P288">
        <v>392</v>
      </c>
      <c r="Q288">
        <v>117</v>
      </c>
      <c r="R288">
        <v>509</v>
      </c>
      <c r="S288">
        <v>392</v>
      </c>
      <c r="T288">
        <v>215.7</v>
      </c>
      <c r="U288">
        <v>428</v>
      </c>
      <c r="V288">
        <v>418</v>
      </c>
      <c r="W288">
        <v>500</v>
      </c>
      <c r="X288">
        <v>2.79</v>
      </c>
    </row>
    <row r="289" spans="1:24" hidden="1" outlineLevel="2" x14ac:dyDescent="0.25">
      <c r="A289" t="str">
        <f t="shared" si="50"/>
        <v>AK10 - 2012</v>
      </c>
      <c r="B289" t="s">
        <v>39</v>
      </c>
      <c r="C289">
        <v>2</v>
      </c>
      <c r="D289">
        <v>27</v>
      </c>
      <c r="E289">
        <v>2012</v>
      </c>
      <c r="F289">
        <v>262</v>
      </c>
      <c r="G289">
        <v>2.4</v>
      </c>
      <c r="H289">
        <v>2.4</v>
      </c>
      <c r="I289">
        <v>0</v>
      </c>
      <c r="J289">
        <v>0</v>
      </c>
      <c r="K289">
        <v>39.299999999999997</v>
      </c>
      <c r="L289">
        <v>2156.5</v>
      </c>
      <c r="M289">
        <v>375</v>
      </c>
      <c r="N289">
        <v>375</v>
      </c>
      <c r="Q289">
        <v>318</v>
      </c>
      <c r="R289">
        <v>446</v>
      </c>
      <c r="S289">
        <v>128</v>
      </c>
      <c r="T289">
        <v>237</v>
      </c>
      <c r="U289">
        <v>407</v>
      </c>
      <c r="V289">
        <v>410</v>
      </c>
      <c r="W289">
        <v>500</v>
      </c>
      <c r="X289">
        <v>2.79</v>
      </c>
    </row>
    <row r="290" spans="1:24" hidden="1" outlineLevel="2" x14ac:dyDescent="0.25">
      <c r="A290" t="str">
        <f t="shared" si="50"/>
        <v>AK10 - 2012</v>
      </c>
      <c r="B290" t="s">
        <v>39</v>
      </c>
      <c r="C290">
        <v>3</v>
      </c>
      <c r="D290">
        <v>27</v>
      </c>
      <c r="E290">
        <v>2012</v>
      </c>
      <c r="F290">
        <v>250.7</v>
      </c>
      <c r="G290">
        <v>1.2</v>
      </c>
      <c r="H290">
        <v>0.9</v>
      </c>
      <c r="I290">
        <v>0.3</v>
      </c>
      <c r="J290">
        <v>25</v>
      </c>
      <c r="K290">
        <v>18.899999999999999</v>
      </c>
      <c r="L290">
        <v>1974.5</v>
      </c>
      <c r="M290">
        <v>431</v>
      </c>
      <c r="N290">
        <v>400</v>
      </c>
      <c r="O290">
        <v>526</v>
      </c>
      <c r="P290">
        <v>126</v>
      </c>
      <c r="Q290">
        <v>358</v>
      </c>
      <c r="R290">
        <v>526</v>
      </c>
      <c r="S290">
        <v>168</v>
      </c>
      <c r="T290">
        <v>245.7</v>
      </c>
      <c r="U290">
        <v>415</v>
      </c>
      <c r="V290">
        <v>411</v>
      </c>
      <c r="W290">
        <v>500</v>
      </c>
      <c r="X290">
        <v>2.79</v>
      </c>
    </row>
    <row r="291" spans="1:24" hidden="1" outlineLevel="2" x14ac:dyDescent="0.25">
      <c r="A291" t="str">
        <f t="shared" si="50"/>
        <v>AK10 - 2012</v>
      </c>
      <c r="B291" t="s">
        <v>39</v>
      </c>
      <c r="C291">
        <v>4</v>
      </c>
      <c r="D291">
        <v>26</v>
      </c>
      <c r="E291">
        <v>2012</v>
      </c>
      <c r="F291">
        <v>174</v>
      </c>
      <c r="G291">
        <v>0.9</v>
      </c>
      <c r="H291">
        <v>0.9</v>
      </c>
      <c r="I291">
        <v>0</v>
      </c>
      <c r="J291">
        <v>0</v>
      </c>
      <c r="K291">
        <v>9.8000000000000007</v>
      </c>
      <c r="L291">
        <v>951.1</v>
      </c>
      <c r="M291">
        <v>309</v>
      </c>
      <c r="N291">
        <v>309</v>
      </c>
      <c r="Q291">
        <v>214</v>
      </c>
      <c r="R291">
        <v>370</v>
      </c>
      <c r="S291">
        <v>156</v>
      </c>
      <c r="T291">
        <v>174</v>
      </c>
      <c r="U291">
        <v>381</v>
      </c>
      <c r="V291">
        <v>390</v>
      </c>
      <c r="W291">
        <v>500</v>
      </c>
      <c r="X291">
        <v>2.79</v>
      </c>
    </row>
    <row r="292" spans="1:24" hidden="1" outlineLevel="2" x14ac:dyDescent="0.25">
      <c r="A292" t="str">
        <f t="shared" si="50"/>
        <v>AK10 - 2012</v>
      </c>
      <c r="B292" t="s">
        <v>39</v>
      </c>
      <c r="C292">
        <v>5</v>
      </c>
      <c r="D292">
        <v>27</v>
      </c>
      <c r="E292">
        <v>2012</v>
      </c>
      <c r="F292">
        <v>263.2</v>
      </c>
      <c r="G292">
        <v>1.5</v>
      </c>
      <c r="H292">
        <v>0.9</v>
      </c>
      <c r="I292">
        <v>0.6</v>
      </c>
      <c r="J292">
        <v>40</v>
      </c>
      <c r="K292">
        <v>24.7</v>
      </c>
      <c r="L292">
        <v>2176.3000000000002</v>
      </c>
      <c r="M292">
        <v>480</v>
      </c>
      <c r="N292">
        <v>456</v>
      </c>
      <c r="O292">
        <v>517</v>
      </c>
      <c r="P292">
        <v>61</v>
      </c>
      <c r="Q292">
        <v>417</v>
      </c>
      <c r="R292">
        <v>534</v>
      </c>
      <c r="S292">
        <v>117</v>
      </c>
      <c r="T292">
        <v>256.2</v>
      </c>
      <c r="U292">
        <v>421</v>
      </c>
      <c r="V292">
        <v>409</v>
      </c>
      <c r="W292">
        <v>500</v>
      </c>
      <c r="X292">
        <v>2.79</v>
      </c>
    </row>
    <row r="293" spans="1:24" hidden="1" outlineLevel="2" x14ac:dyDescent="0.25">
      <c r="A293" t="str">
        <f t="shared" si="50"/>
        <v>AK10 - 2012</v>
      </c>
      <c r="B293" t="s">
        <v>39</v>
      </c>
      <c r="C293">
        <v>6</v>
      </c>
      <c r="D293">
        <v>27</v>
      </c>
      <c r="E293">
        <v>2012</v>
      </c>
      <c r="F293">
        <v>278.7</v>
      </c>
      <c r="G293">
        <v>2.7</v>
      </c>
      <c r="H293">
        <v>2.4</v>
      </c>
      <c r="I293">
        <v>0.3</v>
      </c>
      <c r="J293">
        <v>11</v>
      </c>
      <c r="K293">
        <v>47.1</v>
      </c>
      <c r="L293">
        <v>2440.1999999999998</v>
      </c>
      <c r="M293">
        <v>413</v>
      </c>
      <c r="N293">
        <v>396</v>
      </c>
      <c r="O293">
        <v>544</v>
      </c>
      <c r="P293">
        <v>148</v>
      </c>
      <c r="Q293">
        <v>352</v>
      </c>
      <c r="R293">
        <v>544</v>
      </c>
      <c r="S293">
        <v>192</v>
      </c>
      <c r="T293">
        <v>272.7</v>
      </c>
      <c r="U293">
        <v>388</v>
      </c>
      <c r="V293">
        <v>387</v>
      </c>
      <c r="W293">
        <v>500</v>
      </c>
      <c r="X293">
        <v>2.79</v>
      </c>
    </row>
    <row r="294" spans="1:24" hidden="1" outlineLevel="2" x14ac:dyDescent="0.25">
      <c r="A294" t="str">
        <f t="shared" si="50"/>
        <v>AK10 - 2012</v>
      </c>
      <c r="B294" t="s">
        <v>39</v>
      </c>
      <c r="C294">
        <v>7</v>
      </c>
      <c r="D294">
        <v>27</v>
      </c>
      <c r="E294">
        <v>2012</v>
      </c>
      <c r="F294">
        <v>294.2</v>
      </c>
      <c r="G294">
        <v>2.1</v>
      </c>
      <c r="H294">
        <v>2.1</v>
      </c>
      <c r="I294">
        <v>0</v>
      </c>
      <c r="J294">
        <v>0</v>
      </c>
      <c r="K294">
        <v>38.700000000000003</v>
      </c>
      <c r="L294">
        <v>2719.2</v>
      </c>
      <c r="M294">
        <v>410</v>
      </c>
      <c r="N294">
        <v>410</v>
      </c>
      <c r="Q294">
        <v>377</v>
      </c>
      <c r="R294">
        <v>434</v>
      </c>
      <c r="S294">
        <v>57</v>
      </c>
      <c r="T294">
        <v>289.2</v>
      </c>
      <c r="U294">
        <v>379</v>
      </c>
      <c r="V294">
        <v>380</v>
      </c>
      <c r="W294">
        <v>500</v>
      </c>
      <c r="X294">
        <v>2.79</v>
      </c>
    </row>
    <row r="295" spans="1:24" hidden="1" outlineLevel="2" x14ac:dyDescent="0.25">
      <c r="A295" t="str">
        <f t="shared" si="50"/>
        <v>AK10 - 2012</v>
      </c>
      <c r="B295" t="s">
        <v>39</v>
      </c>
      <c r="C295">
        <v>8</v>
      </c>
      <c r="D295">
        <v>27</v>
      </c>
      <c r="E295">
        <v>2012</v>
      </c>
      <c r="F295">
        <v>244.9</v>
      </c>
      <c r="G295">
        <v>0.9</v>
      </c>
      <c r="H295">
        <v>0.9</v>
      </c>
      <c r="I295">
        <v>0</v>
      </c>
      <c r="J295">
        <v>0</v>
      </c>
      <c r="K295">
        <v>13.8</v>
      </c>
      <c r="L295">
        <v>1884.2</v>
      </c>
      <c r="M295">
        <v>386</v>
      </c>
      <c r="N295">
        <v>386</v>
      </c>
      <c r="Q295">
        <v>267</v>
      </c>
      <c r="R295">
        <v>470</v>
      </c>
      <c r="S295">
        <v>203</v>
      </c>
      <c r="T295">
        <v>228.9</v>
      </c>
      <c r="U295">
        <v>379</v>
      </c>
      <c r="V295">
        <v>377</v>
      </c>
      <c r="W295">
        <v>500</v>
      </c>
      <c r="X295">
        <v>2.79</v>
      </c>
    </row>
    <row r="296" spans="1:24" hidden="1" outlineLevel="2" x14ac:dyDescent="0.25">
      <c r="A296" t="str">
        <f t="shared" si="50"/>
        <v>AK10 - 2012</v>
      </c>
      <c r="B296" t="s">
        <v>39</v>
      </c>
      <c r="C296">
        <v>9</v>
      </c>
      <c r="D296">
        <v>26</v>
      </c>
      <c r="E296">
        <v>2012</v>
      </c>
      <c r="F296">
        <v>281.3</v>
      </c>
      <c r="G296">
        <v>3.6</v>
      </c>
      <c r="H296">
        <v>3.6</v>
      </c>
      <c r="I296">
        <v>0</v>
      </c>
      <c r="J296">
        <v>0</v>
      </c>
      <c r="K296">
        <v>63.2</v>
      </c>
      <c r="L296">
        <v>2485.9</v>
      </c>
      <c r="M296">
        <v>405</v>
      </c>
      <c r="N296">
        <v>405</v>
      </c>
      <c r="Q296">
        <v>335</v>
      </c>
      <c r="R296">
        <v>468</v>
      </c>
      <c r="S296">
        <v>133</v>
      </c>
      <c r="T296">
        <v>273.3</v>
      </c>
      <c r="U296">
        <v>377</v>
      </c>
      <c r="V296">
        <v>375</v>
      </c>
      <c r="W296">
        <v>500</v>
      </c>
      <c r="X296">
        <v>2.79</v>
      </c>
    </row>
    <row r="297" spans="1:24" hidden="1" outlineLevel="2" x14ac:dyDescent="0.25">
      <c r="A297" t="str">
        <f t="shared" si="50"/>
        <v>AK10 - 2012</v>
      </c>
      <c r="B297" t="s">
        <v>39</v>
      </c>
      <c r="C297">
        <v>10</v>
      </c>
      <c r="D297">
        <v>27</v>
      </c>
      <c r="E297">
        <v>2012</v>
      </c>
      <c r="F297">
        <v>208.4</v>
      </c>
      <c r="G297">
        <v>2.1</v>
      </c>
      <c r="H297">
        <v>1.8</v>
      </c>
      <c r="I297">
        <v>0.3</v>
      </c>
      <c r="J297">
        <v>14</v>
      </c>
      <c r="K297">
        <v>27.4</v>
      </c>
      <c r="L297">
        <v>1364.4</v>
      </c>
      <c r="M297">
        <v>423</v>
      </c>
      <c r="N297">
        <v>406</v>
      </c>
      <c r="O297">
        <v>523</v>
      </c>
      <c r="P297">
        <v>117</v>
      </c>
      <c r="Q297">
        <v>335</v>
      </c>
      <c r="R297">
        <v>523</v>
      </c>
      <c r="S297">
        <v>188</v>
      </c>
      <c r="T297">
        <v>203.4</v>
      </c>
      <c r="U297">
        <v>405</v>
      </c>
      <c r="V297">
        <v>408</v>
      </c>
      <c r="W297">
        <v>500</v>
      </c>
      <c r="X297">
        <v>2.79</v>
      </c>
    </row>
    <row r="298" spans="1:24" hidden="1" outlineLevel="2" x14ac:dyDescent="0.25">
      <c r="A298" t="str">
        <f t="shared" si="50"/>
        <v>AK10 - 2012</v>
      </c>
      <c r="B298" t="s">
        <v>39</v>
      </c>
      <c r="C298">
        <v>11</v>
      </c>
      <c r="D298">
        <v>27</v>
      </c>
      <c r="E298">
        <v>2012</v>
      </c>
      <c r="F298">
        <v>261.60000000000002</v>
      </c>
      <c r="G298">
        <v>6.9</v>
      </c>
      <c r="H298">
        <v>6.3</v>
      </c>
      <c r="I298">
        <v>0.6</v>
      </c>
      <c r="J298">
        <v>8</v>
      </c>
      <c r="K298">
        <v>111.9</v>
      </c>
      <c r="L298">
        <v>2149.9</v>
      </c>
      <c r="M298">
        <v>400</v>
      </c>
      <c r="N298">
        <v>388</v>
      </c>
      <c r="O298">
        <v>521</v>
      </c>
      <c r="P298">
        <v>133</v>
      </c>
      <c r="Q298">
        <v>346</v>
      </c>
      <c r="R298">
        <v>540</v>
      </c>
      <c r="S298">
        <v>194</v>
      </c>
      <c r="T298">
        <v>249.6</v>
      </c>
      <c r="U298">
        <v>367</v>
      </c>
      <c r="V298">
        <v>369</v>
      </c>
      <c r="W298">
        <v>500</v>
      </c>
      <c r="X298">
        <v>2.79</v>
      </c>
    </row>
    <row r="299" spans="1:24" outlineLevel="1" collapsed="1" x14ac:dyDescent="0.25">
      <c r="A299" s="8" t="s">
        <v>194</v>
      </c>
      <c r="D299">
        <f t="shared" ref="D299:V299" si="51">SUBTOTAL(1,D288:D298)</f>
        <v>26.818181818181817</v>
      </c>
      <c r="E299">
        <f t="shared" si="51"/>
        <v>2012</v>
      </c>
      <c r="F299">
        <f t="shared" si="51"/>
        <v>249.9727272727273</v>
      </c>
      <c r="G299">
        <f t="shared" si="51"/>
        <v>2.2636363636363637</v>
      </c>
      <c r="H299">
        <f t="shared" si="51"/>
        <v>2.0454545454545454</v>
      </c>
      <c r="I299">
        <f t="shared" si="51"/>
        <v>0.21818181818181817</v>
      </c>
      <c r="J299">
        <f t="shared" si="51"/>
        <v>13.363636363636363</v>
      </c>
      <c r="K299">
        <f t="shared" si="51"/>
        <v>36.68181818181818</v>
      </c>
      <c r="L299">
        <f t="shared" si="51"/>
        <v>1997.6545454545462</v>
      </c>
      <c r="M299">
        <f t="shared" si="51"/>
        <v>395</v>
      </c>
      <c r="N299">
        <f t="shared" si="51"/>
        <v>368</v>
      </c>
      <c r="O299">
        <f t="shared" si="51"/>
        <v>523.33333333333337</v>
      </c>
      <c r="P299">
        <f t="shared" si="51"/>
        <v>162.83333333333334</v>
      </c>
      <c r="Q299">
        <f t="shared" si="51"/>
        <v>312.36363636363637</v>
      </c>
      <c r="R299">
        <f t="shared" si="51"/>
        <v>487.63636363636363</v>
      </c>
      <c r="S299">
        <f t="shared" si="51"/>
        <v>175.27272727272728</v>
      </c>
      <c r="T299">
        <f t="shared" si="51"/>
        <v>240.51818181818183</v>
      </c>
      <c r="U299">
        <f t="shared" si="51"/>
        <v>395.18181818181819</v>
      </c>
      <c r="V299">
        <f t="shared" si="51"/>
        <v>394</v>
      </c>
    </row>
    <row r="300" spans="1:24" hidden="1" outlineLevel="2" x14ac:dyDescent="0.25">
      <c r="A300" t="str">
        <f>CONCATENATE(B300," - ",E300)</f>
        <v>AK6 - 1985</v>
      </c>
      <c r="B300" t="s">
        <v>33</v>
      </c>
      <c r="C300">
        <v>8</v>
      </c>
      <c r="D300">
        <v>1</v>
      </c>
      <c r="E300">
        <v>1985</v>
      </c>
      <c r="F300">
        <v>2.4</v>
      </c>
      <c r="G300">
        <v>2.4</v>
      </c>
      <c r="H300">
        <v>2.4</v>
      </c>
      <c r="I300">
        <v>0</v>
      </c>
      <c r="J300">
        <v>0</v>
      </c>
      <c r="K300">
        <v>0.2</v>
      </c>
      <c r="L300">
        <v>0.2</v>
      </c>
      <c r="M300">
        <v>412</v>
      </c>
      <c r="N300">
        <v>412</v>
      </c>
      <c r="Q300">
        <v>349</v>
      </c>
      <c r="R300">
        <v>440</v>
      </c>
      <c r="S300">
        <v>91</v>
      </c>
      <c r="T300">
        <v>222.3</v>
      </c>
      <c r="U300">
        <v>354</v>
      </c>
      <c r="V300">
        <v>355</v>
      </c>
      <c r="W300">
        <v>500</v>
      </c>
      <c r="X300">
        <v>2.79</v>
      </c>
    </row>
    <row r="301" spans="1:24" hidden="1" outlineLevel="2" x14ac:dyDescent="0.25">
      <c r="A301" t="str">
        <f>CONCATENATE(B301," - ",E301)</f>
        <v>AK6 - 1985</v>
      </c>
      <c r="B301" t="s">
        <v>33</v>
      </c>
      <c r="C301">
        <v>10</v>
      </c>
      <c r="D301">
        <v>1</v>
      </c>
      <c r="E301">
        <v>1985</v>
      </c>
      <c r="F301">
        <v>4.2</v>
      </c>
      <c r="G301">
        <v>4.2</v>
      </c>
      <c r="H301">
        <v>4.2</v>
      </c>
      <c r="I301">
        <v>0</v>
      </c>
      <c r="J301">
        <v>0</v>
      </c>
      <c r="K301">
        <v>0.6</v>
      </c>
      <c r="L301">
        <v>0.6</v>
      </c>
      <c r="M301">
        <v>343</v>
      </c>
      <c r="N301">
        <v>343</v>
      </c>
      <c r="Q301">
        <v>265</v>
      </c>
      <c r="R301">
        <v>444</v>
      </c>
      <c r="S301">
        <v>179</v>
      </c>
      <c r="T301">
        <v>188.1</v>
      </c>
      <c r="U301">
        <v>437</v>
      </c>
      <c r="V301">
        <v>439</v>
      </c>
      <c r="W301">
        <v>500</v>
      </c>
      <c r="X301">
        <v>2.79</v>
      </c>
    </row>
    <row r="302" spans="1:24" outlineLevel="1" collapsed="1" x14ac:dyDescent="0.25">
      <c r="A302" s="8" t="s">
        <v>61</v>
      </c>
      <c r="D302">
        <f t="shared" ref="D302:V302" si="52">SUBTOTAL(1,D300:D301)</f>
        <v>1</v>
      </c>
      <c r="E302">
        <f t="shared" si="52"/>
        <v>1985</v>
      </c>
      <c r="F302">
        <f t="shared" si="52"/>
        <v>3.3</v>
      </c>
      <c r="G302">
        <f t="shared" si="52"/>
        <v>3.3</v>
      </c>
      <c r="H302">
        <f t="shared" si="52"/>
        <v>3.3</v>
      </c>
      <c r="I302">
        <f t="shared" si="52"/>
        <v>0</v>
      </c>
      <c r="J302">
        <f t="shared" si="52"/>
        <v>0</v>
      </c>
      <c r="K302">
        <f t="shared" si="52"/>
        <v>0.4</v>
      </c>
      <c r="L302">
        <f t="shared" si="52"/>
        <v>0.4</v>
      </c>
      <c r="M302">
        <f t="shared" si="52"/>
        <v>377.5</v>
      </c>
      <c r="N302">
        <f t="shared" si="52"/>
        <v>377.5</v>
      </c>
      <c r="O302" t="e">
        <f t="shared" si="52"/>
        <v>#DIV/0!</v>
      </c>
      <c r="P302" t="e">
        <f t="shared" si="52"/>
        <v>#DIV/0!</v>
      </c>
      <c r="Q302">
        <f t="shared" si="52"/>
        <v>307</v>
      </c>
      <c r="R302">
        <f t="shared" si="52"/>
        <v>442</v>
      </c>
      <c r="S302">
        <f t="shared" si="52"/>
        <v>135</v>
      </c>
      <c r="T302">
        <f t="shared" si="52"/>
        <v>205.2</v>
      </c>
      <c r="U302">
        <f t="shared" si="52"/>
        <v>395.5</v>
      </c>
      <c r="V302">
        <f t="shared" si="52"/>
        <v>397</v>
      </c>
    </row>
    <row r="303" spans="1:24" hidden="1" outlineLevel="2" x14ac:dyDescent="0.25">
      <c r="A303" t="str">
        <f>CONCATENATE(B303," - ",E303)</f>
        <v>AK6 - 1986</v>
      </c>
      <c r="B303" t="s">
        <v>33</v>
      </c>
      <c r="C303">
        <v>3</v>
      </c>
      <c r="D303">
        <v>2</v>
      </c>
      <c r="E303">
        <v>1986</v>
      </c>
      <c r="F303">
        <v>26.5</v>
      </c>
      <c r="G303">
        <v>26.5</v>
      </c>
      <c r="H303">
        <v>22.5</v>
      </c>
      <c r="I303">
        <v>0</v>
      </c>
      <c r="J303">
        <v>0</v>
      </c>
      <c r="K303">
        <v>22.1</v>
      </c>
      <c r="L303">
        <v>22.1</v>
      </c>
      <c r="M303">
        <v>332</v>
      </c>
      <c r="N303">
        <v>332</v>
      </c>
      <c r="Q303">
        <v>271</v>
      </c>
      <c r="R303">
        <v>415</v>
      </c>
      <c r="S303">
        <v>144</v>
      </c>
      <c r="T303">
        <v>261.89999999999998</v>
      </c>
      <c r="U303">
        <v>404</v>
      </c>
      <c r="V303">
        <v>407</v>
      </c>
      <c r="W303">
        <v>500</v>
      </c>
      <c r="X303">
        <v>2.79</v>
      </c>
    </row>
    <row r="304" spans="1:24" hidden="1" outlineLevel="2" x14ac:dyDescent="0.25">
      <c r="A304" t="str">
        <f>CONCATENATE(B304," - ",E304)</f>
        <v>AK6 - 1986</v>
      </c>
      <c r="B304" t="s">
        <v>33</v>
      </c>
      <c r="C304">
        <v>6</v>
      </c>
      <c r="D304">
        <v>2</v>
      </c>
      <c r="E304">
        <v>1986</v>
      </c>
      <c r="F304">
        <v>13.4</v>
      </c>
      <c r="G304">
        <v>13.4</v>
      </c>
      <c r="H304">
        <v>5.4</v>
      </c>
      <c r="I304">
        <v>0</v>
      </c>
      <c r="J304">
        <v>0</v>
      </c>
      <c r="K304">
        <v>5.6</v>
      </c>
      <c r="L304">
        <v>5.6</v>
      </c>
      <c r="M304">
        <v>352</v>
      </c>
      <c r="N304">
        <v>352</v>
      </c>
      <c r="Q304">
        <v>284</v>
      </c>
      <c r="R304">
        <v>434</v>
      </c>
      <c r="S304">
        <v>150</v>
      </c>
      <c r="T304">
        <v>282</v>
      </c>
      <c r="U304">
        <v>406</v>
      </c>
      <c r="V304">
        <v>411</v>
      </c>
      <c r="W304">
        <v>500</v>
      </c>
      <c r="X304">
        <v>2.79</v>
      </c>
    </row>
    <row r="305" spans="1:24" hidden="1" outlineLevel="2" x14ac:dyDescent="0.25">
      <c r="A305" t="str">
        <f>CONCATENATE(B305," - ",E305)</f>
        <v>AK6 - 1986</v>
      </c>
      <c r="B305" t="s">
        <v>33</v>
      </c>
      <c r="C305">
        <v>8</v>
      </c>
      <c r="D305">
        <v>2</v>
      </c>
      <c r="E305">
        <v>1986</v>
      </c>
      <c r="F305">
        <v>9.3000000000000007</v>
      </c>
      <c r="G305">
        <v>6.9</v>
      </c>
      <c r="H305">
        <v>6.9</v>
      </c>
      <c r="I305">
        <v>0</v>
      </c>
      <c r="J305">
        <v>0</v>
      </c>
      <c r="K305">
        <v>2.5</v>
      </c>
      <c r="L305">
        <v>2.7</v>
      </c>
      <c r="M305">
        <v>329</v>
      </c>
      <c r="N305">
        <v>329</v>
      </c>
      <c r="Q305">
        <v>273</v>
      </c>
      <c r="R305">
        <v>435</v>
      </c>
      <c r="S305">
        <v>162</v>
      </c>
      <c r="T305">
        <v>222.3</v>
      </c>
      <c r="U305">
        <v>354</v>
      </c>
      <c r="V305">
        <v>355</v>
      </c>
      <c r="W305">
        <v>500</v>
      </c>
      <c r="X305">
        <v>2.79</v>
      </c>
    </row>
    <row r="306" spans="1:24" hidden="1" outlineLevel="2" x14ac:dyDescent="0.25">
      <c r="A306" t="str">
        <f>CONCATENATE(B306," - ",E306)</f>
        <v>AK6 - 1986</v>
      </c>
      <c r="B306" t="s">
        <v>33</v>
      </c>
      <c r="C306">
        <v>10</v>
      </c>
      <c r="D306">
        <v>2</v>
      </c>
      <c r="E306">
        <v>1986</v>
      </c>
      <c r="F306">
        <v>11.1</v>
      </c>
      <c r="G306">
        <v>6.9</v>
      </c>
      <c r="H306">
        <v>6.9</v>
      </c>
      <c r="I306">
        <v>0</v>
      </c>
      <c r="J306">
        <v>0</v>
      </c>
      <c r="K306">
        <v>3.3</v>
      </c>
      <c r="L306">
        <v>3.9</v>
      </c>
      <c r="M306">
        <v>387</v>
      </c>
      <c r="N306">
        <v>387</v>
      </c>
      <c r="Q306">
        <v>337</v>
      </c>
      <c r="R306">
        <v>452</v>
      </c>
      <c r="S306">
        <v>115</v>
      </c>
      <c r="T306">
        <v>188.1</v>
      </c>
      <c r="U306">
        <v>437</v>
      </c>
      <c r="V306">
        <v>439</v>
      </c>
      <c r="W306">
        <v>500</v>
      </c>
      <c r="X306">
        <v>2.79</v>
      </c>
    </row>
    <row r="307" spans="1:24" outlineLevel="1" collapsed="1" x14ac:dyDescent="0.25">
      <c r="A307" s="8" t="s">
        <v>62</v>
      </c>
      <c r="D307">
        <f t="shared" ref="D307:V307" si="53">SUBTOTAL(1,D303:D306)</f>
        <v>2</v>
      </c>
      <c r="E307">
        <f t="shared" si="53"/>
        <v>1986</v>
      </c>
      <c r="F307">
        <f t="shared" si="53"/>
        <v>15.075000000000001</v>
      </c>
      <c r="G307">
        <f t="shared" si="53"/>
        <v>13.424999999999999</v>
      </c>
      <c r="H307">
        <f t="shared" si="53"/>
        <v>10.424999999999999</v>
      </c>
      <c r="I307">
        <f t="shared" si="53"/>
        <v>0</v>
      </c>
      <c r="J307">
        <f t="shared" si="53"/>
        <v>0</v>
      </c>
      <c r="K307">
        <f t="shared" si="53"/>
        <v>8.375</v>
      </c>
      <c r="L307">
        <f t="shared" si="53"/>
        <v>8.5750000000000011</v>
      </c>
      <c r="M307">
        <f t="shared" si="53"/>
        <v>350</v>
      </c>
      <c r="N307">
        <f t="shared" si="53"/>
        <v>350</v>
      </c>
      <c r="O307" t="e">
        <f t="shared" si="53"/>
        <v>#DIV/0!</v>
      </c>
      <c r="P307" t="e">
        <f t="shared" si="53"/>
        <v>#DIV/0!</v>
      </c>
      <c r="Q307">
        <f t="shared" si="53"/>
        <v>291.25</v>
      </c>
      <c r="R307">
        <f t="shared" si="53"/>
        <v>434</v>
      </c>
      <c r="S307">
        <f t="shared" si="53"/>
        <v>142.75</v>
      </c>
      <c r="T307">
        <f t="shared" si="53"/>
        <v>238.57500000000002</v>
      </c>
      <c r="U307">
        <f t="shared" si="53"/>
        <v>400.25</v>
      </c>
      <c r="V307">
        <f t="shared" si="53"/>
        <v>403</v>
      </c>
    </row>
    <row r="308" spans="1:24" hidden="1" outlineLevel="2" x14ac:dyDescent="0.25">
      <c r="A308" t="str">
        <f t="shared" ref="A308:A315" si="54">CONCATENATE(B308," - ",E308)</f>
        <v>AK6 - 1987</v>
      </c>
      <c r="B308" t="s">
        <v>33</v>
      </c>
      <c r="C308">
        <v>2</v>
      </c>
      <c r="D308">
        <v>3</v>
      </c>
      <c r="E308">
        <v>1987</v>
      </c>
      <c r="F308">
        <v>32.200000000000003</v>
      </c>
      <c r="G308">
        <v>32.200000000000003</v>
      </c>
      <c r="H308">
        <v>22.2</v>
      </c>
      <c r="I308">
        <v>0</v>
      </c>
      <c r="J308">
        <v>0</v>
      </c>
      <c r="K308">
        <v>32.6</v>
      </c>
      <c r="L308">
        <v>32.6</v>
      </c>
      <c r="M308">
        <v>368</v>
      </c>
      <c r="N308">
        <v>368</v>
      </c>
      <c r="Q308">
        <v>216</v>
      </c>
      <c r="R308">
        <v>498</v>
      </c>
      <c r="S308">
        <v>282</v>
      </c>
      <c r="T308">
        <v>193.8</v>
      </c>
      <c r="U308">
        <v>412</v>
      </c>
      <c r="V308">
        <v>396</v>
      </c>
      <c r="W308">
        <v>500</v>
      </c>
      <c r="X308">
        <v>2.79</v>
      </c>
    </row>
    <row r="309" spans="1:24" hidden="1" outlineLevel="2" x14ac:dyDescent="0.25">
      <c r="A309" t="str">
        <f t="shared" si="54"/>
        <v>AK6 - 1987</v>
      </c>
      <c r="B309" t="s">
        <v>33</v>
      </c>
      <c r="C309">
        <v>3</v>
      </c>
      <c r="D309">
        <v>3</v>
      </c>
      <c r="E309">
        <v>1987</v>
      </c>
      <c r="F309">
        <v>46.9</v>
      </c>
      <c r="G309">
        <v>20.399999999999999</v>
      </c>
      <c r="H309">
        <v>20.399999999999999</v>
      </c>
      <c r="I309">
        <v>0</v>
      </c>
      <c r="J309">
        <v>0</v>
      </c>
      <c r="K309">
        <v>47</v>
      </c>
      <c r="L309">
        <v>69.099999999999994</v>
      </c>
      <c r="M309">
        <v>337</v>
      </c>
      <c r="N309">
        <v>337</v>
      </c>
      <c r="Q309">
        <v>257</v>
      </c>
      <c r="R309">
        <v>495</v>
      </c>
      <c r="S309">
        <v>238</v>
      </c>
      <c r="T309">
        <v>261.89999999999998</v>
      </c>
      <c r="U309">
        <v>404</v>
      </c>
      <c r="V309">
        <v>407</v>
      </c>
      <c r="W309">
        <v>500</v>
      </c>
      <c r="X309">
        <v>2.79</v>
      </c>
    </row>
    <row r="310" spans="1:24" hidden="1" outlineLevel="2" x14ac:dyDescent="0.25">
      <c r="A310" t="str">
        <f t="shared" si="54"/>
        <v>AK6 - 1987</v>
      </c>
      <c r="B310" t="s">
        <v>33</v>
      </c>
      <c r="C310">
        <v>6</v>
      </c>
      <c r="D310">
        <v>3</v>
      </c>
      <c r="E310">
        <v>1987</v>
      </c>
      <c r="F310">
        <v>31.1</v>
      </c>
      <c r="G310">
        <v>17.7</v>
      </c>
      <c r="H310">
        <v>17.7</v>
      </c>
      <c r="I310">
        <v>0</v>
      </c>
      <c r="J310">
        <v>0</v>
      </c>
      <c r="K310">
        <v>24.7</v>
      </c>
      <c r="L310">
        <v>30.4</v>
      </c>
      <c r="M310">
        <v>339</v>
      </c>
      <c r="N310">
        <v>339</v>
      </c>
      <c r="Q310">
        <v>286</v>
      </c>
      <c r="R310">
        <v>489</v>
      </c>
      <c r="S310">
        <v>203</v>
      </c>
      <c r="T310">
        <v>282</v>
      </c>
      <c r="U310">
        <v>406</v>
      </c>
      <c r="V310">
        <v>411</v>
      </c>
      <c r="W310">
        <v>500</v>
      </c>
      <c r="X310">
        <v>2.79</v>
      </c>
    </row>
    <row r="311" spans="1:24" hidden="1" outlineLevel="2" x14ac:dyDescent="0.25">
      <c r="A311" t="str">
        <f t="shared" si="54"/>
        <v>AK6 - 1987</v>
      </c>
      <c r="B311" t="s">
        <v>33</v>
      </c>
      <c r="C311">
        <v>7</v>
      </c>
      <c r="D311">
        <v>3</v>
      </c>
      <c r="E311">
        <v>1987</v>
      </c>
      <c r="F311">
        <v>25.6</v>
      </c>
      <c r="G311">
        <v>25.6</v>
      </c>
      <c r="H311">
        <v>18.600000000000001</v>
      </c>
      <c r="I311">
        <v>0</v>
      </c>
      <c r="J311">
        <v>0</v>
      </c>
      <c r="K311">
        <v>20.6</v>
      </c>
      <c r="L311">
        <v>20.6</v>
      </c>
      <c r="M311">
        <v>335</v>
      </c>
      <c r="N311">
        <v>335</v>
      </c>
      <c r="Q311">
        <v>130</v>
      </c>
      <c r="R311">
        <v>478</v>
      </c>
      <c r="S311">
        <v>348</v>
      </c>
      <c r="T311">
        <v>220.2</v>
      </c>
      <c r="U311">
        <v>418</v>
      </c>
      <c r="V311">
        <v>420</v>
      </c>
      <c r="W311">
        <v>500</v>
      </c>
      <c r="X311">
        <v>2.79</v>
      </c>
    </row>
    <row r="312" spans="1:24" hidden="1" outlineLevel="2" x14ac:dyDescent="0.25">
      <c r="A312" t="str">
        <f t="shared" si="54"/>
        <v>AK6 - 1987</v>
      </c>
      <c r="B312" t="s">
        <v>33</v>
      </c>
      <c r="C312">
        <v>8</v>
      </c>
      <c r="D312">
        <v>3</v>
      </c>
      <c r="E312">
        <v>1987</v>
      </c>
      <c r="F312">
        <v>24.6</v>
      </c>
      <c r="G312">
        <v>15.3</v>
      </c>
      <c r="H312">
        <v>15.3</v>
      </c>
      <c r="I312">
        <v>0</v>
      </c>
      <c r="J312">
        <v>0</v>
      </c>
      <c r="K312">
        <v>16.3</v>
      </c>
      <c r="L312">
        <v>19</v>
      </c>
      <c r="M312">
        <v>291</v>
      </c>
      <c r="N312">
        <v>291</v>
      </c>
      <c r="Q312">
        <v>238</v>
      </c>
      <c r="R312">
        <v>430</v>
      </c>
      <c r="S312">
        <v>192</v>
      </c>
      <c r="T312">
        <v>222.3</v>
      </c>
      <c r="U312">
        <v>354</v>
      </c>
      <c r="V312">
        <v>355</v>
      </c>
      <c r="W312">
        <v>500</v>
      </c>
      <c r="X312">
        <v>2.79</v>
      </c>
    </row>
    <row r="313" spans="1:24" hidden="1" outlineLevel="2" x14ac:dyDescent="0.25">
      <c r="A313" t="str">
        <f t="shared" si="54"/>
        <v>AK6 - 1987</v>
      </c>
      <c r="B313" t="s">
        <v>33</v>
      </c>
      <c r="C313">
        <v>10</v>
      </c>
      <c r="D313">
        <v>3</v>
      </c>
      <c r="E313">
        <v>1987</v>
      </c>
      <c r="F313">
        <v>22.5</v>
      </c>
      <c r="G313">
        <v>11.4</v>
      </c>
      <c r="H313">
        <v>11.4</v>
      </c>
      <c r="I313">
        <v>0</v>
      </c>
      <c r="J313">
        <v>0</v>
      </c>
      <c r="K313">
        <v>12</v>
      </c>
      <c r="L313">
        <v>15.9</v>
      </c>
      <c r="M313">
        <v>329</v>
      </c>
      <c r="N313">
        <v>329</v>
      </c>
      <c r="Q313">
        <v>276</v>
      </c>
      <c r="R313">
        <v>419</v>
      </c>
      <c r="S313">
        <v>143</v>
      </c>
      <c r="T313">
        <v>188.1</v>
      </c>
      <c r="U313">
        <v>437</v>
      </c>
      <c r="V313">
        <v>439</v>
      </c>
      <c r="W313">
        <v>500</v>
      </c>
      <c r="X313">
        <v>2.79</v>
      </c>
    </row>
    <row r="314" spans="1:24" hidden="1" outlineLevel="2" x14ac:dyDescent="0.25">
      <c r="A314" t="str">
        <f t="shared" si="54"/>
        <v>AK6 - 1987</v>
      </c>
      <c r="B314" t="s">
        <v>33</v>
      </c>
      <c r="C314">
        <v>12</v>
      </c>
      <c r="D314">
        <v>3</v>
      </c>
      <c r="E314">
        <v>1987</v>
      </c>
      <c r="F314">
        <v>19.399999999999999</v>
      </c>
      <c r="G314">
        <v>19.399999999999999</v>
      </c>
      <c r="H314">
        <v>11.4</v>
      </c>
      <c r="I314">
        <v>0</v>
      </c>
      <c r="J314">
        <v>0</v>
      </c>
      <c r="K314">
        <v>11.8</v>
      </c>
      <c r="L314">
        <v>11.8</v>
      </c>
      <c r="M314">
        <v>406</v>
      </c>
      <c r="N314">
        <v>406</v>
      </c>
      <c r="Q314">
        <v>302</v>
      </c>
      <c r="R314">
        <v>453</v>
      </c>
      <c r="S314">
        <v>151</v>
      </c>
      <c r="T314">
        <v>189.3</v>
      </c>
      <c r="U314">
        <v>426</v>
      </c>
      <c r="V314">
        <v>428</v>
      </c>
      <c r="W314">
        <v>500</v>
      </c>
      <c r="X314">
        <v>2.79</v>
      </c>
    </row>
    <row r="315" spans="1:24" hidden="1" outlineLevel="2" x14ac:dyDescent="0.25">
      <c r="A315" t="str">
        <f t="shared" si="54"/>
        <v>AK6 - 1987</v>
      </c>
      <c r="B315" t="s">
        <v>33</v>
      </c>
      <c r="C315">
        <v>14</v>
      </c>
      <c r="D315">
        <v>3</v>
      </c>
      <c r="E315">
        <v>1987</v>
      </c>
      <c r="F315">
        <v>38.4</v>
      </c>
      <c r="G315">
        <v>38.4</v>
      </c>
      <c r="H315">
        <v>23.4</v>
      </c>
      <c r="I315">
        <v>0</v>
      </c>
      <c r="J315">
        <v>0</v>
      </c>
      <c r="K315">
        <v>46.3</v>
      </c>
      <c r="L315">
        <v>46.3</v>
      </c>
      <c r="M315">
        <v>363</v>
      </c>
      <c r="N315">
        <v>363</v>
      </c>
      <c r="Q315">
        <v>302</v>
      </c>
      <c r="R315">
        <v>495</v>
      </c>
      <c r="S315">
        <v>193</v>
      </c>
      <c r="T315">
        <v>292.2</v>
      </c>
      <c r="U315">
        <v>398</v>
      </c>
      <c r="V315">
        <v>397</v>
      </c>
      <c r="W315">
        <v>500</v>
      </c>
      <c r="X315">
        <v>2.79</v>
      </c>
    </row>
    <row r="316" spans="1:24" outlineLevel="1" collapsed="1" x14ac:dyDescent="0.25">
      <c r="A316" s="8" t="s">
        <v>63</v>
      </c>
      <c r="D316">
        <f t="shared" ref="D316:V316" si="55">SUBTOTAL(1,D308:D315)</f>
        <v>3</v>
      </c>
      <c r="E316">
        <f t="shared" si="55"/>
        <v>1987</v>
      </c>
      <c r="F316">
        <f t="shared" si="55"/>
        <v>30.087499999999999</v>
      </c>
      <c r="G316">
        <f t="shared" si="55"/>
        <v>22.55</v>
      </c>
      <c r="H316">
        <f t="shared" si="55"/>
        <v>17.55</v>
      </c>
      <c r="I316">
        <f t="shared" si="55"/>
        <v>0</v>
      </c>
      <c r="J316">
        <f t="shared" si="55"/>
        <v>0</v>
      </c>
      <c r="K316">
        <f t="shared" si="55"/>
        <v>26.412500000000001</v>
      </c>
      <c r="L316">
        <f t="shared" si="55"/>
        <v>30.712499999999999</v>
      </c>
      <c r="M316">
        <f t="shared" si="55"/>
        <v>346</v>
      </c>
      <c r="N316">
        <f t="shared" si="55"/>
        <v>346</v>
      </c>
      <c r="O316" t="e">
        <f t="shared" si="55"/>
        <v>#DIV/0!</v>
      </c>
      <c r="P316" t="e">
        <f t="shared" si="55"/>
        <v>#DIV/0!</v>
      </c>
      <c r="Q316">
        <f t="shared" si="55"/>
        <v>250.875</v>
      </c>
      <c r="R316">
        <f t="shared" si="55"/>
        <v>469.625</v>
      </c>
      <c r="S316">
        <f t="shared" si="55"/>
        <v>218.75</v>
      </c>
      <c r="T316">
        <f t="shared" si="55"/>
        <v>231.22499999999999</v>
      </c>
      <c r="U316">
        <f t="shared" si="55"/>
        <v>406.875</v>
      </c>
      <c r="V316">
        <f t="shared" si="55"/>
        <v>406.625</v>
      </c>
    </row>
    <row r="317" spans="1:24" hidden="1" outlineLevel="2" x14ac:dyDescent="0.25">
      <c r="A317" t="str">
        <f t="shared" ref="A317:A330" si="56">CONCATENATE(B317," - ",E317)</f>
        <v>AK6 - 1988</v>
      </c>
      <c r="B317" t="s">
        <v>33</v>
      </c>
      <c r="C317">
        <v>1</v>
      </c>
      <c r="D317">
        <v>3</v>
      </c>
      <c r="E317">
        <v>1988</v>
      </c>
      <c r="F317">
        <v>32.4</v>
      </c>
      <c r="G317">
        <v>32.4</v>
      </c>
      <c r="H317">
        <v>20.399999999999999</v>
      </c>
      <c r="I317">
        <v>0</v>
      </c>
      <c r="J317">
        <v>0</v>
      </c>
      <c r="K317">
        <v>33</v>
      </c>
      <c r="L317">
        <v>33</v>
      </c>
      <c r="M317">
        <v>376</v>
      </c>
      <c r="N317">
        <v>376</v>
      </c>
      <c r="Q317">
        <v>323</v>
      </c>
      <c r="R317">
        <v>427</v>
      </c>
      <c r="S317">
        <v>104</v>
      </c>
      <c r="T317">
        <v>211.8</v>
      </c>
      <c r="U317">
        <v>420</v>
      </c>
      <c r="V317">
        <v>413</v>
      </c>
      <c r="W317">
        <v>500</v>
      </c>
      <c r="X317">
        <v>2.79</v>
      </c>
    </row>
    <row r="318" spans="1:24" hidden="1" outlineLevel="2" x14ac:dyDescent="0.25">
      <c r="A318" t="str">
        <f t="shared" si="56"/>
        <v>AK6 - 1988</v>
      </c>
      <c r="B318" t="s">
        <v>33</v>
      </c>
      <c r="C318">
        <v>2</v>
      </c>
      <c r="D318">
        <v>4</v>
      </c>
      <c r="E318">
        <v>1988</v>
      </c>
      <c r="F318">
        <v>49</v>
      </c>
      <c r="G318">
        <v>16.8</v>
      </c>
      <c r="H318">
        <v>16.2</v>
      </c>
      <c r="I318">
        <v>0.6</v>
      </c>
      <c r="J318">
        <v>3</v>
      </c>
      <c r="K318">
        <v>42.9</v>
      </c>
      <c r="L318">
        <v>75.400000000000006</v>
      </c>
      <c r="M318">
        <v>358</v>
      </c>
      <c r="N318">
        <v>352</v>
      </c>
      <c r="O318">
        <v>513</v>
      </c>
      <c r="P318">
        <v>161</v>
      </c>
      <c r="Q318">
        <v>274</v>
      </c>
      <c r="R318">
        <v>514</v>
      </c>
      <c r="S318">
        <v>240</v>
      </c>
      <c r="T318">
        <v>193.8</v>
      </c>
      <c r="U318">
        <v>412</v>
      </c>
      <c r="V318">
        <v>396</v>
      </c>
      <c r="W318">
        <v>500</v>
      </c>
      <c r="X318">
        <v>2.79</v>
      </c>
    </row>
    <row r="319" spans="1:24" hidden="1" outlineLevel="2" x14ac:dyDescent="0.25">
      <c r="A319" t="str">
        <f t="shared" si="56"/>
        <v>AK6 - 1988</v>
      </c>
      <c r="B319" t="s">
        <v>33</v>
      </c>
      <c r="C319">
        <v>3</v>
      </c>
      <c r="D319">
        <v>4</v>
      </c>
      <c r="E319">
        <v>1988</v>
      </c>
      <c r="F319">
        <v>64</v>
      </c>
      <c r="G319">
        <v>17.100000000000001</v>
      </c>
      <c r="H319">
        <v>17.100000000000001</v>
      </c>
      <c r="I319">
        <v>0</v>
      </c>
      <c r="J319">
        <v>0</v>
      </c>
      <c r="K319">
        <v>59.6</v>
      </c>
      <c r="L319">
        <v>128.69999999999999</v>
      </c>
      <c r="M319">
        <v>351</v>
      </c>
      <c r="N319">
        <v>351</v>
      </c>
      <c r="Q319">
        <v>278</v>
      </c>
      <c r="R319">
        <v>470</v>
      </c>
      <c r="S319">
        <v>192</v>
      </c>
      <c r="T319">
        <v>261.89999999999998</v>
      </c>
      <c r="U319">
        <v>404</v>
      </c>
      <c r="V319">
        <v>407</v>
      </c>
      <c r="W319">
        <v>500</v>
      </c>
      <c r="X319">
        <v>2.79</v>
      </c>
    </row>
    <row r="320" spans="1:24" hidden="1" outlineLevel="2" x14ac:dyDescent="0.25">
      <c r="A320" t="str">
        <f t="shared" si="56"/>
        <v>AK6 - 1988</v>
      </c>
      <c r="B320" t="s">
        <v>33</v>
      </c>
      <c r="C320">
        <v>4</v>
      </c>
      <c r="D320">
        <v>3</v>
      </c>
      <c r="E320">
        <v>1988</v>
      </c>
      <c r="F320">
        <v>31.2</v>
      </c>
      <c r="G320">
        <v>31.2</v>
      </c>
      <c r="H320">
        <v>18.600000000000001</v>
      </c>
      <c r="I320">
        <v>0.6</v>
      </c>
      <c r="J320">
        <v>1</v>
      </c>
      <c r="K320">
        <v>30.6</v>
      </c>
      <c r="L320">
        <v>30.6</v>
      </c>
      <c r="M320">
        <v>362</v>
      </c>
      <c r="N320">
        <v>357</v>
      </c>
      <c r="O320">
        <v>504</v>
      </c>
      <c r="P320">
        <v>147</v>
      </c>
      <c r="Q320">
        <v>284</v>
      </c>
      <c r="R320">
        <v>508</v>
      </c>
      <c r="S320">
        <v>224</v>
      </c>
      <c r="T320">
        <v>166.8</v>
      </c>
      <c r="U320">
        <v>412</v>
      </c>
      <c r="V320">
        <v>409</v>
      </c>
      <c r="W320">
        <v>500</v>
      </c>
      <c r="X320">
        <v>2.79</v>
      </c>
    </row>
    <row r="321" spans="1:24" hidden="1" outlineLevel="2" x14ac:dyDescent="0.25">
      <c r="A321" t="str">
        <f t="shared" si="56"/>
        <v>AK6 - 1988</v>
      </c>
      <c r="B321" t="s">
        <v>33</v>
      </c>
      <c r="C321">
        <v>5</v>
      </c>
      <c r="D321">
        <v>3</v>
      </c>
      <c r="E321">
        <v>1988</v>
      </c>
      <c r="F321">
        <v>67</v>
      </c>
      <c r="G321">
        <v>67</v>
      </c>
      <c r="H321">
        <v>54</v>
      </c>
      <c r="I321">
        <v>0</v>
      </c>
      <c r="J321">
        <v>0</v>
      </c>
      <c r="K321">
        <v>141</v>
      </c>
      <c r="L321">
        <v>141</v>
      </c>
      <c r="M321">
        <v>368</v>
      </c>
      <c r="N321">
        <v>368</v>
      </c>
      <c r="Q321">
        <v>261</v>
      </c>
      <c r="R321">
        <v>490</v>
      </c>
      <c r="S321">
        <v>229</v>
      </c>
      <c r="T321">
        <v>224.7</v>
      </c>
      <c r="U321">
        <v>390</v>
      </c>
      <c r="V321">
        <v>376</v>
      </c>
      <c r="W321">
        <v>500</v>
      </c>
      <c r="X321">
        <v>2.79</v>
      </c>
    </row>
    <row r="322" spans="1:24" hidden="1" outlineLevel="2" x14ac:dyDescent="0.25">
      <c r="A322" t="str">
        <f t="shared" si="56"/>
        <v>AK6 - 1988</v>
      </c>
      <c r="B322" t="s">
        <v>33</v>
      </c>
      <c r="C322">
        <v>6</v>
      </c>
      <c r="D322">
        <v>4</v>
      </c>
      <c r="E322">
        <v>1988</v>
      </c>
      <c r="F322">
        <v>51.2</v>
      </c>
      <c r="G322">
        <v>20.100000000000001</v>
      </c>
      <c r="H322">
        <v>20.100000000000001</v>
      </c>
      <c r="I322">
        <v>0</v>
      </c>
      <c r="J322">
        <v>0</v>
      </c>
      <c r="K322">
        <v>52</v>
      </c>
      <c r="L322">
        <v>82.4</v>
      </c>
      <c r="M322">
        <v>340</v>
      </c>
      <c r="N322">
        <v>340</v>
      </c>
      <c r="Q322">
        <v>274</v>
      </c>
      <c r="R322">
        <v>466</v>
      </c>
      <c r="S322">
        <v>192</v>
      </c>
      <c r="T322">
        <v>282</v>
      </c>
      <c r="U322">
        <v>406</v>
      </c>
      <c r="V322">
        <v>411</v>
      </c>
      <c r="W322">
        <v>500</v>
      </c>
      <c r="X322">
        <v>2.79</v>
      </c>
    </row>
    <row r="323" spans="1:24" hidden="1" outlineLevel="2" x14ac:dyDescent="0.25">
      <c r="A323" t="str">
        <f t="shared" si="56"/>
        <v>AK6 - 1988</v>
      </c>
      <c r="B323" t="s">
        <v>33</v>
      </c>
      <c r="C323">
        <v>7</v>
      </c>
      <c r="D323">
        <v>4</v>
      </c>
      <c r="E323">
        <v>1988</v>
      </c>
      <c r="F323">
        <v>47.8</v>
      </c>
      <c r="G323">
        <v>22.2</v>
      </c>
      <c r="H323">
        <v>22.2</v>
      </c>
      <c r="I323">
        <v>0</v>
      </c>
      <c r="J323">
        <v>0</v>
      </c>
      <c r="K323">
        <v>51.2</v>
      </c>
      <c r="L323">
        <v>71.8</v>
      </c>
      <c r="M323">
        <v>340</v>
      </c>
      <c r="N323">
        <v>340</v>
      </c>
      <c r="Q323">
        <v>247</v>
      </c>
      <c r="R323">
        <v>492</v>
      </c>
      <c r="S323">
        <v>245</v>
      </c>
      <c r="T323">
        <v>220.2</v>
      </c>
      <c r="U323">
        <v>418</v>
      </c>
      <c r="V323">
        <v>420</v>
      </c>
      <c r="W323">
        <v>500</v>
      </c>
      <c r="X323">
        <v>2.79</v>
      </c>
    </row>
    <row r="324" spans="1:24" hidden="1" outlineLevel="2" x14ac:dyDescent="0.25">
      <c r="A324" t="str">
        <f t="shared" si="56"/>
        <v>AK6 - 1988</v>
      </c>
      <c r="B324" t="s">
        <v>33</v>
      </c>
      <c r="C324">
        <v>8</v>
      </c>
      <c r="D324">
        <v>4</v>
      </c>
      <c r="E324">
        <v>1988</v>
      </c>
      <c r="F324">
        <v>43.8</v>
      </c>
      <c r="G324">
        <v>19.2</v>
      </c>
      <c r="H324">
        <v>19.2</v>
      </c>
      <c r="I324">
        <v>0</v>
      </c>
      <c r="J324">
        <v>0</v>
      </c>
      <c r="K324">
        <v>41.3</v>
      </c>
      <c r="L324">
        <v>60.3</v>
      </c>
      <c r="M324">
        <v>307</v>
      </c>
      <c r="N324">
        <v>307</v>
      </c>
      <c r="Q324">
        <v>233</v>
      </c>
      <c r="R324">
        <v>430</v>
      </c>
      <c r="S324">
        <v>197</v>
      </c>
      <c r="T324">
        <v>222.3</v>
      </c>
      <c r="U324">
        <v>354</v>
      </c>
      <c r="V324">
        <v>355</v>
      </c>
      <c r="W324">
        <v>500</v>
      </c>
      <c r="X324">
        <v>2.79</v>
      </c>
    </row>
    <row r="325" spans="1:24" hidden="1" outlineLevel="2" x14ac:dyDescent="0.25">
      <c r="A325" t="str">
        <f t="shared" si="56"/>
        <v>AK6 - 1988</v>
      </c>
      <c r="B325" t="s">
        <v>33</v>
      </c>
      <c r="C325">
        <v>10</v>
      </c>
      <c r="D325">
        <v>4</v>
      </c>
      <c r="E325">
        <v>1988</v>
      </c>
      <c r="F325">
        <v>30.9</v>
      </c>
      <c r="G325">
        <v>8.4</v>
      </c>
      <c r="H325">
        <v>7.8</v>
      </c>
      <c r="I325">
        <v>0.6</v>
      </c>
      <c r="J325">
        <v>7</v>
      </c>
      <c r="K325">
        <v>14.1</v>
      </c>
      <c r="L325">
        <v>30</v>
      </c>
      <c r="M325">
        <v>401</v>
      </c>
      <c r="N325">
        <v>393</v>
      </c>
      <c r="O325">
        <v>505</v>
      </c>
      <c r="P325">
        <v>112</v>
      </c>
      <c r="Q325">
        <v>313</v>
      </c>
      <c r="R325">
        <v>511</v>
      </c>
      <c r="S325">
        <v>198</v>
      </c>
      <c r="T325">
        <v>188.1</v>
      </c>
      <c r="U325">
        <v>437</v>
      </c>
      <c r="V325">
        <v>439</v>
      </c>
      <c r="W325">
        <v>500</v>
      </c>
      <c r="X325">
        <v>2.79</v>
      </c>
    </row>
    <row r="326" spans="1:24" hidden="1" outlineLevel="2" x14ac:dyDescent="0.25">
      <c r="A326" t="str">
        <f t="shared" si="56"/>
        <v>AK6 - 1988</v>
      </c>
      <c r="B326" t="s">
        <v>33</v>
      </c>
      <c r="C326">
        <v>12</v>
      </c>
      <c r="D326">
        <v>4</v>
      </c>
      <c r="E326">
        <v>1988</v>
      </c>
      <c r="F326">
        <v>40.4</v>
      </c>
      <c r="G326">
        <v>21</v>
      </c>
      <c r="H326">
        <v>20.7</v>
      </c>
      <c r="I326">
        <v>0.3</v>
      </c>
      <c r="J326">
        <v>1</v>
      </c>
      <c r="K326">
        <v>39.5</v>
      </c>
      <c r="L326">
        <v>51.3</v>
      </c>
      <c r="M326">
        <v>335</v>
      </c>
      <c r="N326">
        <v>333</v>
      </c>
      <c r="O326">
        <v>505</v>
      </c>
      <c r="P326">
        <v>172</v>
      </c>
      <c r="Q326">
        <v>253</v>
      </c>
      <c r="R326">
        <v>505</v>
      </c>
      <c r="S326">
        <v>252</v>
      </c>
      <c r="T326">
        <v>189.3</v>
      </c>
      <c r="U326">
        <v>426</v>
      </c>
      <c r="V326">
        <v>428</v>
      </c>
      <c r="W326">
        <v>500</v>
      </c>
      <c r="X326">
        <v>2.79</v>
      </c>
    </row>
    <row r="327" spans="1:24" hidden="1" outlineLevel="2" x14ac:dyDescent="0.25">
      <c r="A327" t="str">
        <f t="shared" si="56"/>
        <v>AK6 - 1988</v>
      </c>
      <c r="B327" t="s">
        <v>33</v>
      </c>
      <c r="C327">
        <v>13</v>
      </c>
      <c r="D327">
        <v>3</v>
      </c>
      <c r="E327">
        <v>1988</v>
      </c>
      <c r="F327">
        <v>37.700000000000003</v>
      </c>
      <c r="G327">
        <v>37.700000000000003</v>
      </c>
      <c r="H327">
        <v>17.7</v>
      </c>
      <c r="I327">
        <v>0</v>
      </c>
      <c r="J327">
        <v>0</v>
      </c>
      <c r="K327">
        <v>44.7</v>
      </c>
      <c r="L327">
        <v>44.7</v>
      </c>
      <c r="M327">
        <v>329</v>
      </c>
      <c r="N327">
        <v>329</v>
      </c>
      <c r="Q327">
        <v>250</v>
      </c>
      <c r="R327">
        <v>418</v>
      </c>
      <c r="S327">
        <v>168</v>
      </c>
      <c r="T327">
        <v>221.4</v>
      </c>
      <c r="U327">
        <v>380</v>
      </c>
      <c r="V327">
        <v>378</v>
      </c>
      <c r="W327">
        <v>500</v>
      </c>
      <c r="X327">
        <v>2.79</v>
      </c>
    </row>
    <row r="328" spans="1:24" hidden="1" outlineLevel="2" x14ac:dyDescent="0.25">
      <c r="A328" t="str">
        <f t="shared" si="56"/>
        <v>AK6 - 1988</v>
      </c>
      <c r="B328" t="s">
        <v>33</v>
      </c>
      <c r="C328">
        <v>15</v>
      </c>
      <c r="D328">
        <v>3</v>
      </c>
      <c r="E328">
        <v>1988</v>
      </c>
      <c r="F328">
        <v>39.1</v>
      </c>
      <c r="G328">
        <v>39.1</v>
      </c>
      <c r="H328">
        <v>14.1</v>
      </c>
      <c r="I328">
        <v>0</v>
      </c>
      <c r="J328">
        <v>0</v>
      </c>
      <c r="K328">
        <v>48</v>
      </c>
      <c r="L328">
        <v>48</v>
      </c>
      <c r="M328">
        <v>351</v>
      </c>
      <c r="N328">
        <v>351</v>
      </c>
      <c r="Q328">
        <v>277</v>
      </c>
      <c r="R328">
        <v>434</v>
      </c>
      <c r="S328">
        <v>157</v>
      </c>
      <c r="T328">
        <v>222.9</v>
      </c>
      <c r="U328">
        <v>390</v>
      </c>
      <c r="V328">
        <v>386</v>
      </c>
      <c r="W328">
        <v>500</v>
      </c>
      <c r="X328">
        <v>2.79</v>
      </c>
    </row>
    <row r="329" spans="1:24" hidden="1" outlineLevel="2" x14ac:dyDescent="0.25">
      <c r="A329" t="str">
        <f t="shared" si="56"/>
        <v>AK6 - 1988</v>
      </c>
      <c r="B329" t="s">
        <v>33</v>
      </c>
      <c r="C329">
        <v>14</v>
      </c>
      <c r="D329">
        <v>4</v>
      </c>
      <c r="E329">
        <v>1988</v>
      </c>
      <c r="F329">
        <v>62.4</v>
      </c>
      <c r="G329">
        <v>24</v>
      </c>
      <c r="H329">
        <v>24</v>
      </c>
      <c r="I329">
        <v>0</v>
      </c>
      <c r="J329">
        <v>0</v>
      </c>
      <c r="K329">
        <v>76</v>
      </c>
      <c r="L329">
        <v>122.3</v>
      </c>
      <c r="M329">
        <v>340</v>
      </c>
      <c r="N329">
        <v>340</v>
      </c>
      <c r="Q329">
        <v>277</v>
      </c>
      <c r="R329">
        <v>446</v>
      </c>
      <c r="S329">
        <v>169</v>
      </c>
      <c r="T329">
        <v>292.2</v>
      </c>
      <c r="U329">
        <v>398</v>
      </c>
      <c r="V329">
        <v>397</v>
      </c>
      <c r="W329">
        <v>500</v>
      </c>
      <c r="X329">
        <v>2.79</v>
      </c>
    </row>
    <row r="330" spans="1:24" hidden="1" outlineLevel="2" x14ac:dyDescent="0.25">
      <c r="A330" t="str">
        <f t="shared" si="56"/>
        <v>AK6 - 1988</v>
      </c>
      <c r="B330" t="s">
        <v>33</v>
      </c>
      <c r="C330" t="s">
        <v>35</v>
      </c>
      <c r="D330">
        <v>3</v>
      </c>
      <c r="E330">
        <v>1988</v>
      </c>
      <c r="F330">
        <v>30.8</v>
      </c>
      <c r="G330">
        <v>30.8</v>
      </c>
      <c r="H330">
        <v>22.8</v>
      </c>
      <c r="I330">
        <v>0</v>
      </c>
      <c r="J330">
        <v>0</v>
      </c>
      <c r="K330">
        <v>29.8</v>
      </c>
      <c r="L330">
        <v>29.8</v>
      </c>
      <c r="M330">
        <v>325</v>
      </c>
      <c r="N330">
        <v>325</v>
      </c>
      <c r="Q330">
        <v>269</v>
      </c>
      <c r="R330">
        <v>414</v>
      </c>
      <c r="S330">
        <v>145</v>
      </c>
      <c r="T330">
        <v>205.5</v>
      </c>
      <c r="U330">
        <v>422</v>
      </c>
      <c r="V330">
        <v>415</v>
      </c>
      <c r="W330">
        <v>500</v>
      </c>
      <c r="X330">
        <v>2.79</v>
      </c>
    </row>
    <row r="331" spans="1:24" outlineLevel="1" collapsed="1" x14ac:dyDescent="0.25">
      <c r="A331" s="8" t="s">
        <v>64</v>
      </c>
      <c r="D331">
        <f t="shared" ref="D331:V331" si="57">SUBTOTAL(1,D317:D330)</f>
        <v>3.5714285714285716</v>
      </c>
      <c r="E331">
        <f t="shared" si="57"/>
        <v>1988</v>
      </c>
      <c r="F331">
        <f t="shared" si="57"/>
        <v>44.835714285714282</v>
      </c>
      <c r="G331">
        <f t="shared" si="57"/>
        <v>27.642857142857142</v>
      </c>
      <c r="H331">
        <f t="shared" si="57"/>
        <v>21.064285714285713</v>
      </c>
      <c r="I331">
        <f t="shared" si="57"/>
        <v>0.14999999999999997</v>
      </c>
      <c r="J331">
        <f t="shared" si="57"/>
        <v>0.8571428571428571</v>
      </c>
      <c r="K331">
        <f t="shared" si="57"/>
        <v>50.26428571428572</v>
      </c>
      <c r="L331">
        <f t="shared" si="57"/>
        <v>67.80714285714285</v>
      </c>
      <c r="M331">
        <f t="shared" si="57"/>
        <v>348.78571428571428</v>
      </c>
      <c r="N331">
        <f t="shared" si="57"/>
        <v>347.28571428571428</v>
      </c>
      <c r="O331">
        <f t="shared" si="57"/>
        <v>506.75</v>
      </c>
      <c r="P331">
        <f t="shared" si="57"/>
        <v>148</v>
      </c>
      <c r="Q331">
        <f t="shared" si="57"/>
        <v>272.35714285714283</v>
      </c>
      <c r="R331">
        <f t="shared" si="57"/>
        <v>466.07142857142856</v>
      </c>
      <c r="S331">
        <f t="shared" si="57"/>
        <v>193.71428571428572</v>
      </c>
      <c r="T331">
        <f t="shared" si="57"/>
        <v>221.6357142857143</v>
      </c>
      <c r="U331">
        <f t="shared" si="57"/>
        <v>404.92857142857144</v>
      </c>
      <c r="V331">
        <f t="shared" si="57"/>
        <v>402.14285714285717</v>
      </c>
    </row>
    <row r="332" spans="1:24" hidden="1" outlineLevel="2" x14ac:dyDescent="0.25">
      <c r="A332" t="str">
        <f t="shared" ref="A332:A346" si="58">CONCATENATE(B332," - ",E332)</f>
        <v>AK6 - 1989</v>
      </c>
      <c r="B332" t="s">
        <v>33</v>
      </c>
      <c r="C332">
        <v>1</v>
      </c>
      <c r="D332">
        <v>4</v>
      </c>
      <c r="E332">
        <v>1989</v>
      </c>
      <c r="F332">
        <v>51.9</v>
      </c>
      <c r="G332">
        <v>19.5</v>
      </c>
      <c r="H332">
        <v>19.2</v>
      </c>
      <c r="I332">
        <v>0.3</v>
      </c>
      <c r="J332">
        <v>1</v>
      </c>
      <c r="K332">
        <v>51.6</v>
      </c>
      <c r="L332">
        <v>84.6</v>
      </c>
      <c r="M332">
        <v>343</v>
      </c>
      <c r="N332">
        <v>341</v>
      </c>
      <c r="O332">
        <v>501</v>
      </c>
      <c r="P332">
        <v>160</v>
      </c>
      <c r="Q332">
        <v>291</v>
      </c>
      <c r="R332">
        <v>501</v>
      </c>
      <c r="S332">
        <v>210</v>
      </c>
      <c r="T332">
        <v>211.8</v>
      </c>
      <c r="U332">
        <v>420</v>
      </c>
      <c r="V332">
        <v>413</v>
      </c>
      <c r="W332">
        <v>500</v>
      </c>
      <c r="X332">
        <v>2.79</v>
      </c>
    </row>
    <row r="333" spans="1:24" hidden="1" outlineLevel="2" x14ac:dyDescent="0.25">
      <c r="A333" t="str">
        <f t="shared" si="58"/>
        <v>AK6 - 1989</v>
      </c>
      <c r="B333" t="s">
        <v>33</v>
      </c>
      <c r="C333">
        <v>2</v>
      </c>
      <c r="D333">
        <v>5</v>
      </c>
      <c r="E333">
        <v>1989</v>
      </c>
      <c r="F333">
        <v>65.5</v>
      </c>
      <c r="G333">
        <v>16.5</v>
      </c>
      <c r="H333">
        <v>16.2</v>
      </c>
      <c r="I333">
        <v>0.3</v>
      </c>
      <c r="J333">
        <v>1</v>
      </c>
      <c r="K333">
        <v>59.4</v>
      </c>
      <c r="L333">
        <v>134.80000000000001</v>
      </c>
      <c r="M333">
        <v>357</v>
      </c>
      <c r="N333">
        <v>354</v>
      </c>
      <c r="O333">
        <v>523</v>
      </c>
      <c r="P333">
        <v>169</v>
      </c>
      <c r="Q333">
        <v>285</v>
      </c>
      <c r="R333">
        <v>523</v>
      </c>
      <c r="S333">
        <v>238</v>
      </c>
      <c r="T333">
        <v>193.8</v>
      </c>
      <c r="U333">
        <v>412</v>
      </c>
      <c r="V333">
        <v>396</v>
      </c>
      <c r="W333">
        <v>500</v>
      </c>
      <c r="X333">
        <v>2.79</v>
      </c>
    </row>
    <row r="334" spans="1:24" hidden="1" outlineLevel="2" x14ac:dyDescent="0.25">
      <c r="A334" t="str">
        <f t="shared" si="58"/>
        <v>AK6 - 1989</v>
      </c>
      <c r="B334" t="s">
        <v>33</v>
      </c>
      <c r="C334">
        <v>3</v>
      </c>
      <c r="D334">
        <v>5</v>
      </c>
      <c r="E334">
        <v>1989</v>
      </c>
      <c r="F334">
        <v>74.5</v>
      </c>
      <c r="G334">
        <v>10.5</v>
      </c>
      <c r="H334">
        <v>9.9</v>
      </c>
      <c r="I334">
        <v>0.6</v>
      </c>
      <c r="J334">
        <v>5</v>
      </c>
      <c r="K334">
        <v>45.7</v>
      </c>
      <c r="L334">
        <v>174.4</v>
      </c>
      <c r="M334">
        <v>388</v>
      </c>
      <c r="N334">
        <v>380</v>
      </c>
      <c r="O334">
        <v>518</v>
      </c>
      <c r="P334">
        <v>138</v>
      </c>
      <c r="Q334">
        <v>316</v>
      </c>
      <c r="R334">
        <v>527</v>
      </c>
      <c r="S334">
        <v>211</v>
      </c>
      <c r="T334">
        <v>261.89999999999998</v>
      </c>
      <c r="U334">
        <v>404</v>
      </c>
      <c r="V334">
        <v>407</v>
      </c>
      <c r="W334">
        <v>500</v>
      </c>
      <c r="X334">
        <v>2.79</v>
      </c>
    </row>
    <row r="335" spans="1:24" hidden="1" outlineLevel="2" x14ac:dyDescent="0.25">
      <c r="A335" t="str">
        <f t="shared" si="58"/>
        <v>AK6 - 1989</v>
      </c>
      <c r="B335" t="s">
        <v>33</v>
      </c>
      <c r="C335">
        <v>4</v>
      </c>
      <c r="D335">
        <v>4</v>
      </c>
      <c r="E335">
        <v>1989</v>
      </c>
      <c r="F335">
        <v>48.6</v>
      </c>
      <c r="G335">
        <v>17.399999999999999</v>
      </c>
      <c r="H335">
        <v>16.8</v>
      </c>
      <c r="I335">
        <v>0.6</v>
      </c>
      <c r="J335">
        <v>3</v>
      </c>
      <c r="K335">
        <v>43.6</v>
      </c>
      <c r="L335">
        <v>74.2</v>
      </c>
      <c r="M335">
        <v>374</v>
      </c>
      <c r="N335">
        <v>369</v>
      </c>
      <c r="O335">
        <v>513</v>
      </c>
      <c r="P335">
        <v>144</v>
      </c>
      <c r="Q335">
        <v>309</v>
      </c>
      <c r="R335">
        <v>514</v>
      </c>
      <c r="S335">
        <v>205</v>
      </c>
      <c r="T335">
        <v>166.8</v>
      </c>
      <c r="U335">
        <v>412</v>
      </c>
      <c r="V335">
        <v>409</v>
      </c>
      <c r="W335">
        <v>500</v>
      </c>
      <c r="X335">
        <v>2.79</v>
      </c>
    </row>
    <row r="336" spans="1:24" hidden="1" outlineLevel="2" x14ac:dyDescent="0.25">
      <c r="A336" t="str">
        <f t="shared" si="58"/>
        <v>AK6 - 1989</v>
      </c>
      <c r="B336" t="s">
        <v>33</v>
      </c>
      <c r="C336">
        <v>5</v>
      </c>
      <c r="D336">
        <v>4</v>
      </c>
      <c r="E336">
        <v>1989</v>
      </c>
      <c r="F336">
        <v>83.2</v>
      </c>
      <c r="G336">
        <v>16.2</v>
      </c>
      <c r="H336">
        <v>16.2</v>
      </c>
      <c r="I336">
        <v>0</v>
      </c>
      <c r="J336">
        <v>0</v>
      </c>
      <c r="K336">
        <v>76.400000000000006</v>
      </c>
      <c r="L336">
        <v>217.5</v>
      </c>
      <c r="M336">
        <v>318</v>
      </c>
      <c r="N336">
        <v>318</v>
      </c>
      <c r="Q336">
        <v>260</v>
      </c>
      <c r="R336">
        <v>476</v>
      </c>
      <c r="S336">
        <v>216</v>
      </c>
      <c r="T336">
        <v>224.7</v>
      </c>
      <c r="U336">
        <v>390</v>
      </c>
      <c r="V336">
        <v>376</v>
      </c>
      <c r="W336">
        <v>500</v>
      </c>
      <c r="X336">
        <v>2.79</v>
      </c>
    </row>
    <row r="337" spans="1:24" hidden="1" outlineLevel="2" x14ac:dyDescent="0.25">
      <c r="A337" t="str">
        <f t="shared" si="58"/>
        <v>AK6 - 1989</v>
      </c>
      <c r="B337" t="s">
        <v>33</v>
      </c>
      <c r="C337">
        <v>6</v>
      </c>
      <c r="D337">
        <v>5</v>
      </c>
      <c r="E337">
        <v>1989</v>
      </c>
      <c r="F337">
        <v>71.3</v>
      </c>
      <c r="G337">
        <v>20.100000000000001</v>
      </c>
      <c r="H337">
        <v>19.8</v>
      </c>
      <c r="I337">
        <v>0.3</v>
      </c>
      <c r="J337">
        <v>1</v>
      </c>
      <c r="K337">
        <v>77.400000000000006</v>
      </c>
      <c r="L337">
        <v>159.69999999999999</v>
      </c>
      <c r="M337">
        <v>349</v>
      </c>
      <c r="N337">
        <v>346</v>
      </c>
      <c r="O337">
        <v>512</v>
      </c>
      <c r="P337">
        <v>166</v>
      </c>
      <c r="Q337">
        <v>296</v>
      </c>
      <c r="R337">
        <v>512</v>
      </c>
      <c r="S337">
        <v>216</v>
      </c>
      <c r="T337">
        <v>282</v>
      </c>
      <c r="U337">
        <v>406</v>
      </c>
      <c r="V337">
        <v>411</v>
      </c>
      <c r="W337">
        <v>500</v>
      </c>
      <c r="X337">
        <v>2.79</v>
      </c>
    </row>
    <row r="338" spans="1:24" hidden="1" outlineLevel="2" x14ac:dyDescent="0.25">
      <c r="A338" t="str">
        <f t="shared" si="58"/>
        <v>AK6 - 1989</v>
      </c>
      <c r="B338" t="s">
        <v>33</v>
      </c>
      <c r="C338">
        <v>7</v>
      </c>
      <c r="D338">
        <v>5</v>
      </c>
      <c r="E338">
        <v>1989</v>
      </c>
      <c r="F338">
        <v>58.9</v>
      </c>
      <c r="G338">
        <v>11.1</v>
      </c>
      <c r="H338">
        <v>10.5</v>
      </c>
      <c r="I338">
        <v>0.6</v>
      </c>
      <c r="J338">
        <v>5</v>
      </c>
      <c r="K338">
        <v>37.200000000000003</v>
      </c>
      <c r="L338">
        <v>109</v>
      </c>
      <c r="M338">
        <v>356</v>
      </c>
      <c r="N338">
        <v>347</v>
      </c>
      <c r="O338">
        <v>527</v>
      </c>
      <c r="P338">
        <v>180</v>
      </c>
      <c r="Q338">
        <v>294</v>
      </c>
      <c r="R338">
        <v>549</v>
      </c>
      <c r="S338">
        <v>255</v>
      </c>
      <c r="T338">
        <v>220.2</v>
      </c>
      <c r="U338">
        <v>418</v>
      </c>
      <c r="V338">
        <v>420</v>
      </c>
      <c r="W338">
        <v>500</v>
      </c>
      <c r="X338">
        <v>2.79</v>
      </c>
    </row>
    <row r="339" spans="1:24" hidden="1" outlineLevel="2" x14ac:dyDescent="0.25">
      <c r="A339" t="str">
        <f t="shared" si="58"/>
        <v>AK6 - 1989</v>
      </c>
      <c r="B339" t="s">
        <v>33</v>
      </c>
      <c r="C339">
        <v>8</v>
      </c>
      <c r="D339">
        <v>5</v>
      </c>
      <c r="E339">
        <v>1989</v>
      </c>
      <c r="F339">
        <v>61.8</v>
      </c>
      <c r="G339">
        <v>18</v>
      </c>
      <c r="H339">
        <v>18</v>
      </c>
      <c r="I339">
        <v>0</v>
      </c>
      <c r="J339">
        <v>0</v>
      </c>
      <c r="K339">
        <v>59.7</v>
      </c>
      <c r="L339">
        <v>120</v>
      </c>
      <c r="M339">
        <v>311</v>
      </c>
      <c r="N339">
        <v>311</v>
      </c>
      <c r="Q339">
        <v>254</v>
      </c>
      <c r="R339">
        <v>459</v>
      </c>
      <c r="S339">
        <v>205</v>
      </c>
      <c r="T339">
        <v>222.3</v>
      </c>
      <c r="U339">
        <v>354</v>
      </c>
      <c r="V339">
        <v>355</v>
      </c>
      <c r="W339">
        <v>500</v>
      </c>
      <c r="X339">
        <v>2.79</v>
      </c>
    </row>
    <row r="340" spans="1:24" hidden="1" outlineLevel="2" x14ac:dyDescent="0.25">
      <c r="A340" t="str">
        <f t="shared" si="58"/>
        <v>AK6 - 1989</v>
      </c>
      <c r="B340" t="s">
        <v>33</v>
      </c>
      <c r="C340">
        <v>10</v>
      </c>
      <c r="D340">
        <v>5</v>
      </c>
      <c r="E340">
        <v>1989</v>
      </c>
      <c r="F340">
        <v>51.6</v>
      </c>
      <c r="G340">
        <v>20.7</v>
      </c>
      <c r="H340">
        <v>19.5</v>
      </c>
      <c r="I340">
        <v>1.2</v>
      </c>
      <c r="J340">
        <v>5</v>
      </c>
      <c r="K340">
        <v>53.7</v>
      </c>
      <c r="L340">
        <v>83.6</v>
      </c>
      <c r="M340">
        <v>383</v>
      </c>
      <c r="N340">
        <v>375</v>
      </c>
      <c r="O340">
        <v>515</v>
      </c>
      <c r="P340">
        <v>140</v>
      </c>
      <c r="Q340">
        <v>288</v>
      </c>
      <c r="R340">
        <v>523</v>
      </c>
      <c r="S340">
        <v>235</v>
      </c>
      <c r="T340">
        <v>188.1</v>
      </c>
      <c r="U340">
        <v>437</v>
      </c>
      <c r="V340">
        <v>439</v>
      </c>
      <c r="W340">
        <v>500</v>
      </c>
      <c r="X340">
        <v>2.79</v>
      </c>
    </row>
    <row r="341" spans="1:24" hidden="1" outlineLevel="2" x14ac:dyDescent="0.25">
      <c r="A341" t="str">
        <f t="shared" si="58"/>
        <v>AK6 - 1989</v>
      </c>
      <c r="B341" t="s">
        <v>33</v>
      </c>
      <c r="C341">
        <v>11</v>
      </c>
      <c r="D341">
        <v>4</v>
      </c>
      <c r="E341">
        <v>1989</v>
      </c>
      <c r="F341">
        <v>14.9</v>
      </c>
      <c r="G341">
        <v>14.9</v>
      </c>
      <c r="H341">
        <v>9.9</v>
      </c>
      <c r="I341">
        <v>0</v>
      </c>
      <c r="J341">
        <v>0</v>
      </c>
      <c r="K341">
        <v>7</v>
      </c>
      <c r="L341">
        <v>7</v>
      </c>
      <c r="M341">
        <v>374</v>
      </c>
      <c r="N341">
        <v>374</v>
      </c>
      <c r="Q341">
        <v>327</v>
      </c>
      <c r="R341">
        <v>423</v>
      </c>
      <c r="S341">
        <v>96</v>
      </c>
      <c r="T341">
        <v>108</v>
      </c>
      <c r="U341">
        <v>389</v>
      </c>
      <c r="V341">
        <v>391</v>
      </c>
      <c r="W341">
        <v>500</v>
      </c>
      <c r="X341">
        <v>2.79</v>
      </c>
    </row>
    <row r="342" spans="1:24" hidden="1" outlineLevel="2" x14ac:dyDescent="0.25">
      <c r="A342" t="str">
        <f t="shared" si="58"/>
        <v>AK6 - 1989</v>
      </c>
      <c r="B342" t="s">
        <v>33</v>
      </c>
      <c r="C342">
        <v>12</v>
      </c>
      <c r="D342">
        <v>5</v>
      </c>
      <c r="E342">
        <v>1989</v>
      </c>
      <c r="F342">
        <v>50</v>
      </c>
      <c r="G342">
        <v>9.6</v>
      </c>
      <c r="H342">
        <v>9.3000000000000007</v>
      </c>
      <c r="I342">
        <v>0.3</v>
      </c>
      <c r="J342">
        <v>3</v>
      </c>
      <c r="K342">
        <v>27.3</v>
      </c>
      <c r="L342">
        <v>78.5</v>
      </c>
      <c r="M342">
        <v>380</v>
      </c>
      <c r="N342">
        <v>375</v>
      </c>
      <c r="O342">
        <v>524</v>
      </c>
      <c r="P342">
        <v>149</v>
      </c>
      <c r="Q342">
        <v>300</v>
      </c>
      <c r="R342">
        <v>524</v>
      </c>
      <c r="S342">
        <v>224</v>
      </c>
      <c r="T342">
        <v>189.3</v>
      </c>
      <c r="U342">
        <v>426</v>
      </c>
      <c r="V342">
        <v>428</v>
      </c>
      <c r="W342">
        <v>500</v>
      </c>
      <c r="X342">
        <v>2.79</v>
      </c>
    </row>
    <row r="343" spans="1:24" hidden="1" outlineLevel="2" x14ac:dyDescent="0.25">
      <c r="A343" t="str">
        <f t="shared" si="58"/>
        <v>AK6 - 1989</v>
      </c>
      <c r="B343" t="s">
        <v>33</v>
      </c>
      <c r="C343">
        <v>13</v>
      </c>
      <c r="D343">
        <v>4</v>
      </c>
      <c r="E343">
        <v>1989</v>
      </c>
      <c r="F343">
        <v>51.5</v>
      </c>
      <c r="G343">
        <v>13.8</v>
      </c>
      <c r="H343">
        <v>13.8</v>
      </c>
      <c r="I343">
        <v>0</v>
      </c>
      <c r="J343">
        <v>0</v>
      </c>
      <c r="K343">
        <v>38.700000000000003</v>
      </c>
      <c r="L343">
        <v>83.3</v>
      </c>
      <c r="M343">
        <v>338</v>
      </c>
      <c r="N343">
        <v>338</v>
      </c>
      <c r="Q343">
        <v>273</v>
      </c>
      <c r="R343">
        <v>476</v>
      </c>
      <c r="S343">
        <v>203</v>
      </c>
      <c r="T343">
        <v>221.4</v>
      </c>
      <c r="U343">
        <v>380</v>
      </c>
      <c r="V343">
        <v>378</v>
      </c>
      <c r="W343">
        <v>500</v>
      </c>
      <c r="X343">
        <v>2.79</v>
      </c>
    </row>
    <row r="344" spans="1:24" hidden="1" outlineLevel="2" x14ac:dyDescent="0.25">
      <c r="A344" t="str">
        <f t="shared" si="58"/>
        <v>AK6 - 1989</v>
      </c>
      <c r="B344" t="s">
        <v>33</v>
      </c>
      <c r="C344">
        <v>15</v>
      </c>
      <c r="D344">
        <v>4</v>
      </c>
      <c r="E344">
        <v>1989</v>
      </c>
      <c r="F344">
        <v>56.5</v>
      </c>
      <c r="G344">
        <v>17.399999999999999</v>
      </c>
      <c r="H344">
        <v>17.100000000000001</v>
      </c>
      <c r="I344">
        <v>0.3</v>
      </c>
      <c r="J344">
        <v>1</v>
      </c>
      <c r="K344">
        <v>52.3</v>
      </c>
      <c r="L344">
        <v>100.3</v>
      </c>
      <c r="M344">
        <v>364</v>
      </c>
      <c r="N344">
        <v>362</v>
      </c>
      <c r="O344">
        <v>500</v>
      </c>
      <c r="P344">
        <v>138</v>
      </c>
      <c r="Q344">
        <v>279</v>
      </c>
      <c r="R344">
        <v>500</v>
      </c>
      <c r="S344">
        <v>221</v>
      </c>
      <c r="T344">
        <v>222.9</v>
      </c>
      <c r="U344">
        <v>390</v>
      </c>
      <c r="V344">
        <v>386</v>
      </c>
      <c r="W344">
        <v>500</v>
      </c>
      <c r="X344">
        <v>2.79</v>
      </c>
    </row>
    <row r="345" spans="1:24" hidden="1" outlineLevel="2" x14ac:dyDescent="0.25">
      <c r="A345" t="str">
        <f t="shared" si="58"/>
        <v>AK6 - 1989</v>
      </c>
      <c r="B345" t="s">
        <v>33</v>
      </c>
      <c r="C345">
        <v>14</v>
      </c>
      <c r="D345">
        <v>5</v>
      </c>
      <c r="E345">
        <v>1989</v>
      </c>
      <c r="F345">
        <v>77.099999999999994</v>
      </c>
      <c r="G345">
        <v>14.7</v>
      </c>
      <c r="H345">
        <v>14.4</v>
      </c>
      <c r="I345">
        <v>0.3</v>
      </c>
      <c r="J345">
        <v>2</v>
      </c>
      <c r="K345">
        <v>64.400000000000006</v>
      </c>
      <c r="L345">
        <v>186.7</v>
      </c>
      <c r="M345">
        <v>345</v>
      </c>
      <c r="N345">
        <v>341</v>
      </c>
      <c r="O345">
        <v>540</v>
      </c>
      <c r="P345">
        <v>199</v>
      </c>
      <c r="Q345">
        <v>270</v>
      </c>
      <c r="R345">
        <v>540</v>
      </c>
      <c r="S345">
        <v>270</v>
      </c>
      <c r="T345">
        <v>292.2</v>
      </c>
      <c r="U345">
        <v>398</v>
      </c>
      <c r="V345">
        <v>397</v>
      </c>
      <c r="W345">
        <v>500</v>
      </c>
      <c r="X345">
        <v>2.79</v>
      </c>
    </row>
    <row r="346" spans="1:24" hidden="1" outlineLevel="2" x14ac:dyDescent="0.25">
      <c r="A346" t="str">
        <f t="shared" si="58"/>
        <v>AK6 - 1989</v>
      </c>
      <c r="B346" t="s">
        <v>33</v>
      </c>
      <c r="C346" t="s">
        <v>35</v>
      </c>
      <c r="D346">
        <v>4</v>
      </c>
      <c r="E346">
        <v>1989</v>
      </c>
      <c r="F346">
        <v>47</v>
      </c>
      <c r="G346">
        <v>16.2</v>
      </c>
      <c r="H346">
        <v>15.3</v>
      </c>
      <c r="I346">
        <v>0.9</v>
      </c>
      <c r="J346">
        <v>5</v>
      </c>
      <c r="K346">
        <v>39.6</v>
      </c>
      <c r="L346">
        <v>69.400000000000006</v>
      </c>
      <c r="M346">
        <v>339</v>
      </c>
      <c r="N346">
        <v>328</v>
      </c>
      <c r="O346">
        <v>528</v>
      </c>
      <c r="P346">
        <v>200</v>
      </c>
      <c r="Q346">
        <v>273</v>
      </c>
      <c r="R346">
        <v>555</v>
      </c>
      <c r="S346">
        <v>282</v>
      </c>
      <c r="T346">
        <v>205.5</v>
      </c>
      <c r="U346">
        <v>422</v>
      </c>
      <c r="V346">
        <v>415</v>
      </c>
      <c r="W346">
        <v>500</v>
      </c>
      <c r="X346">
        <v>2.79</v>
      </c>
    </row>
    <row r="347" spans="1:24" outlineLevel="1" collapsed="1" x14ac:dyDescent="0.25">
      <c r="A347" s="8" t="s">
        <v>65</v>
      </c>
      <c r="D347">
        <f t="shared" ref="D347:V347" si="59">SUBTOTAL(1,D332:D346)</f>
        <v>4.5333333333333332</v>
      </c>
      <c r="E347">
        <f t="shared" si="59"/>
        <v>1989</v>
      </c>
      <c r="F347">
        <f t="shared" si="59"/>
        <v>57.62</v>
      </c>
      <c r="G347">
        <f t="shared" si="59"/>
        <v>15.773333333333332</v>
      </c>
      <c r="H347">
        <f t="shared" si="59"/>
        <v>15.060000000000002</v>
      </c>
      <c r="I347">
        <f t="shared" si="59"/>
        <v>0.37999999999999995</v>
      </c>
      <c r="J347">
        <f t="shared" si="59"/>
        <v>2.1333333333333333</v>
      </c>
      <c r="K347">
        <f t="shared" si="59"/>
        <v>48.93333333333333</v>
      </c>
      <c r="L347">
        <f t="shared" si="59"/>
        <v>112.2</v>
      </c>
      <c r="M347">
        <f t="shared" si="59"/>
        <v>354.6</v>
      </c>
      <c r="N347">
        <f t="shared" si="59"/>
        <v>350.6</v>
      </c>
      <c r="O347">
        <f t="shared" si="59"/>
        <v>518.27272727272725</v>
      </c>
      <c r="P347">
        <f t="shared" si="59"/>
        <v>162.09090909090909</v>
      </c>
      <c r="Q347">
        <f t="shared" si="59"/>
        <v>287.66666666666669</v>
      </c>
      <c r="R347">
        <f t="shared" si="59"/>
        <v>506.8</v>
      </c>
      <c r="S347">
        <f t="shared" si="59"/>
        <v>219.13333333333333</v>
      </c>
      <c r="T347">
        <f t="shared" si="59"/>
        <v>214.06</v>
      </c>
      <c r="U347">
        <f t="shared" si="59"/>
        <v>403.86666666666667</v>
      </c>
      <c r="V347">
        <f t="shared" si="59"/>
        <v>401.4</v>
      </c>
    </row>
    <row r="348" spans="1:24" hidden="1" outlineLevel="2" x14ac:dyDescent="0.25">
      <c r="A348" t="str">
        <f t="shared" ref="A348:A362" si="60">CONCATENATE(B348," - ",E348)</f>
        <v>AK6 - 1990</v>
      </c>
      <c r="B348" t="s">
        <v>33</v>
      </c>
      <c r="C348">
        <v>1</v>
      </c>
      <c r="D348">
        <v>5</v>
      </c>
      <c r="E348">
        <v>1990</v>
      </c>
      <c r="F348">
        <v>62.4</v>
      </c>
      <c r="G348">
        <v>10.5</v>
      </c>
      <c r="H348">
        <v>9</v>
      </c>
      <c r="I348">
        <v>1.5</v>
      </c>
      <c r="J348">
        <v>14</v>
      </c>
      <c r="K348">
        <v>37.700000000000003</v>
      </c>
      <c r="L348">
        <v>122.3</v>
      </c>
      <c r="M348">
        <v>398</v>
      </c>
      <c r="N348">
        <v>377</v>
      </c>
      <c r="O348">
        <v>520</v>
      </c>
      <c r="P348">
        <v>143</v>
      </c>
      <c r="Q348">
        <v>280</v>
      </c>
      <c r="R348">
        <v>539</v>
      </c>
      <c r="S348">
        <v>259</v>
      </c>
      <c r="T348">
        <v>211.8</v>
      </c>
      <c r="U348">
        <v>420</v>
      </c>
      <c r="V348">
        <v>413</v>
      </c>
      <c r="W348">
        <v>500</v>
      </c>
      <c r="X348">
        <v>2.79</v>
      </c>
    </row>
    <row r="349" spans="1:24" hidden="1" outlineLevel="2" x14ac:dyDescent="0.25">
      <c r="A349" t="str">
        <f t="shared" si="60"/>
        <v>AK6 - 1990</v>
      </c>
      <c r="B349" t="s">
        <v>33</v>
      </c>
      <c r="C349">
        <v>2</v>
      </c>
      <c r="D349">
        <v>6</v>
      </c>
      <c r="E349">
        <v>1990</v>
      </c>
      <c r="F349">
        <v>79.599999999999994</v>
      </c>
      <c r="G349">
        <v>14.1</v>
      </c>
      <c r="H349">
        <v>13.8</v>
      </c>
      <c r="I349">
        <v>0.3</v>
      </c>
      <c r="J349">
        <v>2</v>
      </c>
      <c r="K349">
        <v>64.3</v>
      </c>
      <c r="L349">
        <v>199.1</v>
      </c>
      <c r="M349">
        <v>371</v>
      </c>
      <c r="N349">
        <v>368</v>
      </c>
      <c r="O349">
        <v>523</v>
      </c>
      <c r="P349">
        <v>155</v>
      </c>
      <c r="Q349">
        <v>297</v>
      </c>
      <c r="R349">
        <v>523</v>
      </c>
      <c r="S349">
        <v>226</v>
      </c>
      <c r="T349">
        <v>193.8</v>
      </c>
      <c r="U349">
        <v>412</v>
      </c>
      <c r="V349">
        <v>396</v>
      </c>
      <c r="W349">
        <v>500</v>
      </c>
      <c r="X349">
        <v>2.79</v>
      </c>
    </row>
    <row r="350" spans="1:24" hidden="1" outlineLevel="2" x14ac:dyDescent="0.25">
      <c r="A350" t="str">
        <f t="shared" si="60"/>
        <v>AK6 - 1990</v>
      </c>
      <c r="B350" t="s">
        <v>33</v>
      </c>
      <c r="C350">
        <v>3</v>
      </c>
      <c r="D350">
        <v>6</v>
      </c>
      <c r="E350">
        <v>1990</v>
      </c>
      <c r="F350">
        <v>84.4</v>
      </c>
      <c r="G350">
        <v>9.9</v>
      </c>
      <c r="H350">
        <v>8.6999999999999993</v>
      </c>
      <c r="I350">
        <v>1.2</v>
      </c>
      <c r="J350">
        <v>12</v>
      </c>
      <c r="K350">
        <v>49.4</v>
      </c>
      <c r="L350">
        <v>223.8</v>
      </c>
      <c r="M350">
        <v>391</v>
      </c>
      <c r="N350">
        <v>371</v>
      </c>
      <c r="O350">
        <v>533</v>
      </c>
      <c r="P350">
        <v>162</v>
      </c>
      <c r="Q350">
        <v>320</v>
      </c>
      <c r="R350">
        <v>560</v>
      </c>
      <c r="S350">
        <v>240</v>
      </c>
      <c r="T350">
        <v>261.89999999999998</v>
      </c>
      <c r="U350">
        <v>404</v>
      </c>
      <c r="V350">
        <v>407</v>
      </c>
      <c r="W350">
        <v>500</v>
      </c>
      <c r="X350">
        <v>2.79</v>
      </c>
    </row>
    <row r="351" spans="1:24" hidden="1" outlineLevel="2" x14ac:dyDescent="0.25">
      <c r="A351" t="str">
        <f t="shared" si="60"/>
        <v>AK6 - 1990</v>
      </c>
      <c r="B351" t="s">
        <v>33</v>
      </c>
      <c r="C351">
        <v>4</v>
      </c>
      <c r="D351">
        <v>5</v>
      </c>
      <c r="E351">
        <v>1990</v>
      </c>
      <c r="F351">
        <v>60</v>
      </c>
      <c r="G351">
        <v>11.4</v>
      </c>
      <c r="H351">
        <v>11.4</v>
      </c>
      <c r="I351">
        <v>0</v>
      </c>
      <c r="J351">
        <v>0</v>
      </c>
      <c r="K351">
        <v>38.9</v>
      </c>
      <c r="L351">
        <v>113.1</v>
      </c>
      <c r="M351">
        <v>364</v>
      </c>
      <c r="N351">
        <v>364</v>
      </c>
      <c r="Q351">
        <v>314</v>
      </c>
      <c r="R351">
        <v>491</v>
      </c>
      <c r="S351">
        <v>177</v>
      </c>
      <c r="T351">
        <v>166.8</v>
      </c>
      <c r="U351">
        <v>412</v>
      </c>
      <c r="V351">
        <v>409</v>
      </c>
      <c r="W351">
        <v>500</v>
      </c>
      <c r="X351">
        <v>2.79</v>
      </c>
    </row>
    <row r="352" spans="1:24" hidden="1" outlineLevel="2" x14ac:dyDescent="0.25">
      <c r="A352" t="str">
        <f t="shared" si="60"/>
        <v>AK6 - 1990</v>
      </c>
      <c r="B352" t="s">
        <v>33</v>
      </c>
      <c r="C352">
        <v>5</v>
      </c>
      <c r="D352">
        <v>5</v>
      </c>
      <c r="E352">
        <v>1990</v>
      </c>
      <c r="F352">
        <v>97.9</v>
      </c>
      <c r="G352">
        <v>14.7</v>
      </c>
      <c r="H352">
        <v>14.4</v>
      </c>
      <c r="I352">
        <v>0.3</v>
      </c>
      <c r="J352">
        <v>2</v>
      </c>
      <c r="K352">
        <v>83.6</v>
      </c>
      <c r="L352">
        <v>301.10000000000002</v>
      </c>
      <c r="M352">
        <v>326</v>
      </c>
      <c r="N352">
        <v>322</v>
      </c>
      <c r="O352">
        <v>512</v>
      </c>
      <c r="P352">
        <v>190</v>
      </c>
      <c r="Q352">
        <v>265</v>
      </c>
      <c r="R352">
        <v>512</v>
      </c>
      <c r="S352">
        <v>247</v>
      </c>
      <c r="T352">
        <v>224.7</v>
      </c>
      <c r="U352">
        <v>390</v>
      </c>
      <c r="V352">
        <v>376</v>
      </c>
      <c r="W352">
        <v>500</v>
      </c>
      <c r="X352">
        <v>2.79</v>
      </c>
    </row>
    <row r="353" spans="1:24" hidden="1" outlineLevel="2" x14ac:dyDescent="0.25">
      <c r="A353" t="str">
        <f t="shared" si="60"/>
        <v>AK6 - 1990</v>
      </c>
      <c r="B353" t="s">
        <v>33</v>
      </c>
      <c r="C353">
        <v>6</v>
      </c>
      <c r="D353">
        <v>6</v>
      </c>
      <c r="E353">
        <v>1990</v>
      </c>
      <c r="F353">
        <v>92</v>
      </c>
      <c r="G353">
        <v>20.7</v>
      </c>
      <c r="H353">
        <v>20.100000000000001</v>
      </c>
      <c r="I353">
        <v>0.6</v>
      </c>
      <c r="J353">
        <v>2</v>
      </c>
      <c r="K353">
        <v>106.2</v>
      </c>
      <c r="L353">
        <v>265.89999999999998</v>
      </c>
      <c r="M353">
        <v>360</v>
      </c>
      <c r="N353">
        <v>356</v>
      </c>
      <c r="O353">
        <v>516</v>
      </c>
      <c r="P353">
        <v>160</v>
      </c>
      <c r="Q353">
        <v>313</v>
      </c>
      <c r="R353">
        <v>530</v>
      </c>
      <c r="S353">
        <v>217</v>
      </c>
      <c r="T353">
        <v>282</v>
      </c>
      <c r="U353">
        <v>406</v>
      </c>
      <c r="V353">
        <v>411</v>
      </c>
      <c r="W353">
        <v>500</v>
      </c>
      <c r="X353">
        <v>2.79</v>
      </c>
    </row>
    <row r="354" spans="1:24" hidden="1" outlineLevel="2" x14ac:dyDescent="0.25">
      <c r="A354" t="str">
        <f t="shared" si="60"/>
        <v>AK6 - 1990</v>
      </c>
      <c r="B354" t="s">
        <v>33</v>
      </c>
      <c r="C354">
        <v>7</v>
      </c>
      <c r="D354">
        <v>6</v>
      </c>
      <c r="E354">
        <v>1990</v>
      </c>
      <c r="F354">
        <v>69.7</v>
      </c>
      <c r="G354">
        <v>10.8</v>
      </c>
      <c r="H354">
        <v>9.9</v>
      </c>
      <c r="I354">
        <v>0.9</v>
      </c>
      <c r="J354">
        <v>8</v>
      </c>
      <c r="K354">
        <v>43.6</v>
      </c>
      <c r="L354">
        <v>152.6</v>
      </c>
      <c r="M354">
        <v>360</v>
      </c>
      <c r="N354">
        <v>343</v>
      </c>
      <c r="O354">
        <v>553</v>
      </c>
      <c r="P354">
        <v>210</v>
      </c>
      <c r="Q354">
        <v>278</v>
      </c>
      <c r="R354">
        <v>566</v>
      </c>
      <c r="S354">
        <v>288</v>
      </c>
      <c r="T354">
        <v>220.2</v>
      </c>
      <c r="U354">
        <v>418</v>
      </c>
      <c r="V354">
        <v>420</v>
      </c>
      <c r="W354">
        <v>500</v>
      </c>
      <c r="X354">
        <v>2.79</v>
      </c>
    </row>
    <row r="355" spans="1:24" hidden="1" outlineLevel="2" x14ac:dyDescent="0.25">
      <c r="A355" t="str">
        <f t="shared" si="60"/>
        <v>AK6 - 1990</v>
      </c>
      <c r="B355" t="s">
        <v>33</v>
      </c>
      <c r="C355">
        <v>8</v>
      </c>
      <c r="D355">
        <v>6</v>
      </c>
      <c r="E355">
        <v>1990</v>
      </c>
      <c r="F355">
        <v>77.7</v>
      </c>
      <c r="G355">
        <v>15.9</v>
      </c>
      <c r="H355">
        <v>15.6</v>
      </c>
      <c r="I355">
        <v>0.3</v>
      </c>
      <c r="J355">
        <v>1</v>
      </c>
      <c r="K355">
        <v>69.7</v>
      </c>
      <c r="L355">
        <v>189.7</v>
      </c>
      <c r="M355">
        <v>310</v>
      </c>
      <c r="N355">
        <v>306</v>
      </c>
      <c r="O355">
        <v>509</v>
      </c>
      <c r="P355">
        <v>203</v>
      </c>
      <c r="Q355">
        <v>236</v>
      </c>
      <c r="R355">
        <v>509</v>
      </c>
      <c r="S355">
        <v>273</v>
      </c>
      <c r="T355">
        <v>222.3</v>
      </c>
      <c r="U355">
        <v>354</v>
      </c>
      <c r="V355">
        <v>355</v>
      </c>
      <c r="W355">
        <v>500</v>
      </c>
      <c r="X355">
        <v>2.79</v>
      </c>
    </row>
    <row r="356" spans="1:24" hidden="1" outlineLevel="2" x14ac:dyDescent="0.25">
      <c r="A356" t="str">
        <f t="shared" si="60"/>
        <v>AK6 - 1990</v>
      </c>
      <c r="B356" t="s">
        <v>33</v>
      </c>
      <c r="C356">
        <v>10</v>
      </c>
      <c r="D356">
        <v>6</v>
      </c>
      <c r="E356">
        <v>1990</v>
      </c>
      <c r="F356">
        <v>63.9</v>
      </c>
      <c r="G356">
        <v>12.3</v>
      </c>
      <c r="H356">
        <v>11.1</v>
      </c>
      <c r="I356">
        <v>1.2</v>
      </c>
      <c r="J356">
        <v>9</v>
      </c>
      <c r="K356">
        <v>44.6</v>
      </c>
      <c r="L356">
        <v>128.30000000000001</v>
      </c>
      <c r="M356">
        <v>410</v>
      </c>
      <c r="N356">
        <v>399</v>
      </c>
      <c r="O356">
        <v>509</v>
      </c>
      <c r="P356">
        <v>110</v>
      </c>
      <c r="Q356">
        <v>327</v>
      </c>
      <c r="R356">
        <v>519</v>
      </c>
      <c r="S356">
        <v>192</v>
      </c>
      <c r="T356">
        <v>188.1</v>
      </c>
      <c r="U356">
        <v>437</v>
      </c>
      <c r="V356">
        <v>439</v>
      </c>
      <c r="W356">
        <v>500</v>
      </c>
      <c r="X356">
        <v>2.79</v>
      </c>
    </row>
    <row r="357" spans="1:24" hidden="1" outlineLevel="2" x14ac:dyDescent="0.25">
      <c r="A357" t="str">
        <f t="shared" si="60"/>
        <v>AK6 - 1990</v>
      </c>
      <c r="B357" t="s">
        <v>33</v>
      </c>
      <c r="C357">
        <v>11</v>
      </c>
      <c r="D357">
        <v>5</v>
      </c>
      <c r="E357">
        <v>1990</v>
      </c>
      <c r="F357">
        <v>28.1</v>
      </c>
      <c r="G357">
        <v>13.2</v>
      </c>
      <c r="H357">
        <v>13.2</v>
      </c>
      <c r="I357">
        <v>0</v>
      </c>
      <c r="J357">
        <v>0</v>
      </c>
      <c r="K357">
        <v>17.8</v>
      </c>
      <c r="L357">
        <v>24.8</v>
      </c>
      <c r="M357">
        <v>334</v>
      </c>
      <c r="N357">
        <v>334</v>
      </c>
      <c r="Q357">
        <v>280</v>
      </c>
      <c r="R357">
        <v>488</v>
      </c>
      <c r="S357">
        <v>208</v>
      </c>
      <c r="T357">
        <v>108</v>
      </c>
      <c r="U357">
        <v>389</v>
      </c>
      <c r="V357">
        <v>391</v>
      </c>
      <c r="W357">
        <v>500</v>
      </c>
      <c r="X357">
        <v>2.79</v>
      </c>
    </row>
    <row r="358" spans="1:24" hidden="1" outlineLevel="2" x14ac:dyDescent="0.25">
      <c r="A358" t="str">
        <f t="shared" si="60"/>
        <v>AK6 - 1990</v>
      </c>
      <c r="B358" t="s">
        <v>33</v>
      </c>
      <c r="C358">
        <v>12</v>
      </c>
      <c r="D358">
        <v>6</v>
      </c>
      <c r="E358">
        <v>1990</v>
      </c>
      <c r="F358">
        <v>58.4</v>
      </c>
      <c r="G358">
        <v>8.4</v>
      </c>
      <c r="H358">
        <v>8.1</v>
      </c>
      <c r="I358">
        <v>0.3</v>
      </c>
      <c r="J358">
        <v>3</v>
      </c>
      <c r="K358">
        <v>28.6</v>
      </c>
      <c r="L358">
        <v>107.1</v>
      </c>
      <c r="M358">
        <v>364</v>
      </c>
      <c r="N358">
        <v>357</v>
      </c>
      <c r="O358">
        <v>544</v>
      </c>
      <c r="P358">
        <v>187</v>
      </c>
      <c r="Q358">
        <v>298</v>
      </c>
      <c r="R358">
        <v>544</v>
      </c>
      <c r="S358">
        <v>246</v>
      </c>
      <c r="T358">
        <v>189.3</v>
      </c>
      <c r="U358">
        <v>426</v>
      </c>
      <c r="V358">
        <v>428</v>
      </c>
      <c r="W358">
        <v>500</v>
      </c>
      <c r="X358">
        <v>2.79</v>
      </c>
    </row>
    <row r="359" spans="1:24" hidden="1" outlineLevel="2" x14ac:dyDescent="0.25">
      <c r="A359" t="str">
        <f t="shared" si="60"/>
        <v>AK6 - 1990</v>
      </c>
      <c r="B359" t="s">
        <v>33</v>
      </c>
      <c r="C359">
        <v>13</v>
      </c>
      <c r="D359">
        <v>5</v>
      </c>
      <c r="E359">
        <v>1990</v>
      </c>
      <c r="F359">
        <v>64.099999999999994</v>
      </c>
      <c r="G359">
        <v>12.6</v>
      </c>
      <c r="H359">
        <v>12</v>
      </c>
      <c r="I359">
        <v>0.6</v>
      </c>
      <c r="J359">
        <v>4</v>
      </c>
      <c r="K359">
        <v>45.8</v>
      </c>
      <c r="L359">
        <v>129.1</v>
      </c>
      <c r="M359">
        <v>338</v>
      </c>
      <c r="N359">
        <v>329</v>
      </c>
      <c r="O359">
        <v>517</v>
      </c>
      <c r="P359">
        <v>188</v>
      </c>
      <c r="Q359">
        <v>259</v>
      </c>
      <c r="R359">
        <v>518</v>
      </c>
      <c r="S359">
        <v>259</v>
      </c>
      <c r="T359">
        <v>221.4</v>
      </c>
      <c r="U359">
        <v>380</v>
      </c>
      <c r="V359">
        <v>378</v>
      </c>
      <c r="W359">
        <v>500</v>
      </c>
      <c r="X359">
        <v>2.79</v>
      </c>
    </row>
    <row r="360" spans="1:24" hidden="1" outlineLevel="2" x14ac:dyDescent="0.25">
      <c r="A360" t="str">
        <f t="shared" si="60"/>
        <v>AK6 - 1990</v>
      </c>
      <c r="B360" t="s">
        <v>33</v>
      </c>
      <c r="C360">
        <v>15</v>
      </c>
      <c r="D360">
        <v>5</v>
      </c>
      <c r="E360">
        <v>1990</v>
      </c>
      <c r="F360">
        <v>71.8</v>
      </c>
      <c r="G360">
        <v>15.3</v>
      </c>
      <c r="H360">
        <v>15.3</v>
      </c>
      <c r="I360">
        <v>0</v>
      </c>
      <c r="J360">
        <v>0</v>
      </c>
      <c r="K360">
        <v>61.7</v>
      </c>
      <c r="L360">
        <v>162</v>
      </c>
      <c r="M360">
        <v>338</v>
      </c>
      <c r="N360">
        <v>338</v>
      </c>
      <c r="Q360">
        <v>258</v>
      </c>
      <c r="R360">
        <v>494</v>
      </c>
      <c r="S360">
        <v>236</v>
      </c>
      <c r="T360">
        <v>222.9</v>
      </c>
      <c r="U360">
        <v>390</v>
      </c>
      <c r="V360">
        <v>386</v>
      </c>
      <c r="W360">
        <v>500</v>
      </c>
      <c r="X360">
        <v>2.79</v>
      </c>
    </row>
    <row r="361" spans="1:24" hidden="1" outlineLevel="2" x14ac:dyDescent="0.25">
      <c r="A361" t="str">
        <f t="shared" si="60"/>
        <v>AK6 - 1990</v>
      </c>
      <c r="B361" t="s">
        <v>33</v>
      </c>
      <c r="C361">
        <v>14</v>
      </c>
      <c r="D361">
        <v>6</v>
      </c>
      <c r="E361">
        <v>1990</v>
      </c>
      <c r="F361">
        <v>91.5</v>
      </c>
      <c r="G361">
        <v>14.4</v>
      </c>
      <c r="H361">
        <v>13.5</v>
      </c>
      <c r="I361">
        <v>0.9</v>
      </c>
      <c r="J361">
        <v>6</v>
      </c>
      <c r="K361">
        <v>76.3</v>
      </c>
      <c r="L361">
        <v>263</v>
      </c>
      <c r="M361">
        <v>350</v>
      </c>
      <c r="N361">
        <v>339</v>
      </c>
      <c r="O361">
        <v>519</v>
      </c>
      <c r="P361">
        <v>180</v>
      </c>
      <c r="Q361">
        <v>262</v>
      </c>
      <c r="R361">
        <v>533</v>
      </c>
      <c r="S361">
        <v>271</v>
      </c>
      <c r="T361">
        <v>292.2</v>
      </c>
      <c r="U361">
        <v>398</v>
      </c>
      <c r="V361">
        <v>397</v>
      </c>
      <c r="W361">
        <v>500</v>
      </c>
      <c r="X361">
        <v>2.79</v>
      </c>
    </row>
    <row r="362" spans="1:24" hidden="1" outlineLevel="2" x14ac:dyDescent="0.25">
      <c r="A362" t="str">
        <f t="shared" si="60"/>
        <v>AK6 - 1990</v>
      </c>
      <c r="B362" t="s">
        <v>33</v>
      </c>
      <c r="C362" t="s">
        <v>35</v>
      </c>
      <c r="D362">
        <v>5</v>
      </c>
      <c r="E362">
        <v>1990</v>
      </c>
      <c r="F362">
        <v>59.3</v>
      </c>
      <c r="G362">
        <v>12.3</v>
      </c>
      <c r="H362">
        <v>11.7</v>
      </c>
      <c r="I362">
        <v>0.6</v>
      </c>
      <c r="J362">
        <v>4</v>
      </c>
      <c r="K362">
        <v>41.1</v>
      </c>
      <c r="L362">
        <v>110.5</v>
      </c>
      <c r="M362">
        <v>348</v>
      </c>
      <c r="N362">
        <v>339</v>
      </c>
      <c r="O362">
        <v>521</v>
      </c>
      <c r="P362">
        <v>182</v>
      </c>
      <c r="Q362">
        <v>286</v>
      </c>
      <c r="R362">
        <v>524</v>
      </c>
      <c r="S362">
        <v>238</v>
      </c>
      <c r="T362">
        <v>205.5</v>
      </c>
      <c r="U362">
        <v>422</v>
      </c>
      <c r="V362">
        <v>415</v>
      </c>
      <c r="W362">
        <v>500</v>
      </c>
      <c r="X362">
        <v>2.79</v>
      </c>
    </row>
    <row r="363" spans="1:24" outlineLevel="1" collapsed="1" x14ac:dyDescent="0.25">
      <c r="A363" s="8" t="s">
        <v>66</v>
      </c>
      <c r="D363">
        <f t="shared" ref="D363:V363" si="61">SUBTOTAL(1,D348:D362)</f>
        <v>5.5333333333333332</v>
      </c>
      <c r="E363">
        <f t="shared" si="61"/>
        <v>1990</v>
      </c>
      <c r="F363">
        <f t="shared" si="61"/>
        <v>70.72</v>
      </c>
      <c r="G363">
        <f t="shared" si="61"/>
        <v>13.100000000000001</v>
      </c>
      <c r="H363">
        <f t="shared" si="61"/>
        <v>12.520000000000001</v>
      </c>
      <c r="I363">
        <f t="shared" si="61"/>
        <v>0.57999999999999996</v>
      </c>
      <c r="J363">
        <f t="shared" si="61"/>
        <v>4.4666666666666668</v>
      </c>
      <c r="K363">
        <f t="shared" si="61"/>
        <v>53.953333333333333</v>
      </c>
      <c r="L363">
        <f t="shared" si="61"/>
        <v>166.15999999999997</v>
      </c>
      <c r="M363">
        <f t="shared" si="61"/>
        <v>357.46666666666664</v>
      </c>
      <c r="N363">
        <f t="shared" si="61"/>
        <v>349.46666666666664</v>
      </c>
      <c r="O363">
        <f t="shared" si="61"/>
        <v>523</v>
      </c>
      <c r="P363">
        <f t="shared" si="61"/>
        <v>172.5</v>
      </c>
      <c r="Q363">
        <f t="shared" si="61"/>
        <v>284.86666666666667</v>
      </c>
      <c r="R363">
        <f t="shared" si="61"/>
        <v>523.33333333333337</v>
      </c>
      <c r="S363">
        <f t="shared" si="61"/>
        <v>238.46666666666667</v>
      </c>
      <c r="T363">
        <f t="shared" si="61"/>
        <v>214.06</v>
      </c>
      <c r="U363">
        <f t="shared" si="61"/>
        <v>403.86666666666667</v>
      </c>
      <c r="V363">
        <f t="shared" si="61"/>
        <v>401.4</v>
      </c>
    </row>
    <row r="364" spans="1:24" hidden="1" outlineLevel="2" x14ac:dyDescent="0.25">
      <c r="A364" t="str">
        <f t="shared" ref="A364:A378" si="62">CONCATENATE(B364," - ",E364)</f>
        <v>AK6 - 1991</v>
      </c>
      <c r="B364" t="s">
        <v>33</v>
      </c>
      <c r="C364">
        <v>1</v>
      </c>
      <c r="D364">
        <v>6</v>
      </c>
      <c r="E364">
        <v>1991</v>
      </c>
      <c r="F364">
        <v>76.2</v>
      </c>
      <c r="G364">
        <v>13.8</v>
      </c>
      <c r="H364">
        <v>12</v>
      </c>
      <c r="I364">
        <v>1.8</v>
      </c>
      <c r="J364">
        <v>13</v>
      </c>
      <c r="K364">
        <v>60.1</v>
      </c>
      <c r="L364">
        <v>182.4</v>
      </c>
      <c r="M364">
        <v>381</v>
      </c>
      <c r="N364">
        <v>359</v>
      </c>
      <c r="O364">
        <v>530</v>
      </c>
      <c r="P364">
        <v>171</v>
      </c>
      <c r="Q364">
        <v>327</v>
      </c>
      <c r="R364">
        <v>547</v>
      </c>
      <c r="S364">
        <v>220</v>
      </c>
      <c r="T364">
        <v>211.8</v>
      </c>
      <c r="U364">
        <v>420</v>
      </c>
      <c r="V364">
        <v>413</v>
      </c>
      <c r="W364">
        <v>500</v>
      </c>
      <c r="X364">
        <v>2.79</v>
      </c>
    </row>
    <row r="365" spans="1:24" hidden="1" outlineLevel="2" x14ac:dyDescent="0.25">
      <c r="A365" t="str">
        <f t="shared" si="62"/>
        <v>AK6 - 1991</v>
      </c>
      <c r="B365" t="s">
        <v>33</v>
      </c>
      <c r="C365">
        <v>2</v>
      </c>
      <c r="D365">
        <v>7</v>
      </c>
      <c r="E365">
        <v>1991</v>
      </c>
      <c r="F365">
        <v>91.6</v>
      </c>
      <c r="G365">
        <v>12</v>
      </c>
      <c r="H365">
        <v>10.8</v>
      </c>
      <c r="I365">
        <v>1.2</v>
      </c>
      <c r="J365">
        <v>10</v>
      </c>
      <c r="K365">
        <v>64.5</v>
      </c>
      <c r="L365">
        <v>263.60000000000002</v>
      </c>
      <c r="M365">
        <v>392</v>
      </c>
      <c r="N365">
        <v>377</v>
      </c>
      <c r="O365">
        <v>526</v>
      </c>
      <c r="P365">
        <v>149</v>
      </c>
      <c r="Q365">
        <v>296</v>
      </c>
      <c r="R365">
        <v>549</v>
      </c>
      <c r="S365">
        <v>253</v>
      </c>
      <c r="T365">
        <v>193.8</v>
      </c>
      <c r="U365">
        <v>412</v>
      </c>
      <c r="V365">
        <v>396</v>
      </c>
      <c r="W365">
        <v>500</v>
      </c>
      <c r="X365">
        <v>2.79</v>
      </c>
    </row>
    <row r="366" spans="1:24" hidden="1" outlineLevel="2" x14ac:dyDescent="0.25">
      <c r="A366" t="str">
        <f t="shared" si="62"/>
        <v>AK6 - 1991</v>
      </c>
      <c r="B366" t="s">
        <v>33</v>
      </c>
      <c r="C366">
        <v>3</v>
      </c>
      <c r="D366">
        <v>7</v>
      </c>
      <c r="E366">
        <v>1991</v>
      </c>
      <c r="F366">
        <v>93.4</v>
      </c>
      <c r="G366">
        <v>9</v>
      </c>
      <c r="H366">
        <v>7.8</v>
      </c>
      <c r="I366">
        <v>1.2</v>
      </c>
      <c r="J366">
        <v>13</v>
      </c>
      <c r="K366">
        <v>50.3</v>
      </c>
      <c r="L366">
        <v>274.10000000000002</v>
      </c>
      <c r="M366">
        <v>401</v>
      </c>
      <c r="N366">
        <v>379</v>
      </c>
      <c r="O366">
        <v>540</v>
      </c>
      <c r="P366">
        <v>161</v>
      </c>
      <c r="Q366">
        <v>321</v>
      </c>
      <c r="R366">
        <v>547</v>
      </c>
      <c r="S366">
        <v>226</v>
      </c>
      <c r="T366">
        <v>261.89999999999998</v>
      </c>
      <c r="U366">
        <v>404</v>
      </c>
      <c r="V366">
        <v>407</v>
      </c>
      <c r="W366">
        <v>500</v>
      </c>
      <c r="X366">
        <v>2.79</v>
      </c>
    </row>
    <row r="367" spans="1:24" hidden="1" outlineLevel="2" x14ac:dyDescent="0.25">
      <c r="A367" t="str">
        <f t="shared" si="62"/>
        <v>AK6 - 1991</v>
      </c>
      <c r="B367" t="s">
        <v>33</v>
      </c>
      <c r="C367">
        <v>4</v>
      </c>
      <c r="D367">
        <v>6</v>
      </c>
      <c r="E367">
        <v>1991</v>
      </c>
      <c r="F367">
        <v>68.400000000000006</v>
      </c>
      <c r="G367">
        <v>8.4</v>
      </c>
      <c r="H367">
        <v>6.9</v>
      </c>
      <c r="I367">
        <v>1.5</v>
      </c>
      <c r="J367">
        <v>17</v>
      </c>
      <c r="K367">
        <v>33.9</v>
      </c>
      <c r="L367">
        <v>147</v>
      </c>
      <c r="M367">
        <v>410</v>
      </c>
      <c r="N367">
        <v>381</v>
      </c>
      <c r="O367">
        <v>545</v>
      </c>
      <c r="P367">
        <v>164</v>
      </c>
      <c r="Q367">
        <v>327</v>
      </c>
      <c r="R367">
        <v>575</v>
      </c>
      <c r="S367">
        <v>248</v>
      </c>
      <c r="T367">
        <v>166.8</v>
      </c>
      <c r="U367">
        <v>412</v>
      </c>
      <c r="V367">
        <v>409</v>
      </c>
      <c r="W367">
        <v>500</v>
      </c>
      <c r="X367">
        <v>2.79</v>
      </c>
    </row>
    <row r="368" spans="1:24" hidden="1" outlineLevel="2" x14ac:dyDescent="0.25">
      <c r="A368" t="str">
        <f t="shared" si="62"/>
        <v>AK6 - 1991</v>
      </c>
      <c r="B368" t="s">
        <v>33</v>
      </c>
      <c r="C368">
        <v>5</v>
      </c>
      <c r="D368">
        <v>6</v>
      </c>
      <c r="E368">
        <v>1991</v>
      </c>
      <c r="F368">
        <v>109.9</v>
      </c>
      <c r="G368">
        <v>12</v>
      </c>
      <c r="H368">
        <v>11.1</v>
      </c>
      <c r="I368">
        <v>0.9</v>
      </c>
      <c r="J368">
        <v>7</v>
      </c>
      <c r="K368">
        <v>78.3</v>
      </c>
      <c r="L368">
        <v>379.4</v>
      </c>
      <c r="M368">
        <v>347</v>
      </c>
      <c r="N368">
        <v>333</v>
      </c>
      <c r="O368">
        <v>514</v>
      </c>
      <c r="P368">
        <v>181</v>
      </c>
      <c r="Q368">
        <v>280</v>
      </c>
      <c r="R368">
        <v>517</v>
      </c>
      <c r="S368">
        <v>237</v>
      </c>
      <c r="T368">
        <v>224.7</v>
      </c>
      <c r="U368">
        <v>390</v>
      </c>
      <c r="V368">
        <v>376</v>
      </c>
      <c r="W368">
        <v>500</v>
      </c>
      <c r="X368">
        <v>2.79</v>
      </c>
    </row>
    <row r="369" spans="1:24" hidden="1" outlineLevel="2" x14ac:dyDescent="0.25">
      <c r="A369" t="str">
        <f t="shared" si="62"/>
        <v>AK6 - 1991</v>
      </c>
      <c r="B369" t="s">
        <v>33</v>
      </c>
      <c r="C369">
        <v>6</v>
      </c>
      <c r="D369">
        <v>7</v>
      </c>
      <c r="E369">
        <v>1991</v>
      </c>
      <c r="F369">
        <v>108.2</v>
      </c>
      <c r="G369">
        <v>16.2</v>
      </c>
      <c r="H369">
        <v>14.7</v>
      </c>
      <c r="I369">
        <v>1.5</v>
      </c>
      <c r="J369">
        <v>9</v>
      </c>
      <c r="K369">
        <v>101.9</v>
      </c>
      <c r="L369">
        <v>367.8</v>
      </c>
      <c r="M369">
        <v>384</v>
      </c>
      <c r="N369">
        <v>370</v>
      </c>
      <c r="O369">
        <v>520</v>
      </c>
      <c r="P369">
        <v>150</v>
      </c>
      <c r="Q369">
        <v>325</v>
      </c>
      <c r="R369">
        <v>540</v>
      </c>
      <c r="S369">
        <v>215</v>
      </c>
      <c r="T369">
        <v>282</v>
      </c>
      <c r="U369">
        <v>406</v>
      </c>
      <c r="V369">
        <v>411</v>
      </c>
      <c r="W369">
        <v>500</v>
      </c>
      <c r="X369">
        <v>2.79</v>
      </c>
    </row>
    <row r="370" spans="1:24" hidden="1" outlineLevel="2" x14ac:dyDescent="0.25">
      <c r="A370" t="str">
        <f t="shared" si="62"/>
        <v>AK6 - 1991</v>
      </c>
      <c r="B370" t="s">
        <v>33</v>
      </c>
      <c r="C370">
        <v>7</v>
      </c>
      <c r="D370">
        <v>7</v>
      </c>
      <c r="E370">
        <v>1991</v>
      </c>
      <c r="F370">
        <v>81.400000000000006</v>
      </c>
      <c r="G370">
        <v>11.7</v>
      </c>
      <c r="H370">
        <v>10.199999999999999</v>
      </c>
      <c r="I370">
        <v>1.5</v>
      </c>
      <c r="J370">
        <v>12</v>
      </c>
      <c r="K370">
        <v>55.5</v>
      </c>
      <c r="L370">
        <v>208.2</v>
      </c>
      <c r="M370">
        <v>389</v>
      </c>
      <c r="N370">
        <v>370</v>
      </c>
      <c r="O370">
        <v>515</v>
      </c>
      <c r="P370">
        <v>145</v>
      </c>
      <c r="Q370">
        <v>304</v>
      </c>
      <c r="R370">
        <v>531</v>
      </c>
      <c r="S370">
        <v>227</v>
      </c>
      <c r="T370">
        <v>220.2</v>
      </c>
      <c r="U370">
        <v>418</v>
      </c>
      <c r="V370">
        <v>420</v>
      </c>
      <c r="W370">
        <v>500</v>
      </c>
      <c r="X370">
        <v>2.79</v>
      </c>
    </row>
    <row r="371" spans="1:24" hidden="1" outlineLevel="2" x14ac:dyDescent="0.25">
      <c r="A371" t="str">
        <f t="shared" si="62"/>
        <v>AK6 - 1991</v>
      </c>
      <c r="B371" t="s">
        <v>33</v>
      </c>
      <c r="C371">
        <v>8</v>
      </c>
      <c r="D371">
        <v>7</v>
      </c>
      <c r="E371">
        <v>1991</v>
      </c>
      <c r="F371">
        <v>88.8</v>
      </c>
      <c r="G371">
        <v>11.1</v>
      </c>
      <c r="H371">
        <v>9.6</v>
      </c>
      <c r="I371">
        <v>1.5</v>
      </c>
      <c r="J371">
        <v>13</v>
      </c>
      <c r="K371">
        <v>58.1</v>
      </c>
      <c r="L371">
        <v>247.7</v>
      </c>
      <c r="M371">
        <v>374</v>
      </c>
      <c r="N371">
        <v>351</v>
      </c>
      <c r="O371">
        <v>528</v>
      </c>
      <c r="P371">
        <v>177</v>
      </c>
      <c r="Q371">
        <v>234</v>
      </c>
      <c r="R371">
        <v>544</v>
      </c>
      <c r="S371">
        <v>310</v>
      </c>
      <c r="T371">
        <v>222.3</v>
      </c>
      <c r="U371">
        <v>354</v>
      </c>
      <c r="V371">
        <v>355</v>
      </c>
      <c r="W371">
        <v>500</v>
      </c>
      <c r="X371">
        <v>2.79</v>
      </c>
    </row>
    <row r="372" spans="1:24" hidden="1" outlineLevel="2" x14ac:dyDescent="0.25">
      <c r="A372" t="str">
        <f t="shared" si="62"/>
        <v>AK6 - 1991</v>
      </c>
      <c r="B372" t="s">
        <v>33</v>
      </c>
      <c r="C372">
        <v>10</v>
      </c>
      <c r="D372">
        <v>7</v>
      </c>
      <c r="E372">
        <v>1991</v>
      </c>
      <c r="F372">
        <v>77.099999999999994</v>
      </c>
      <c r="G372">
        <v>13.2</v>
      </c>
      <c r="H372">
        <v>11.4</v>
      </c>
      <c r="I372">
        <v>1.8</v>
      </c>
      <c r="J372">
        <v>13</v>
      </c>
      <c r="K372">
        <v>58.5</v>
      </c>
      <c r="L372">
        <v>186.7</v>
      </c>
      <c r="M372">
        <v>389</v>
      </c>
      <c r="N372">
        <v>366</v>
      </c>
      <c r="O372">
        <v>533</v>
      </c>
      <c r="P372">
        <v>167</v>
      </c>
      <c r="Q372">
        <v>306</v>
      </c>
      <c r="R372">
        <v>563</v>
      </c>
      <c r="S372">
        <v>257</v>
      </c>
      <c r="T372">
        <v>188.1</v>
      </c>
      <c r="U372">
        <v>437</v>
      </c>
      <c r="V372">
        <v>439</v>
      </c>
      <c r="W372">
        <v>500</v>
      </c>
      <c r="X372">
        <v>2.79</v>
      </c>
    </row>
    <row r="373" spans="1:24" hidden="1" outlineLevel="2" x14ac:dyDescent="0.25">
      <c r="A373" t="str">
        <f t="shared" si="62"/>
        <v>AK6 - 1991</v>
      </c>
      <c r="B373" t="s">
        <v>33</v>
      </c>
      <c r="C373">
        <v>11</v>
      </c>
      <c r="D373">
        <v>6</v>
      </c>
      <c r="E373">
        <v>1991</v>
      </c>
      <c r="F373">
        <v>43.1</v>
      </c>
      <c r="G373">
        <v>15</v>
      </c>
      <c r="H373">
        <v>15</v>
      </c>
      <c r="I373">
        <v>0</v>
      </c>
      <c r="J373">
        <v>0</v>
      </c>
      <c r="K373">
        <v>33.6</v>
      </c>
      <c r="L373">
        <v>58.4</v>
      </c>
      <c r="M373">
        <v>356</v>
      </c>
      <c r="N373">
        <v>356</v>
      </c>
      <c r="Q373">
        <v>288</v>
      </c>
      <c r="R373">
        <v>484</v>
      </c>
      <c r="S373">
        <v>196</v>
      </c>
      <c r="T373">
        <v>108</v>
      </c>
      <c r="U373">
        <v>389</v>
      </c>
      <c r="V373">
        <v>391</v>
      </c>
      <c r="W373">
        <v>500</v>
      </c>
      <c r="X373">
        <v>2.79</v>
      </c>
    </row>
    <row r="374" spans="1:24" hidden="1" outlineLevel="2" x14ac:dyDescent="0.25">
      <c r="A374" t="str">
        <f t="shared" si="62"/>
        <v>AK6 - 1991</v>
      </c>
      <c r="B374" t="s">
        <v>33</v>
      </c>
      <c r="C374">
        <v>12</v>
      </c>
      <c r="D374">
        <v>7</v>
      </c>
      <c r="E374">
        <v>1991</v>
      </c>
      <c r="F374">
        <v>64.400000000000006</v>
      </c>
      <c r="G374">
        <v>6</v>
      </c>
      <c r="H374">
        <v>5.0999999999999996</v>
      </c>
      <c r="I374">
        <v>0.9</v>
      </c>
      <c r="J374">
        <v>15</v>
      </c>
      <c r="K374">
        <v>23.1</v>
      </c>
      <c r="L374">
        <v>130.30000000000001</v>
      </c>
      <c r="M374">
        <v>388</v>
      </c>
      <c r="N374">
        <v>361</v>
      </c>
      <c r="O374">
        <v>541</v>
      </c>
      <c r="P374">
        <v>180</v>
      </c>
      <c r="Q374">
        <v>311</v>
      </c>
      <c r="R374">
        <v>576</v>
      </c>
      <c r="S374">
        <v>265</v>
      </c>
      <c r="T374">
        <v>189.3</v>
      </c>
      <c r="U374">
        <v>426</v>
      </c>
      <c r="V374">
        <v>428</v>
      </c>
      <c r="W374">
        <v>500</v>
      </c>
      <c r="X374">
        <v>2.79</v>
      </c>
    </row>
    <row r="375" spans="1:24" hidden="1" outlineLevel="2" x14ac:dyDescent="0.25">
      <c r="A375" t="str">
        <f t="shared" si="62"/>
        <v>AK6 - 1991</v>
      </c>
      <c r="B375" t="s">
        <v>33</v>
      </c>
      <c r="C375">
        <v>13</v>
      </c>
      <c r="D375">
        <v>6</v>
      </c>
      <c r="E375">
        <v>1991</v>
      </c>
      <c r="F375">
        <v>78.5</v>
      </c>
      <c r="G375">
        <v>14.4</v>
      </c>
      <c r="H375">
        <v>14.1</v>
      </c>
      <c r="I375">
        <v>0.3</v>
      </c>
      <c r="J375">
        <v>2</v>
      </c>
      <c r="K375">
        <v>64.5</v>
      </c>
      <c r="L375">
        <v>193.6</v>
      </c>
      <c r="M375">
        <v>336</v>
      </c>
      <c r="N375">
        <v>333</v>
      </c>
      <c r="O375">
        <v>506</v>
      </c>
      <c r="P375">
        <v>173</v>
      </c>
      <c r="Q375">
        <v>260</v>
      </c>
      <c r="R375">
        <v>506</v>
      </c>
      <c r="S375">
        <v>246</v>
      </c>
      <c r="T375">
        <v>221.4</v>
      </c>
      <c r="U375">
        <v>380</v>
      </c>
      <c r="V375">
        <v>378</v>
      </c>
      <c r="W375">
        <v>500</v>
      </c>
      <c r="X375">
        <v>2.79</v>
      </c>
    </row>
    <row r="376" spans="1:24" hidden="1" outlineLevel="2" x14ac:dyDescent="0.25">
      <c r="A376" t="str">
        <f t="shared" si="62"/>
        <v>AK6 - 1991</v>
      </c>
      <c r="B376" t="s">
        <v>33</v>
      </c>
      <c r="C376">
        <v>15</v>
      </c>
      <c r="D376">
        <v>6</v>
      </c>
      <c r="E376">
        <v>1991</v>
      </c>
      <c r="F376">
        <v>85.3</v>
      </c>
      <c r="G376">
        <v>13.5</v>
      </c>
      <c r="H376">
        <v>12.9</v>
      </c>
      <c r="I376">
        <v>0.6</v>
      </c>
      <c r="J376">
        <v>4</v>
      </c>
      <c r="K376">
        <v>66.599999999999994</v>
      </c>
      <c r="L376">
        <v>228.6</v>
      </c>
      <c r="M376">
        <v>352</v>
      </c>
      <c r="N376">
        <v>344</v>
      </c>
      <c r="O376">
        <v>507</v>
      </c>
      <c r="P376">
        <v>163</v>
      </c>
      <c r="Q376">
        <v>272</v>
      </c>
      <c r="R376">
        <v>511</v>
      </c>
      <c r="S376">
        <v>239</v>
      </c>
      <c r="T376">
        <v>222.9</v>
      </c>
      <c r="U376">
        <v>390</v>
      </c>
      <c r="V376">
        <v>386</v>
      </c>
      <c r="W376">
        <v>500</v>
      </c>
      <c r="X376">
        <v>2.79</v>
      </c>
    </row>
    <row r="377" spans="1:24" hidden="1" outlineLevel="2" x14ac:dyDescent="0.25">
      <c r="A377" t="str">
        <f t="shared" si="62"/>
        <v>AK6 - 1991</v>
      </c>
      <c r="B377" t="s">
        <v>33</v>
      </c>
      <c r="C377">
        <v>14</v>
      </c>
      <c r="D377">
        <v>7</v>
      </c>
      <c r="E377">
        <v>1991</v>
      </c>
      <c r="F377">
        <v>103.8</v>
      </c>
      <c r="G377">
        <v>12.3</v>
      </c>
      <c r="H377">
        <v>11.1</v>
      </c>
      <c r="I377">
        <v>1.2</v>
      </c>
      <c r="J377">
        <v>9</v>
      </c>
      <c r="K377">
        <v>75.5</v>
      </c>
      <c r="L377">
        <v>338.5</v>
      </c>
      <c r="M377">
        <v>353</v>
      </c>
      <c r="N377">
        <v>335</v>
      </c>
      <c r="O377">
        <v>528</v>
      </c>
      <c r="P377">
        <v>193</v>
      </c>
      <c r="Q377">
        <v>268</v>
      </c>
      <c r="R377">
        <v>552</v>
      </c>
      <c r="S377">
        <v>284</v>
      </c>
      <c r="T377">
        <v>292.2</v>
      </c>
      <c r="U377">
        <v>398</v>
      </c>
      <c r="V377">
        <v>397</v>
      </c>
      <c r="W377">
        <v>500</v>
      </c>
      <c r="X377">
        <v>2.79</v>
      </c>
    </row>
    <row r="378" spans="1:24" hidden="1" outlineLevel="2" x14ac:dyDescent="0.25">
      <c r="A378" t="str">
        <f t="shared" si="62"/>
        <v>AK6 - 1991</v>
      </c>
      <c r="B378" t="s">
        <v>33</v>
      </c>
      <c r="C378" t="s">
        <v>35</v>
      </c>
      <c r="D378">
        <v>6</v>
      </c>
      <c r="E378">
        <v>1991</v>
      </c>
      <c r="F378">
        <v>72.2</v>
      </c>
      <c r="G378">
        <v>12.9</v>
      </c>
      <c r="H378">
        <v>11.7</v>
      </c>
      <c r="I378">
        <v>1.2</v>
      </c>
      <c r="J378">
        <v>9</v>
      </c>
      <c r="K378">
        <v>53.3</v>
      </c>
      <c r="L378">
        <v>163.80000000000001</v>
      </c>
      <c r="M378">
        <v>362</v>
      </c>
      <c r="N378">
        <v>345</v>
      </c>
      <c r="O378">
        <v>525</v>
      </c>
      <c r="P378">
        <v>180</v>
      </c>
      <c r="Q378">
        <v>292</v>
      </c>
      <c r="R378">
        <v>532</v>
      </c>
      <c r="S378">
        <v>240</v>
      </c>
      <c r="T378">
        <v>205.5</v>
      </c>
      <c r="U378">
        <v>422</v>
      </c>
      <c r="V378">
        <v>415</v>
      </c>
      <c r="W378">
        <v>500</v>
      </c>
      <c r="X378">
        <v>2.79</v>
      </c>
    </row>
    <row r="379" spans="1:24" outlineLevel="1" collapsed="1" x14ac:dyDescent="0.25">
      <c r="A379" s="8" t="s">
        <v>67</v>
      </c>
      <c r="D379">
        <f t="shared" ref="D379:V379" si="63">SUBTOTAL(1,D364:D378)</f>
        <v>6.5333333333333332</v>
      </c>
      <c r="E379">
        <f t="shared" si="63"/>
        <v>1991</v>
      </c>
      <c r="F379">
        <f t="shared" si="63"/>
        <v>82.82</v>
      </c>
      <c r="G379">
        <f t="shared" si="63"/>
        <v>12.1</v>
      </c>
      <c r="H379">
        <f t="shared" si="63"/>
        <v>10.959999999999999</v>
      </c>
      <c r="I379">
        <f t="shared" si="63"/>
        <v>1.1400000000000001</v>
      </c>
      <c r="J379">
        <f t="shared" si="63"/>
        <v>9.7333333333333325</v>
      </c>
      <c r="K379">
        <f t="shared" si="63"/>
        <v>58.513333333333335</v>
      </c>
      <c r="L379">
        <f t="shared" si="63"/>
        <v>224.67333333333332</v>
      </c>
      <c r="M379">
        <f t="shared" si="63"/>
        <v>374.26666666666665</v>
      </c>
      <c r="N379">
        <f t="shared" si="63"/>
        <v>357.33333333333331</v>
      </c>
      <c r="O379">
        <f t="shared" si="63"/>
        <v>525.57142857142856</v>
      </c>
      <c r="P379">
        <f t="shared" si="63"/>
        <v>168.14285714285714</v>
      </c>
      <c r="Q379">
        <f t="shared" si="63"/>
        <v>294.06666666666666</v>
      </c>
      <c r="R379">
        <f t="shared" si="63"/>
        <v>538.26666666666665</v>
      </c>
      <c r="S379">
        <f t="shared" si="63"/>
        <v>244.2</v>
      </c>
      <c r="T379">
        <f t="shared" si="63"/>
        <v>214.06</v>
      </c>
      <c r="U379">
        <f t="shared" si="63"/>
        <v>403.86666666666667</v>
      </c>
      <c r="V379">
        <f t="shared" si="63"/>
        <v>401.4</v>
      </c>
    </row>
    <row r="380" spans="1:24" hidden="1" outlineLevel="2" x14ac:dyDescent="0.25">
      <c r="A380" t="str">
        <f t="shared" ref="A380:A394" si="64">CONCATENATE(B380," - ",E380)</f>
        <v>AK6 - 1992</v>
      </c>
      <c r="B380" t="s">
        <v>33</v>
      </c>
      <c r="C380">
        <v>1</v>
      </c>
      <c r="D380">
        <v>7</v>
      </c>
      <c r="E380">
        <v>1992</v>
      </c>
      <c r="F380">
        <v>89.4</v>
      </c>
      <c r="G380">
        <v>13.2</v>
      </c>
      <c r="H380">
        <v>12</v>
      </c>
      <c r="I380">
        <v>1.2</v>
      </c>
      <c r="J380">
        <v>9</v>
      </c>
      <c r="K380">
        <v>68.7</v>
      </c>
      <c r="L380">
        <v>251.1</v>
      </c>
      <c r="M380">
        <v>361</v>
      </c>
      <c r="N380">
        <v>344</v>
      </c>
      <c r="O380">
        <v>530</v>
      </c>
      <c r="P380">
        <v>186</v>
      </c>
      <c r="Q380">
        <v>308</v>
      </c>
      <c r="R380">
        <v>556</v>
      </c>
      <c r="S380">
        <v>248</v>
      </c>
      <c r="T380">
        <v>211.8</v>
      </c>
      <c r="U380">
        <v>420</v>
      </c>
      <c r="V380">
        <v>413</v>
      </c>
      <c r="W380">
        <v>500</v>
      </c>
      <c r="X380">
        <v>2.79</v>
      </c>
    </row>
    <row r="381" spans="1:24" hidden="1" outlineLevel="2" x14ac:dyDescent="0.25">
      <c r="A381" t="str">
        <f t="shared" si="64"/>
        <v>AK6 - 1992</v>
      </c>
      <c r="B381" t="s">
        <v>33</v>
      </c>
      <c r="C381">
        <v>2</v>
      </c>
      <c r="D381">
        <v>8</v>
      </c>
      <c r="E381">
        <v>1992</v>
      </c>
      <c r="F381">
        <v>106.6</v>
      </c>
      <c r="G381">
        <v>15</v>
      </c>
      <c r="H381">
        <v>13.2</v>
      </c>
      <c r="I381">
        <v>1.8</v>
      </c>
      <c r="J381">
        <v>12</v>
      </c>
      <c r="K381">
        <v>93.4</v>
      </c>
      <c r="L381">
        <v>357</v>
      </c>
      <c r="M381">
        <v>379</v>
      </c>
      <c r="N381">
        <v>360</v>
      </c>
      <c r="O381">
        <v>520</v>
      </c>
      <c r="P381">
        <v>160</v>
      </c>
      <c r="Q381">
        <v>291</v>
      </c>
      <c r="R381">
        <v>545</v>
      </c>
      <c r="S381">
        <v>254</v>
      </c>
      <c r="T381">
        <v>193.8</v>
      </c>
      <c r="U381">
        <v>412</v>
      </c>
      <c r="V381">
        <v>396</v>
      </c>
      <c r="W381">
        <v>500</v>
      </c>
      <c r="X381">
        <v>2.79</v>
      </c>
    </row>
    <row r="382" spans="1:24" hidden="1" outlineLevel="2" x14ac:dyDescent="0.25">
      <c r="A382" t="str">
        <f t="shared" si="64"/>
        <v>AK6 - 1992</v>
      </c>
      <c r="B382" t="s">
        <v>33</v>
      </c>
      <c r="C382">
        <v>3</v>
      </c>
      <c r="D382">
        <v>8</v>
      </c>
      <c r="E382">
        <v>1992</v>
      </c>
      <c r="F382">
        <v>107.2</v>
      </c>
      <c r="G382">
        <v>13.8</v>
      </c>
      <c r="H382">
        <v>12.9</v>
      </c>
      <c r="I382">
        <v>0.9</v>
      </c>
      <c r="J382">
        <v>6</v>
      </c>
      <c r="K382">
        <v>87</v>
      </c>
      <c r="L382">
        <v>361</v>
      </c>
      <c r="M382">
        <v>385</v>
      </c>
      <c r="N382">
        <v>376</v>
      </c>
      <c r="O382">
        <v>514</v>
      </c>
      <c r="P382">
        <v>138</v>
      </c>
      <c r="Q382">
        <v>312</v>
      </c>
      <c r="R382">
        <v>528</v>
      </c>
      <c r="S382">
        <v>216</v>
      </c>
      <c r="T382">
        <v>261.89999999999998</v>
      </c>
      <c r="U382">
        <v>404</v>
      </c>
      <c r="V382">
        <v>407</v>
      </c>
      <c r="W382">
        <v>500</v>
      </c>
      <c r="X382">
        <v>2.79</v>
      </c>
    </row>
    <row r="383" spans="1:24" hidden="1" outlineLevel="2" x14ac:dyDescent="0.25">
      <c r="A383" t="str">
        <f t="shared" si="64"/>
        <v>AK6 - 1992</v>
      </c>
      <c r="B383" t="s">
        <v>33</v>
      </c>
      <c r="C383">
        <v>4</v>
      </c>
      <c r="D383">
        <v>7</v>
      </c>
      <c r="E383">
        <v>1992</v>
      </c>
      <c r="F383">
        <v>80.400000000000006</v>
      </c>
      <c r="G383">
        <v>12</v>
      </c>
      <c r="H383">
        <v>9.6</v>
      </c>
      <c r="I383">
        <v>2.4</v>
      </c>
      <c r="J383">
        <v>20</v>
      </c>
      <c r="K383">
        <v>56.1</v>
      </c>
      <c r="L383">
        <v>203.1</v>
      </c>
      <c r="M383">
        <v>405</v>
      </c>
      <c r="N383">
        <v>376</v>
      </c>
      <c r="O383">
        <v>525</v>
      </c>
      <c r="P383">
        <v>149</v>
      </c>
      <c r="Q383">
        <v>322</v>
      </c>
      <c r="R383">
        <v>538</v>
      </c>
      <c r="S383">
        <v>216</v>
      </c>
      <c r="T383">
        <v>166.8</v>
      </c>
      <c r="U383">
        <v>412</v>
      </c>
      <c r="V383">
        <v>409</v>
      </c>
      <c r="W383">
        <v>500</v>
      </c>
      <c r="X383">
        <v>2.79</v>
      </c>
    </row>
    <row r="384" spans="1:24" hidden="1" outlineLevel="2" x14ac:dyDescent="0.25">
      <c r="A384" t="str">
        <f t="shared" si="64"/>
        <v>AK6 - 1992</v>
      </c>
      <c r="B384" t="s">
        <v>33</v>
      </c>
      <c r="C384">
        <v>5</v>
      </c>
      <c r="D384">
        <v>7</v>
      </c>
      <c r="E384">
        <v>1992</v>
      </c>
      <c r="F384">
        <v>124.9</v>
      </c>
      <c r="G384">
        <v>15</v>
      </c>
      <c r="H384">
        <v>15</v>
      </c>
      <c r="I384">
        <v>0</v>
      </c>
      <c r="J384">
        <v>0</v>
      </c>
      <c r="K384">
        <v>110.6</v>
      </c>
      <c r="L384">
        <v>490.1</v>
      </c>
      <c r="M384">
        <v>338</v>
      </c>
      <c r="N384">
        <v>338</v>
      </c>
      <c r="Q384">
        <v>287</v>
      </c>
      <c r="R384">
        <v>469</v>
      </c>
      <c r="S384">
        <v>182</v>
      </c>
      <c r="T384">
        <v>224.7</v>
      </c>
      <c r="U384">
        <v>390</v>
      </c>
      <c r="V384">
        <v>376</v>
      </c>
      <c r="W384">
        <v>500</v>
      </c>
      <c r="X384">
        <v>2.79</v>
      </c>
    </row>
    <row r="385" spans="1:24" hidden="1" outlineLevel="2" x14ac:dyDescent="0.25">
      <c r="A385" t="str">
        <f t="shared" si="64"/>
        <v>AK6 - 1992</v>
      </c>
      <c r="B385" t="s">
        <v>33</v>
      </c>
      <c r="C385">
        <v>6</v>
      </c>
      <c r="D385">
        <v>8</v>
      </c>
      <c r="E385">
        <v>1992</v>
      </c>
      <c r="F385">
        <v>124.7</v>
      </c>
      <c r="G385">
        <v>16.5</v>
      </c>
      <c r="H385">
        <v>14.4</v>
      </c>
      <c r="I385">
        <v>2.1</v>
      </c>
      <c r="J385">
        <v>12</v>
      </c>
      <c r="K385">
        <v>120.7</v>
      </c>
      <c r="L385">
        <v>488.5</v>
      </c>
      <c r="M385">
        <v>392</v>
      </c>
      <c r="N385">
        <v>372</v>
      </c>
      <c r="O385">
        <v>526</v>
      </c>
      <c r="P385">
        <v>154</v>
      </c>
      <c r="Q385">
        <v>322</v>
      </c>
      <c r="R385">
        <v>549</v>
      </c>
      <c r="S385">
        <v>227</v>
      </c>
      <c r="T385">
        <v>282</v>
      </c>
      <c r="U385">
        <v>406</v>
      </c>
      <c r="V385">
        <v>411</v>
      </c>
      <c r="W385">
        <v>500</v>
      </c>
      <c r="X385">
        <v>2.79</v>
      </c>
    </row>
    <row r="386" spans="1:24" hidden="1" outlineLevel="2" x14ac:dyDescent="0.25">
      <c r="A386" t="str">
        <f t="shared" si="64"/>
        <v>AK6 - 1992</v>
      </c>
      <c r="B386" t="s">
        <v>33</v>
      </c>
      <c r="C386">
        <v>7</v>
      </c>
      <c r="D386">
        <v>8</v>
      </c>
      <c r="E386">
        <v>1992</v>
      </c>
      <c r="F386">
        <v>97.6</v>
      </c>
      <c r="G386">
        <v>16.2</v>
      </c>
      <c r="H386">
        <v>15.3</v>
      </c>
      <c r="I386">
        <v>0.9</v>
      </c>
      <c r="J386">
        <v>5</v>
      </c>
      <c r="K386">
        <v>91.1</v>
      </c>
      <c r="L386">
        <v>299.3</v>
      </c>
      <c r="M386">
        <v>375</v>
      </c>
      <c r="N386">
        <v>366</v>
      </c>
      <c r="O386">
        <v>529</v>
      </c>
      <c r="P386">
        <v>163</v>
      </c>
      <c r="Q386">
        <v>313</v>
      </c>
      <c r="R386">
        <v>554</v>
      </c>
      <c r="S386">
        <v>241</v>
      </c>
      <c r="T386">
        <v>220.2</v>
      </c>
      <c r="U386">
        <v>418</v>
      </c>
      <c r="V386">
        <v>420</v>
      </c>
      <c r="W386">
        <v>500</v>
      </c>
      <c r="X386">
        <v>2.79</v>
      </c>
    </row>
    <row r="387" spans="1:24" hidden="1" outlineLevel="2" x14ac:dyDescent="0.25">
      <c r="A387" t="str">
        <f t="shared" si="64"/>
        <v>AK6 - 1992</v>
      </c>
      <c r="B387" t="s">
        <v>33</v>
      </c>
      <c r="C387">
        <v>8</v>
      </c>
      <c r="D387">
        <v>8</v>
      </c>
      <c r="E387">
        <v>1992</v>
      </c>
      <c r="F387">
        <v>106.2</v>
      </c>
      <c r="G387">
        <v>17.399999999999999</v>
      </c>
      <c r="H387">
        <v>15.9</v>
      </c>
      <c r="I387">
        <v>1.5</v>
      </c>
      <c r="J387">
        <v>8</v>
      </c>
      <c r="K387">
        <v>106.6</v>
      </c>
      <c r="L387">
        <v>354.3</v>
      </c>
      <c r="M387">
        <v>376</v>
      </c>
      <c r="N387">
        <v>364</v>
      </c>
      <c r="O387">
        <v>511</v>
      </c>
      <c r="P387">
        <v>147</v>
      </c>
      <c r="Q387">
        <v>283</v>
      </c>
      <c r="R387">
        <v>519</v>
      </c>
      <c r="S387">
        <v>236</v>
      </c>
      <c r="T387">
        <v>222.3</v>
      </c>
      <c r="U387">
        <v>354</v>
      </c>
      <c r="V387">
        <v>355</v>
      </c>
      <c r="W387">
        <v>500</v>
      </c>
      <c r="X387">
        <v>2.79</v>
      </c>
    </row>
    <row r="388" spans="1:24" hidden="1" outlineLevel="2" x14ac:dyDescent="0.25">
      <c r="A388" t="str">
        <f t="shared" si="64"/>
        <v>AK6 - 1992</v>
      </c>
      <c r="B388" t="s">
        <v>33</v>
      </c>
      <c r="C388">
        <v>10</v>
      </c>
      <c r="D388">
        <v>8</v>
      </c>
      <c r="E388">
        <v>1992</v>
      </c>
      <c r="F388">
        <v>91.2</v>
      </c>
      <c r="G388">
        <v>14.1</v>
      </c>
      <c r="H388">
        <v>12</v>
      </c>
      <c r="I388">
        <v>2.1</v>
      </c>
      <c r="J388">
        <v>14</v>
      </c>
      <c r="K388">
        <v>74.599999999999994</v>
      </c>
      <c r="L388">
        <v>261.3</v>
      </c>
      <c r="M388">
        <v>402</v>
      </c>
      <c r="N388">
        <v>378</v>
      </c>
      <c r="O388">
        <v>538</v>
      </c>
      <c r="P388">
        <v>160</v>
      </c>
      <c r="Q388">
        <v>314</v>
      </c>
      <c r="R388">
        <v>554</v>
      </c>
      <c r="S388">
        <v>240</v>
      </c>
      <c r="T388">
        <v>188.1</v>
      </c>
      <c r="U388">
        <v>437</v>
      </c>
      <c r="V388">
        <v>439</v>
      </c>
      <c r="W388">
        <v>500</v>
      </c>
      <c r="X388">
        <v>2.79</v>
      </c>
    </row>
    <row r="389" spans="1:24" hidden="1" outlineLevel="2" x14ac:dyDescent="0.25">
      <c r="A389" t="str">
        <f t="shared" si="64"/>
        <v>AK6 - 1992</v>
      </c>
      <c r="B389" t="s">
        <v>33</v>
      </c>
      <c r="C389">
        <v>11</v>
      </c>
      <c r="D389">
        <v>7</v>
      </c>
      <c r="E389">
        <v>1992</v>
      </c>
      <c r="F389">
        <v>56</v>
      </c>
      <c r="G389">
        <v>12.9</v>
      </c>
      <c r="H389">
        <v>12.6</v>
      </c>
      <c r="I389">
        <v>0.3</v>
      </c>
      <c r="J389">
        <v>2</v>
      </c>
      <c r="K389">
        <v>40.200000000000003</v>
      </c>
      <c r="L389">
        <v>98.5</v>
      </c>
      <c r="M389">
        <v>385</v>
      </c>
      <c r="N389">
        <v>383</v>
      </c>
      <c r="O389">
        <v>502</v>
      </c>
      <c r="P389">
        <v>119</v>
      </c>
      <c r="Q389">
        <v>327</v>
      </c>
      <c r="R389">
        <v>502</v>
      </c>
      <c r="S389">
        <v>175</v>
      </c>
      <c r="T389">
        <v>108</v>
      </c>
      <c r="U389">
        <v>389</v>
      </c>
      <c r="V389">
        <v>391</v>
      </c>
      <c r="W389">
        <v>500</v>
      </c>
      <c r="X389">
        <v>2.79</v>
      </c>
    </row>
    <row r="390" spans="1:24" hidden="1" outlineLevel="2" x14ac:dyDescent="0.25">
      <c r="A390" t="str">
        <f t="shared" si="64"/>
        <v>AK6 - 1992</v>
      </c>
      <c r="B390" t="s">
        <v>33</v>
      </c>
      <c r="C390">
        <v>12</v>
      </c>
      <c r="D390">
        <v>8</v>
      </c>
      <c r="E390">
        <v>1992</v>
      </c>
      <c r="F390">
        <v>74.900000000000006</v>
      </c>
      <c r="G390">
        <v>10.5</v>
      </c>
      <c r="H390">
        <v>9.3000000000000007</v>
      </c>
      <c r="I390">
        <v>1.2</v>
      </c>
      <c r="J390">
        <v>11</v>
      </c>
      <c r="K390">
        <v>46</v>
      </c>
      <c r="L390">
        <v>176.2</v>
      </c>
      <c r="M390">
        <v>392</v>
      </c>
      <c r="N390">
        <v>371</v>
      </c>
      <c r="O390">
        <v>555</v>
      </c>
      <c r="P390">
        <v>184</v>
      </c>
      <c r="Q390">
        <v>323</v>
      </c>
      <c r="R390">
        <v>584</v>
      </c>
      <c r="S390">
        <v>261</v>
      </c>
      <c r="T390">
        <v>189.3</v>
      </c>
      <c r="U390">
        <v>426</v>
      </c>
      <c r="V390">
        <v>428</v>
      </c>
      <c r="W390">
        <v>500</v>
      </c>
      <c r="X390">
        <v>2.79</v>
      </c>
    </row>
    <row r="391" spans="1:24" hidden="1" outlineLevel="2" x14ac:dyDescent="0.25">
      <c r="A391" t="str">
        <f t="shared" si="64"/>
        <v>AK6 - 1992</v>
      </c>
      <c r="B391" t="s">
        <v>33</v>
      </c>
      <c r="C391">
        <v>13</v>
      </c>
      <c r="D391">
        <v>7</v>
      </c>
      <c r="E391">
        <v>1992</v>
      </c>
      <c r="F391">
        <v>95.9</v>
      </c>
      <c r="G391">
        <v>17.399999999999999</v>
      </c>
      <c r="H391">
        <v>17.399999999999999</v>
      </c>
      <c r="I391">
        <v>0</v>
      </c>
      <c r="J391">
        <v>0</v>
      </c>
      <c r="K391">
        <v>95.3</v>
      </c>
      <c r="L391">
        <v>288.89999999999998</v>
      </c>
      <c r="M391">
        <v>334</v>
      </c>
      <c r="N391">
        <v>334</v>
      </c>
      <c r="Q391">
        <v>275</v>
      </c>
      <c r="R391">
        <v>496</v>
      </c>
      <c r="S391">
        <v>221</v>
      </c>
      <c r="T391">
        <v>221.4</v>
      </c>
      <c r="U391">
        <v>380</v>
      </c>
      <c r="V391">
        <v>378</v>
      </c>
      <c r="W391">
        <v>500</v>
      </c>
      <c r="X391">
        <v>2.79</v>
      </c>
    </row>
    <row r="392" spans="1:24" hidden="1" outlineLevel="2" x14ac:dyDescent="0.25">
      <c r="A392" t="str">
        <f t="shared" si="64"/>
        <v>AK6 - 1992</v>
      </c>
      <c r="B392" t="s">
        <v>33</v>
      </c>
      <c r="C392">
        <v>15</v>
      </c>
      <c r="D392">
        <v>7</v>
      </c>
      <c r="E392">
        <v>1992</v>
      </c>
      <c r="F392">
        <v>100.6</v>
      </c>
      <c r="G392">
        <v>15.3</v>
      </c>
      <c r="H392">
        <v>15.3</v>
      </c>
      <c r="I392">
        <v>0</v>
      </c>
      <c r="J392">
        <v>0</v>
      </c>
      <c r="K392">
        <v>89.4</v>
      </c>
      <c r="L392">
        <v>317.89999999999998</v>
      </c>
      <c r="M392">
        <v>364</v>
      </c>
      <c r="N392">
        <v>364</v>
      </c>
      <c r="Q392">
        <v>291</v>
      </c>
      <c r="R392">
        <v>497</v>
      </c>
      <c r="S392">
        <v>206</v>
      </c>
      <c r="T392">
        <v>222.9</v>
      </c>
      <c r="U392">
        <v>390</v>
      </c>
      <c r="V392">
        <v>386</v>
      </c>
      <c r="W392">
        <v>500</v>
      </c>
      <c r="X392">
        <v>2.79</v>
      </c>
    </row>
    <row r="393" spans="1:24" hidden="1" outlineLevel="2" x14ac:dyDescent="0.25">
      <c r="A393" t="str">
        <f t="shared" si="64"/>
        <v>AK6 - 1992</v>
      </c>
      <c r="B393" t="s">
        <v>33</v>
      </c>
      <c r="C393">
        <v>14</v>
      </c>
      <c r="D393">
        <v>8</v>
      </c>
      <c r="E393">
        <v>1992</v>
      </c>
      <c r="F393">
        <v>119.7</v>
      </c>
      <c r="G393">
        <v>15.9</v>
      </c>
      <c r="H393">
        <v>14.7</v>
      </c>
      <c r="I393">
        <v>1.2</v>
      </c>
      <c r="J393">
        <v>7</v>
      </c>
      <c r="K393">
        <v>111.6</v>
      </c>
      <c r="L393">
        <v>450.1</v>
      </c>
      <c r="M393">
        <v>359</v>
      </c>
      <c r="N393">
        <v>347</v>
      </c>
      <c r="O393">
        <v>511</v>
      </c>
      <c r="P393">
        <v>164</v>
      </c>
      <c r="Q393">
        <v>281</v>
      </c>
      <c r="R393">
        <v>518</v>
      </c>
      <c r="S393">
        <v>237</v>
      </c>
      <c r="T393">
        <v>292.2</v>
      </c>
      <c r="U393">
        <v>398</v>
      </c>
      <c r="V393">
        <v>397</v>
      </c>
      <c r="W393">
        <v>500</v>
      </c>
      <c r="X393">
        <v>2.79</v>
      </c>
    </row>
    <row r="394" spans="1:24" hidden="1" outlineLevel="2" x14ac:dyDescent="0.25">
      <c r="A394" t="str">
        <f t="shared" si="64"/>
        <v>AK6 - 1992</v>
      </c>
      <c r="B394" t="s">
        <v>33</v>
      </c>
      <c r="C394" t="s">
        <v>35</v>
      </c>
      <c r="D394">
        <v>7</v>
      </c>
      <c r="E394">
        <v>1992</v>
      </c>
      <c r="F394">
        <v>87.5</v>
      </c>
      <c r="G394">
        <v>15.3</v>
      </c>
      <c r="H394">
        <v>14.4</v>
      </c>
      <c r="I394">
        <v>0.9</v>
      </c>
      <c r="J394">
        <v>5</v>
      </c>
      <c r="K394">
        <v>76.8</v>
      </c>
      <c r="L394">
        <v>240.5</v>
      </c>
      <c r="M394">
        <v>359</v>
      </c>
      <c r="N394">
        <v>348</v>
      </c>
      <c r="O394">
        <v>527</v>
      </c>
      <c r="P394">
        <v>179</v>
      </c>
      <c r="Q394">
        <v>291</v>
      </c>
      <c r="R394">
        <v>536</v>
      </c>
      <c r="S394">
        <v>245</v>
      </c>
      <c r="T394">
        <v>205.5</v>
      </c>
      <c r="U394">
        <v>422</v>
      </c>
      <c r="V394">
        <v>415</v>
      </c>
      <c r="W394">
        <v>500</v>
      </c>
      <c r="X394">
        <v>2.79</v>
      </c>
    </row>
    <row r="395" spans="1:24" outlineLevel="1" collapsed="1" x14ac:dyDescent="0.25">
      <c r="A395" s="8" t="s">
        <v>68</v>
      </c>
      <c r="D395">
        <f t="shared" ref="D395:V395" si="65">SUBTOTAL(1,D380:D394)</f>
        <v>7.5333333333333332</v>
      </c>
      <c r="E395">
        <f t="shared" si="65"/>
        <v>1992</v>
      </c>
      <c r="F395">
        <f t="shared" si="65"/>
        <v>97.52000000000001</v>
      </c>
      <c r="G395">
        <f t="shared" si="65"/>
        <v>14.700000000000001</v>
      </c>
      <c r="H395">
        <f t="shared" si="65"/>
        <v>13.600000000000001</v>
      </c>
      <c r="I395">
        <f t="shared" si="65"/>
        <v>1.1000000000000001</v>
      </c>
      <c r="J395">
        <f t="shared" si="65"/>
        <v>7.4</v>
      </c>
      <c r="K395">
        <f t="shared" si="65"/>
        <v>84.54</v>
      </c>
      <c r="L395">
        <f t="shared" si="65"/>
        <v>309.18666666666672</v>
      </c>
      <c r="M395">
        <f t="shared" si="65"/>
        <v>373.73333333333335</v>
      </c>
      <c r="N395">
        <f t="shared" si="65"/>
        <v>361.4</v>
      </c>
      <c r="O395">
        <f t="shared" si="65"/>
        <v>524</v>
      </c>
      <c r="P395">
        <f t="shared" si="65"/>
        <v>158.58333333333334</v>
      </c>
      <c r="Q395">
        <f t="shared" si="65"/>
        <v>302.66666666666669</v>
      </c>
      <c r="R395">
        <f t="shared" si="65"/>
        <v>529.66666666666663</v>
      </c>
      <c r="S395">
        <f t="shared" si="65"/>
        <v>227</v>
      </c>
      <c r="T395">
        <f t="shared" si="65"/>
        <v>214.06</v>
      </c>
      <c r="U395">
        <f t="shared" si="65"/>
        <v>403.86666666666667</v>
      </c>
      <c r="V395">
        <f t="shared" si="65"/>
        <v>401.4</v>
      </c>
    </row>
    <row r="396" spans="1:24" hidden="1" outlineLevel="2" x14ac:dyDescent="0.25">
      <c r="A396" t="str">
        <f t="shared" ref="A396:A410" si="66">CONCATENATE(B396," - ",E396)</f>
        <v>AK6 - 1993</v>
      </c>
      <c r="B396" t="s">
        <v>33</v>
      </c>
      <c r="C396">
        <v>1</v>
      </c>
      <c r="D396">
        <v>8</v>
      </c>
      <c r="E396">
        <v>1993</v>
      </c>
      <c r="F396">
        <v>103.8</v>
      </c>
      <c r="G396">
        <v>14.4</v>
      </c>
      <c r="H396">
        <v>12.6</v>
      </c>
      <c r="I396">
        <v>1.8</v>
      </c>
      <c r="J396">
        <v>12</v>
      </c>
      <c r="K396">
        <v>87.4</v>
      </c>
      <c r="L396">
        <v>338.5</v>
      </c>
      <c r="M396">
        <v>361</v>
      </c>
      <c r="N396">
        <v>339</v>
      </c>
      <c r="O396">
        <v>518</v>
      </c>
      <c r="P396">
        <v>179</v>
      </c>
      <c r="Q396">
        <v>289</v>
      </c>
      <c r="R396">
        <v>539</v>
      </c>
      <c r="S396">
        <v>250</v>
      </c>
      <c r="T396">
        <v>211.8</v>
      </c>
      <c r="U396">
        <v>420</v>
      </c>
      <c r="V396">
        <v>413</v>
      </c>
      <c r="W396">
        <v>500</v>
      </c>
      <c r="X396">
        <v>2.79</v>
      </c>
    </row>
    <row r="397" spans="1:24" hidden="1" outlineLevel="2" x14ac:dyDescent="0.25">
      <c r="A397" t="str">
        <f t="shared" si="66"/>
        <v>AK6 - 1993</v>
      </c>
      <c r="B397" t="s">
        <v>33</v>
      </c>
      <c r="C397">
        <v>2</v>
      </c>
      <c r="D397">
        <v>9</v>
      </c>
      <c r="E397">
        <v>1993</v>
      </c>
      <c r="F397">
        <v>118.3</v>
      </c>
      <c r="G397">
        <v>11.7</v>
      </c>
      <c r="H397">
        <v>9.6</v>
      </c>
      <c r="I397">
        <v>2.1</v>
      </c>
      <c r="J397">
        <v>17</v>
      </c>
      <c r="K397">
        <v>82.7</v>
      </c>
      <c r="L397">
        <v>439.7</v>
      </c>
      <c r="M397">
        <v>379</v>
      </c>
      <c r="N397">
        <v>348</v>
      </c>
      <c r="O397">
        <v>524</v>
      </c>
      <c r="P397">
        <v>176</v>
      </c>
      <c r="Q397">
        <v>289</v>
      </c>
      <c r="R397">
        <v>539</v>
      </c>
      <c r="S397">
        <v>250</v>
      </c>
      <c r="T397">
        <v>193.8</v>
      </c>
      <c r="U397">
        <v>412</v>
      </c>
      <c r="V397">
        <v>396</v>
      </c>
      <c r="W397">
        <v>500</v>
      </c>
      <c r="X397">
        <v>2.79</v>
      </c>
    </row>
    <row r="398" spans="1:24" hidden="1" outlineLevel="2" x14ac:dyDescent="0.25">
      <c r="A398" t="str">
        <f t="shared" si="66"/>
        <v>AK6 - 1993</v>
      </c>
      <c r="B398" t="s">
        <v>33</v>
      </c>
      <c r="C398">
        <v>3</v>
      </c>
      <c r="D398">
        <v>9</v>
      </c>
      <c r="E398">
        <v>1993</v>
      </c>
      <c r="F398">
        <v>119.8</v>
      </c>
      <c r="G398">
        <v>12.6</v>
      </c>
      <c r="H398">
        <v>10.8</v>
      </c>
      <c r="I398">
        <v>1.8</v>
      </c>
      <c r="J398">
        <v>14</v>
      </c>
      <c r="K398">
        <v>89.9</v>
      </c>
      <c r="L398">
        <v>450.9</v>
      </c>
      <c r="M398">
        <v>383</v>
      </c>
      <c r="N398">
        <v>361</v>
      </c>
      <c r="O398">
        <v>515</v>
      </c>
      <c r="P398">
        <v>154</v>
      </c>
      <c r="Q398">
        <v>301</v>
      </c>
      <c r="R398">
        <v>529</v>
      </c>
      <c r="S398">
        <v>228</v>
      </c>
      <c r="T398">
        <v>261.89999999999998</v>
      </c>
      <c r="U398">
        <v>404</v>
      </c>
      <c r="V398">
        <v>407</v>
      </c>
      <c r="W398">
        <v>500</v>
      </c>
      <c r="X398">
        <v>2.79</v>
      </c>
    </row>
    <row r="399" spans="1:24" hidden="1" outlineLevel="2" x14ac:dyDescent="0.25">
      <c r="A399" t="str">
        <f t="shared" si="66"/>
        <v>AK6 - 1993</v>
      </c>
      <c r="B399" t="s">
        <v>33</v>
      </c>
      <c r="C399">
        <v>4</v>
      </c>
      <c r="D399">
        <v>8</v>
      </c>
      <c r="E399">
        <v>1993</v>
      </c>
      <c r="F399">
        <v>89.4</v>
      </c>
      <c r="G399">
        <v>9</v>
      </c>
      <c r="H399">
        <v>7.8</v>
      </c>
      <c r="I399">
        <v>1.2</v>
      </c>
      <c r="J399">
        <v>13</v>
      </c>
      <c r="K399">
        <v>48</v>
      </c>
      <c r="L399">
        <v>251.1</v>
      </c>
      <c r="M399">
        <v>385</v>
      </c>
      <c r="N399">
        <v>364</v>
      </c>
      <c r="O399">
        <v>522</v>
      </c>
      <c r="P399">
        <v>158</v>
      </c>
      <c r="Q399">
        <v>301</v>
      </c>
      <c r="R399">
        <v>557</v>
      </c>
      <c r="S399">
        <v>256</v>
      </c>
      <c r="T399">
        <v>166.8</v>
      </c>
      <c r="U399">
        <v>412</v>
      </c>
      <c r="V399">
        <v>409</v>
      </c>
      <c r="W399">
        <v>500</v>
      </c>
      <c r="X399">
        <v>2.79</v>
      </c>
    </row>
    <row r="400" spans="1:24" hidden="1" outlineLevel="2" x14ac:dyDescent="0.25">
      <c r="A400" t="str">
        <f t="shared" si="66"/>
        <v>AK6 - 1993</v>
      </c>
      <c r="B400" t="s">
        <v>33</v>
      </c>
      <c r="C400">
        <v>5</v>
      </c>
      <c r="D400">
        <v>8</v>
      </c>
      <c r="E400">
        <v>1993</v>
      </c>
      <c r="F400">
        <v>136</v>
      </c>
      <c r="G400">
        <v>11.1</v>
      </c>
      <c r="H400">
        <v>11.1</v>
      </c>
      <c r="I400">
        <v>0</v>
      </c>
      <c r="J400">
        <v>0</v>
      </c>
      <c r="K400">
        <v>91</v>
      </c>
      <c r="L400">
        <v>581.1</v>
      </c>
      <c r="M400">
        <v>340</v>
      </c>
      <c r="N400">
        <v>340</v>
      </c>
      <c r="Q400">
        <v>260</v>
      </c>
      <c r="R400">
        <v>496</v>
      </c>
      <c r="S400">
        <v>236</v>
      </c>
      <c r="T400">
        <v>224.7</v>
      </c>
      <c r="U400">
        <v>390</v>
      </c>
      <c r="V400">
        <v>376</v>
      </c>
      <c r="W400">
        <v>500</v>
      </c>
      <c r="X400">
        <v>2.79</v>
      </c>
    </row>
    <row r="401" spans="1:24" hidden="1" outlineLevel="2" x14ac:dyDescent="0.25">
      <c r="A401" t="str">
        <f t="shared" si="66"/>
        <v>AK6 - 1993</v>
      </c>
      <c r="B401" t="s">
        <v>33</v>
      </c>
      <c r="C401">
        <v>6</v>
      </c>
      <c r="D401">
        <v>9</v>
      </c>
      <c r="E401">
        <v>1993</v>
      </c>
      <c r="F401">
        <v>138.80000000000001</v>
      </c>
      <c r="G401">
        <v>14.1</v>
      </c>
      <c r="H401">
        <v>12.3</v>
      </c>
      <c r="I401">
        <v>1.8</v>
      </c>
      <c r="J401">
        <v>12</v>
      </c>
      <c r="K401">
        <v>116.7</v>
      </c>
      <c r="L401">
        <v>605.20000000000005</v>
      </c>
      <c r="M401">
        <v>394</v>
      </c>
      <c r="N401">
        <v>377</v>
      </c>
      <c r="O401">
        <v>513</v>
      </c>
      <c r="P401">
        <v>136</v>
      </c>
      <c r="Q401">
        <v>331</v>
      </c>
      <c r="R401">
        <v>533</v>
      </c>
      <c r="S401">
        <v>202</v>
      </c>
      <c r="T401">
        <v>282</v>
      </c>
      <c r="U401">
        <v>406</v>
      </c>
      <c r="V401">
        <v>411</v>
      </c>
      <c r="W401">
        <v>500</v>
      </c>
      <c r="X401">
        <v>2.79</v>
      </c>
    </row>
    <row r="402" spans="1:24" hidden="1" outlineLevel="2" x14ac:dyDescent="0.25">
      <c r="A402" t="str">
        <f t="shared" si="66"/>
        <v>AK6 - 1993</v>
      </c>
      <c r="B402" t="s">
        <v>33</v>
      </c>
      <c r="C402">
        <v>7</v>
      </c>
      <c r="D402">
        <v>9</v>
      </c>
      <c r="E402">
        <v>1993</v>
      </c>
      <c r="F402">
        <v>109.9</v>
      </c>
      <c r="G402">
        <v>12.3</v>
      </c>
      <c r="H402">
        <v>11.4</v>
      </c>
      <c r="I402">
        <v>0.9</v>
      </c>
      <c r="J402">
        <v>7</v>
      </c>
      <c r="K402">
        <v>80.2</v>
      </c>
      <c r="L402">
        <v>379.4</v>
      </c>
      <c r="M402">
        <v>390</v>
      </c>
      <c r="N402">
        <v>380</v>
      </c>
      <c r="O402">
        <v>520</v>
      </c>
      <c r="P402">
        <v>140</v>
      </c>
      <c r="Q402">
        <v>311</v>
      </c>
      <c r="R402">
        <v>539</v>
      </c>
      <c r="S402">
        <v>228</v>
      </c>
      <c r="T402">
        <v>220.2</v>
      </c>
      <c r="U402">
        <v>418</v>
      </c>
      <c r="V402">
        <v>420</v>
      </c>
      <c r="W402">
        <v>500</v>
      </c>
      <c r="X402">
        <v>2.79</v>
      </c>
    </row>
    <row r="403" spans="1:24" hidden="1" outlineLevel="2" x14ac:dyDescent="0.25">
      <c r="A403" t="str">
        <f t="shared" si="66"/>
        <v>AK6 - 1993</v>
      </c>
      <c r="B403" t="s">
        <v>33</v>
      </c>
      <c r="C403">
        <v>8</v>
      </c>
      <c r="D403">
        <v>9</v>
      </c>
      <c r="E403">
        <v>1993</v>
      </c>
      <c r="F403">
        <v>119.1</v>
      </c>
      <c r="G403">
        <v>12.9</v>
      </c>
      <c r="H403">
        <v>12</v>
      </c>
      <c r="I403">
        <v>0.9</v>
      </c>
      <c r="J403">
        <v>6</v>
      </c>
      <c r="K403">
        <v>91.3</v>
      </c>
      <c r="L403">
        <v>445.6</v>
      </c>
      <c r="M403">
        <v>371</v>
      </c>
      <c r="N403">
        <v>360</v>
      </c>
      <c r="O403">
        <v>519</v>
      </c>
      <c r="P403">
        <v>159</v>
      </c>
      <c r="Q403">
        <v>296</v>
      </c>
      <c r="R403">
        <v>524</v>
      </c>
      <c r="S403">
        <v>228</v>
      </c>
      <c r="T403">
        <v>222.3</v>
      </c>
      <c r="U403">
        <v>354</v>
      </c>
      <c r="V403">
        <v>355</v>
      </c>
      <c r="W403">
        <v>500</v>
      </c>
      <c r="X403">
        <v>2.79</v>
      </c>
    </row>
    <row r="404" spans="1:24" hidden="1" outlineLevel="2" x14ac:dyDescent="0.25">
      <c r="A404" t="str">
        <f t="shared" si="66"/>
        <v>AK6 - 1993</v>
      </c>
      <c r="B404" t="s">
        <v>33</v>
      </c>
      <c r="C404">
        <v>10</v>
      </c>
      <c r="D404">
        <v>9</v>
      </c>
      <c r="E404">
        <v>1993</v>
      </c>
      <c r="F404">
        <v>107.7</v>
      </c>
      <c r="G404">
        <v>16.5</v>
      </c>
      <c r="H404">
        <v>13.5</v>
      </c>
      <c r="I404">
        <v>3</v>
      </c>
      <c r="J404">
        <v>18</v>
      </c>
      <c r="K404">
        <v>103.1</v>
      </c>
      <c r="L404">
        <v>364.4</v>
      </c>
      <c r="M404">
        <v>424</v>
      </c>
      <c r="N404">
        <v>400</v>
      </c>
      <c r="O404">
        <v>534</v>
      </c>
      <c r="P404">
        <v>134</v>
      </c>
      <c r="Q404">
        <v>332</v>
      </c>
      <c r="R404">
        <v>553</v>
      </c>
      <c r="S404">
        <v>221</v>
      </c>
      <c r="T404">
        <v>188.1</v>
      </c>
      <c r="U404">
        <v>437</v>
      </c>
      <c r="V404">
        <v>439</v>
      </c>
      <c r="W404">
        <v>500</v>
      </c>
      <c r="X404">
        <v>2.79</v>
      </c>
    </row>
    <row r="405" spans="1:24" hidden="1" outlineLevel="2" x14ac:dyDescent="0.25">
      <c r="A405" t="str">
        <f t="shared" si="66"/>
        <v>AK6 - 1993</v>
      </c>
      <c r="B405" t="s">
        <v>33</v>
      </c>
      <c r="C405">
        <v>11</v>
      </c>
      <c r="D405">
        <v>8</v>
      </c>
      <c r="E405">
        <v>1993</v>
      </c>
      <c r="F405">
        <v>67.099999999999994</v>
      </c>
      <c r="G405">
        <v>11.1</v>
      </c>
      <c r="H405">
        <v>10.8</v>
      </c>
      <c r="I405">
        <v>0.3</v>
      </c>
      <c r="J405">
        <v>2</v>
      </c>
      <c r="K405">
        <v>42.9</v>
      </c>
      <c r="L405">
        <v>141.4</v>
      </c>
      <c r="M405">
        <v>371</v>
      </c>
      <c r="N405">
        <v>368</v>
      </c>
      <c r="O405">
        <v>503</v>
      </c>
      <c r="P405">
        <v>135</v>
      </c>
      <c r="Q405">
        <v>324</v>
      </c>
      <c r="R405">
        <v>503</v>
      </c>
      <c r="S405">
        <v>179</v>
      </c>
      <c r="T405">
        <v>108</v>
      </c>
      <c r="U405">
        <v>389</v>
      </c>
      <c r="V405">
        <v>391</v>
      </c>
      <c r="W405">
        <v>500</v>
      </c>
      <c r="X405">
        <v>2.79</v>
      </c>
    </row>
    <row r="406" spans="1:24" hidden="1" outlineLevel="2" x14ac:dyDescent="0.25">
      <c r="A406" t="str">
        <f t="shared" si="66"/>
        <v>AK6 - 1993</v>
      </c>
      <c r="B406" t="s">
        <v>33</v>
      </c>
      <c r="C406">
        <v>12</v>
      </c>
      <c r="D406">
        <v>9</v>
      </c>
      <c r="E406">
        <v>1993</v>
      </c>
      <c r="F406">
        <v>83.3</v>
      </c>
      <c r="G406">
        <v>8.4</v>
      </c>
      <c r="H406">
        <v>7.2</v>
      </c>
      <c r="I406">
        <v>1.2</v>
      </c>
      <c r="J406">
        <v>14</v>
      </c>
      <c r="K406">
        <v>41.7</v>
      </c>
      <c r="L406">
        <v>218</v>
      </c>
      <c r="M406">
        <v>405</v>
      </c>
      <c r="N406">
        <v>380</v>
      </c>
      <c r="O406">
        <v>553</v>
      </c>
      <c r="P406">
        <v>173</v>
      </c>
      <c r="Q406">
        <v>323</v>
      </c>
      <c r="R406">
        <v>568</v>
      </c>
      <c r="S406">
        <v>245</v>
      </c>
      <c r="T406">
        <v>189.3</v>
      </c>
      <c r="U406">
        <v>426</v>
      </c>
      <c r="V406">
        <v>428</v>
      </c>
      <c r="W406">
        <v>500</v>
      </c>
      <c r="X406">
        <v>2.79</v>
      </c>
    </row>
    <row r="407" spans="1:24" hidden="1" outlineLevel="2" x14ac:dyDescent="0.25">
      <c r="A407" t="str">
        <f t="shared" si="66"/>
        <v>AK6 - 1993</v>
      </c>
      <c r="B407" t="s">
        <v>33</v>
      </c>
      <c r="C407">
        <v>13</v>
      </c>
      <c r="D407">
        <v>8</v>
      </c>
      <c r="E407">
        <v>1993</v>
      </c>
      <c r="F407">
        <v>109.4</v>
      </c>
      <c r="G407">
        <v>13.5</v>
      </c>
      <c r="H407">
        <v>13.5</v>
      </c>
      <c r="I407">
        <v>0</v>
      </c>
      <c r="J407">
        <v>0</v>
      </c>
      <c r="K407">
        <v>87.1</v>
      </c>
      <c r="L407">
        <v>376</v>
      </c>
      <c r="M407">
        <v>326</v>
      </c>
      <c r="N407">
        <v>326</v>
      </c>
      <c r="Q407">
        <v>258</v>
      </c>
      <c r="R407">
        <v>464</v>
      </c>
      <c r="S407">
        <v>206</v>
      </c>
      <c r="T407">
        <v>221.4</v>
      </c>
      <c r="U407">
        <v>380</v>
      </c>
      <c r="V407">
        <v>378</v>
      </c>
      <c r="W407">
        <v>500</v>
      </c>
      <c r="X407">
        <v>2.79</v>
      </c>
    </row>
    <row r="408" spans="1:24" hidden="1" outlineLevel="2" x14ac:dyDescent="0.25">
      <c r="A408" t="str">
        <f t="shared" si="66"/>
        <v>AK6 - 1993</v>
      </c>
      <c r="B408" t="s">
        <v>33</v>
      </c>
      <c r="C408">
        <v>15</v>
      </c>
      <c r="D408">
        <v>8</v>
      </c>
      <c r="E408">
        <v>1993</v>
      </c>
      <c r="F408">
        <v>114.7</v>
      </c>
      <c r="G408">
        <v>14.1</v>
      </c>
      <c r="H408">
        <v>13.2</v>
      </c>
      <c r="I408">
        <v>0.9</v>
      </c>
      <c r="J408">
        <v>6</v>
      </c>
      <c r="K408">
        <v>95.4</v>
      </c>
      <c r="L408">
        <v>413.3</v>
      </c>
      <c r="M408">
        <v>368</v>
      </c>
      <c r="N408">
        <v>358</v>
      </c>
      <c r="O408">
        <v>512</v>
      </c>
      <c r="P408">
        <v>154</v>
      </c>
      <c r="Q408">
        <v>270</v>
      </c>
      <c r="R408">
        <v>523</v>
      </c>
      <c r="S408">
        <v>253</v>
      </c>
      <c r="T408">
        <v>222.9</v>
      </c>
      <c r="U408">
        <v>390</v>
      </c>
      <c r="V408">
        <v>386</v>
      </c>
      <c r="W408">
        <v>500</v>
      </c>
      <c r="X408">
        <v>2.79</v>
      </c>
    </row>
    <row r="409" spans="1:24" hidden="1" outlineLevel="2" x14ac:dyDescent="0.25">
      <c r="A409" t="str">
        <f t="shared" si="66"/>
        <v>AK6 - 1993</v>
      </c>
      <c r="B409" t="s">
        <v>33</v>
      </c>
      <c r="C409">
        <v>14</v>
      </c>
      <c r="D409">
        <v>9</v>
      </c>
      <c r="E409">
        <v>1993</v>
      </c>
      <c r="F409">
        <v>137.1</v>
      </c>
      <c r="G409">
        <v>17.399999999999999</v>
      </c>
      <c r="H409">
        <v>15.9</v>
      </c>
      <c r="I409">
        <v>1.5</v>
      </c>
      <c r="J409">
        <v>8</v>
      </c>
      <c r="K409">
        <v>140.4</v>
      </c>
      <c r="L409">
        <v>590.5</v>
      </c>
      <c r="M409">
        <v>375</v>
      </c>
      <c r="N409">
        <v>361</v>
      </c>
      <c r="O409">
        <v>525</v>
      </c>
      <c r="P409">
        <v>164</v>
      </c>
      <c r="Q409">
        <v>283</v>
      </c>
      <c r="R409">
        <v>537</v>
      </c>
      <c r="S409">
        <v>254</v>
      </c>
      <c r="T409">
        <v>292.2</v>
      </c>
      <c r="U409">
        <v>398</v>
      </c>
      <c r="V409">
        <v>397</v>
      </c>
      <c r="W409">
        <v>500</v>
      </c>
      <c r="X409">
        <v>2.79</v>
      </c>
    </row>
    <row r="410" spans="1:24" hidden="1" outlineLevel="2" x14ac:dyDescent="0.25">
      <c r="A410" t="str">
        <f t="shared" si="66"/>
        <v>AK6 - 1993</v>
      </c>
      <c r="B410" t="s">
        <v>33</v>
      </c>
      <c r="C410" t="s">
        <v>35</v>
      </c>
      <c r="D410">
        <v>8</v>
      </c>
      <c r="E410">
        <v>1993</v>
      </c>
      <c r="F410">
        <v>102.5</v>
      </c>
      <c r="G410">
        <v>15</v>
      </c>
      <c r="H410">
        <v>14.1</v>
      </c>
      <c r="I410">
        <v>0.9</v>
      </c>
      <c r="J410">
        <v>6</v>
      </c>
      <c r="K410">
        <v>89.5</v>
      </c>
      <c r="L410">
        <v>330.1</v>
      </c>
      <c r="M410">
        <v>356</v>
      </c>
      <c r="N410">
        <v>346</v>
      </c>
      <c r="O410">
        <v>516</v>
      </c>
      <c r="P410">
        <v>170</v>
      </c>
      <c r="Q410">
        <v>273</v>
      </c>
      <c r="R410">
        <v>531</v>
      </c>
      <c r="S410">
        <v>258</v>
      </c>
      <c r="T410">
        <v>205.5</v>
      </c>
      <c r="U410">
        <v>422</v>
      </c>
      <c r="V410">
        <v>415</v>
      </c>
      <c r="W410">
        <v>500</v>
      </c>
      <c r="X410">
        <v>2.79</v>
      </c>
    </row>
    <row r="411" spans="1:24" outlineLevel="1" collapsed="1" x14ac:dyDescent="0.25">
      <c r="A411" s="8" t="s">
        <v>69</v>
      </c>
      <c r="D411">
        <f t="shared" ref="D411:V411" si="67">SUBTOTAL(1,D396:D410)</f>
        <v>8.5333333333333332</v>
      </c>
      <c r="E411">
        <f t="shared" si="67"/>
        <v>1993</v>
      </c>
      <c r="F411">
        <f t="shared" si="67"/>
        <v>110.46</v>
      </c>
      <c r="G411">
        <f t="shared" si="67"/>
        <v>12.94</v>
      </c>
      <c r="H411">
        <f t="shared" si="67"/>
        <v>11.72</v>
      </c>
      <c r="I411">
        <f t="shared" si="67"/>
        <v>1.22</v>
      </c>
      <c r="J411">
        <f t="shared" si="67"/>
        <v>9</v>
      </c>
      <c r="K411">
        <f t="shared" si="67"/>
        <v>85.820000000000007</v>
      </c>
      <c r="L411">
        <f t="shared" si="67"/>
        <v>395.01333333333338</v>
      </c>
      <c r="M411">
        <f t="shared" si="67"/>
        <v>375.2</v>
      </c>
      <c r="N411">
        <f t="shared" si="67"/>
        <v>360.53333333333336</v>
      </c>
      <c r="O411">
        <f t="shared" si="67"/>
        <v>521.07692307692309</v>
      </c>
      <c r="P411">
        <f t="shared" si="67"/>
        <v>156.30769230769232</v>
      </c>
      <c r="Q411">
        <f t="shared" si="67"/>
        <v>296.06666666666666</v>
      </c>
      <c r="R411">
        <f t="shared" si="67"/>
        <v>529</v>
      </c>
      <c r="S411">
        <f t="shared" si="67"/>
        <v>232.93333333333334</v>
      </c>
      <c r="T411">
        <f t="shared" si="67"/>
        <v>214.06</v>
      </c>
      <c r="U411">
        <f t="shared" si="67"/>
        <v>403.86666666666667</v>
      </c>
      <c r="V411">
        <f t="shared" si="67"/>
        <v>401.4</v>
      </c>
    </row>
    <row r="412" spans="1:24" hidden="1" outlineLevel="2" x14ac:dyDescent="0.25">
      <c r="A412" t="str">
        <f t="shared" ref="A412:A426" si="68">CONCATENATE(B412," - ",E412)</f>
        <v>AK6 - 1994</v>
      </c>
      <c r="B412" t="s">
        <v>33</v>
      </c>
      <c r="C412">
        <v>1</v>
      </c>
      <c r="D412">
        <v>9</v>
      </c>
      <c r="E412">
        <v>1994</v>
      </c>
      <c r="F412">
        <v>120.3</v>
      </c>
      <c r="G412">
        <v>16.5</v>
      </c>
      <c r="H412">
        <v>15.9</v>
      </c>
      <c r="I412">
        <v>0.6</v>
      </c>
      <c r="J412">
        <v>3</v>
      </c>
      <c r="K412">
        <v>116.2</v>
      </c>
      <c r="L412">
        <v>454.7</v>
      </c>
      <c r="M412">
        <v>363</v>
      </c>
      <c r="N412">
        <v>357</v>
      </c>
      <c r="O412">
        <v>531</v>
      </c>
      <c r="P412">
        <v>174</v>
      </c>
      <c r="Q412">
        <v>300</v>
      </c>
      <c r="R412">
        <v>541</v>
      </c>
      <c r="S412">
        <v>241</v>
      </c>
      <c r="T412">
        <v>211.8</v>
      </c>
      <c r="U412">
        <v>420</v>
      </c>
      <c r="V412">
        <v>413</v>
      </c>
      <c r="W412">
        <v>500</v>
      </c>
      <c r="X412">
        <v>2.79</v>
      </c>
    </row>
    <row r="413" spans="1:24" hidden="1" outlineLevel="2" x14ac:dyDescent="0.25">
      <c r="A413" t="str">
        <f t="shared" si="68"/>
        <v>AK6 - 1994</v>
      </c>
      <c r="B413" t="s">
        <v>33</v>
      </c>
      <c r="C413">
        <v>2</v>
      </c>
      <c r="D413">
        <v>10</v>
      </c>
      <c r="E413">
        <v>1994</v>
      </c>
      <c r="F413">
        <v>129.1</v>
      </c>
      <c r="G413">
        <v>10.8</v>
      </c>
      <c r="H413">
        <v>10.199999999999999</v>
      </c>
      <c r="I413">
        <v>0.6</v>
      </c>
      <c r="J413">
        <v>5</v>
      </c>
      <c r="K413">
        <v>83.9</v>
      </c>
      <c r="L413">
        <v>523.6</v>
      </c>
      <c r="M413">
        <v>363</v>
      </c>
      <c r="N413">
        <v>353</v>
      </c>
      <c r="O413">
        <v>537</v>
      </c>
      <c r="P413">
        <v>184</v>
      </c>
      <c r="Q413">
        <v>273</v>
      </c>
      <c r="R413">
        <v>540</v>
      </c>
      <c r="S413">
        <v>267</v>
      </c>
      <c r="T413">
        <v>193.8</v>
      </c>
      <c r="U413">
        <v>412</v>
      </c>
      <c r="V413">
        <v>396</v>
      </c>
      <c r="W413">
        <v>500</v>
      </c>
      <c r="X413">
        <v>2.79</v>
      </c>
    </row>
    <row r="414" spans="1:24" hidden="1" outlineLevel="2" x14ac:dyDescent="0.25">
      <c r="A414" t="str">
        <f t="shared" si="68"/>
        <v>AK6 - 1994</v>
      </c>
      <c r="B414" t="s">
        <v>33</v>
      </c>
      <c r="C414">
        <v>3</v>
      </c>
      <c r="D414">
        <v>10</v>
      </c>
      <c r="E414">
        <v>1994</v>
      </c>
      <c r="F414">
        <v>132.1</v>
      </c>
      <c r="G414">
        <v>12.3</v>
      </c>
      <c r="H414">
        <v>11.1</v>
      </c>
      <c r="I414">
        <v>1.2</v>
      </c>
      <c r="J414">
        <v>9</v>
      </c>
      <c r="K414">
        <v>97.3</v>
      </c>
      <c r="L414">
        <v>548.20000000000005</v>
      </c>
      <c r="M414">
        <v>388</v>
      </c>
      <c r="N414">
        <v>373</v>
      </c>
      <c r="O414">
        <v>524</v>
      </c>
      <c r="P414">
        <v>151</v>
      </c>
      <c r="Q414">
        <v>321</v>
      </c>
      <c r="R414">
        <v>542</v>
      </c>
      <c r="S414">
        <v>221</v>
      </c>
      <c r="T414">
        <v>261.89999999999998</v>
      </c>
      <c r="U414">
        <v>404</v>
      </c>
      <c r="V414">
        <v>407</v>
      </c>
      <c r="W414">
        <v>500</v>
      </c>
      <c r="X414">
        <v>2.79</v>
      </c>
    </row>
    <row r="415" spans="1:24" hidden="1" outlineLevel="2" x14ac:dyDescent="0.25">
      <c r="A415" t="str">
        <f t="shared" si="68"/>
        <v>AK6 - 1994</v>
      </c>
      <c r="B415" t="s">
        <v>33</v>
      </c>
      <c r="C415">
        <v>4</v>
      </c>
      <c r="D415">
        <v>9</v>
      </c>
      <c r="E415">
        <v>1994</v>
      </c>
      <c r="F415">
        <v>96.9</v>
      </c>
      <c r="G415">
        <v>7.5</v>
      </c>
      <c r="H415">
        <v>6.6</v>
      </c>
      <c r="I415">
        <v>0.9</v>
      </c>
      <c r="J415">
        <v>12</v>
      </c>
      <c r="K415">
        <v>43.9</v>
      </c>
      <c r="L415">
        <v>295</v>
      </c>
      <c r="M415">
        <v>393</v>
      </c>
      <c r="N415">
        <v>376</v>
      </c>
      <c r="O415">
        <v>514</v>
      </c>
      <c r="P415">
        <v>138</v>
      </c>
      <c r="Q415">
        <v>309</v>
      </c>
      <c r="R415">
        <v>524</v>
      </c>
      <c r="S415">
        <v>215</v>
      </c>
      <c r="T415">
        <v>166.8</v>
      </c>
      <c r="U415">
        <v>412</v>
      </c>
      <c r="V415">
        <v>409</v>
      </c>
      <c r="W415">
        <v>500</v>
      </c>
      <c r="X415">
        <v>2.79</v>
      </c>
    </row>
    <row r="416" spans="1:24" hidden="1" outlineLevel="2" x14ac:dyDescent="0.25">
      <c r="A416" t="str">
        <f t="shared" si="68"/>
        <v>AK6 - 1994</v>
      </c>
      <c r="B416" t="s">
        <v>33</v>
      </c>
      <c r="C416">
        <v>5</v>
      </c>
      <c r="D416">
        <v>9</v>
      </c>
      <c r="E416">
        <v>1994</v>
      </c>
      <c r="F416">
        <v>146.5</v>
      </c>
      <c r="G416">
        <v>10.5</v>
      </c>
      <c r="H416">
        <v>10.199999999999999</v>
      </c>
      <c r="I416">
        <v>0.3</v>
      </c>
      <c r="J416">
        <v>2</v>
      </c>
      <c r="K416">
        <v>93.2</v>
      </c>
      <c r="L416">
        <v>674.3</v>
      </c>
      <c r="M416">
        <v>355</v>
      </c>
      <c r="N416">
        <v>349</v>
      </c>
      <c r="O416">
        <v>546</v>
      </c>
      <c r="P416">
        <v>197</v>
      </c>
      <c r="Q416">
        <v>280</v>
      </c>
      <c r="R416">
        <v>546</v>
      </c>
      <c r="S416">
        <v>266</v>
      </c>
      <c r="T416">
        <v>224.7</v>
      </c>
      <c r="U416">
        <v>390</v>
      </c>
      <c r="V416">
        <v>376</v>
      </c>
      <c r="W416">
        <v>500</v>
      </c>
      <c r="X416">
        <v>2.79</v>
      </c>
    </row>
    <row r="417" spans="1:24" hidden="1" outlineLevel="2" x14ac:dyDescent="0.25">
      <c r="A417" t="str">
        <f t="shared" si="68"/>
        <v>AK6 - 1994</v>
      </c>
      <c r="B417" t="s">
        <v>33</v>
      </c>
      <c r="C417">
        <v>6</v>
      </c>
      <c r="D417">
        <v>10</v>
      </c>
      <c r="E417">
        <v>1994</v>
      </c>
      <c r="F417">
        <v>150.5</v>
      </c>
      <c r="G417">
        <v>11.7</v>
      </c>
      <c r="H417">
        <v>10.5</v>
      </c>
      <c r="I417">
        <v>1.2</v>
      </c>
      <c r="J417">
        <v>10</v>
      </c>
      <c r="K417">
        <v>106.3</v>
      </c>
      <c r="L417">
        <v>711.6</v>
      </c>
      <c r="M417">
        <v>400</v>
      </c>
      <c r="N417">
        <v>385</v>
      </c>
      <c r="O417">
        <v>525</v>
      </c>
      <c r="P417">
        <v>140</v>
      </c>
      <c r="Q417">
        <v>317</v>
      </c>
      <c r="R417">
        <v>551</v>
      </c>
      <c r="S417">
        <v>234</v>
      </c>
      <c r="T417">
        <v>282</v>
      </c>
      <c r="U417">
        <v>406</v>
      </c>
      <c r="V417">
        <v>411</v>
      </c>
      <c r="W417">
        <v>500</v>
      </c>
      <c r="X417">
        <v>2.79</v>
      </c>
    </row>
    <row r="418" spans="1:24" hidden="1" outlineLevel="2" x14ac:dyDescent="0.25">
      <c r="A418" t="str">
        <f t="shared" si="68"/>
        <v>AK6 - 1994</v>
      </c>
      <c r="B418" t="s">
        <v>33</v>
      </c>
      <c r="C418">
        <v>7</v>
      </c>
      <c r="D418">
        <v>10</v>
      </c>
      <c r="E418">
        <v>1994</v>
      </c>
      <c r="F418">
        <v>121.9</v>
      </c>
      <c r="G418">
        <v>12</v>
      </c>
      <c r="H418">
        <v>10.8</v>
      </c>
      <c r="I418">
        <v>1.2</v>
      </c>
      <c r="J418">
        <v>10</v>
      </c>
      <c r="K418">
        <v>87.4</v>
      </c>
      <c r="L418">
        <v>466.8</v>
      </c>
      <c r="M418">
        <v>401</v>
      </c>
      <c r="N418">
        <v>386</v>
      </c>
      <c r="O418">
        <v>529</v>
      </c>
      <c r="P418">
        <v>143</v>
      </c>
      <c r="Q418">
        <v>301</v>
      </c>
      <c r="R418">
        <v>545</v>
      </c>
      <c r="S418">
        <v>244</v>
      </c>
      <c r="T418">
        <v>220.2</v>
      </c>
      <c r="U418">
        <v>418</v>
      </c>
      <c r="V418">
        <v>420</v>
      </c>
      <c r="W418">
        <v>500</v>
      </c>
      <c r="X418">
        <v>2.79</v>
      </c>
    </row>
    <row r="419" spans="1:24" hidden="1" outlineLevel="2" x14ac:dyDescent="0.25">
      <c r="A419" t="str">
        <f t="shared" si="68"/>
        <v>AK6 - 1994</v>
      </c>
      <c r="B419" t="s">
        <v>33</v>
      </c>
      <c r="C419">
        <v>8</v>
      </c>
      <c r="D419">
        <v>10</v>
      </c>
      <c r="E419">
        <v>1994</v>
      </c>
      <c r="F419">
        <v>131.1</v>
      </c>
      <c r="G419">
        <v>12</v>
      </c>
      <c r="H419">
        <v>11.1</v>
      </c>
      <c r="I419">
        <v>0.9</v>
      </c>
      <c r="J419">
        <v>7</v>
      </c>
      <c r="K419">
        <v>94.3</v>
      </c>
      <c r="L419">
        <v>540</v>
      </c>
      <c r="M419">
        <v>370</v>
      </c>
      <c r="N419">
        <v>359</v>
      </c>
      <c r="O419">
        <v>510</v>
      </c>
      <c r="P419">
        <v>151</v>
      </c>
      <c r="Q419">
        <v>288</v>
      </c>
      <c r="R419">
        <v>530</v>
      </c>
      <c r="S419">
        <v>242</v>
      </c>
      <c r="T419">
        <v>222.3</v>
      </c>
      <c r="U419">
        <v>354</v>
      </c>
      <c r="V419">
        <v>355</v>
      </c>
      <c r="W419">
        <v>500</v>
      </c>
      <c r="X419">
        <v>2.79</v>
      </c>
    </row>
    <row r="420" spans="1:24" hidden="1" outlineLevel="2" x14ac:dyDescent="0.25">
      <c r="A420" t="str">
        <f t="shared" si="68"/>
        <v>AK6 - 1994</v>
      </c>
      <c r="B420" t="s">
        <v>33</v>
      </c>
      <c r="C420">
        <v>10</v>
      </c>
      <c r="D420">
        <v>10</v>
      </c>
      <c r="E420">
        <v>1994</v>
      </c>
      <c r="F420">
        <v>118.2</v>
      </c>
      <c r="G420">
        <v>10.5</v>
      </c>
      <c r="H420">
        <v>9.3000000000000007</v>
      </c>
      <c r="I420">
        <v>1.2</v>
      </c>
      <c r="J420">
        <v>11</v>
      </c>
      <c r="K420">
        <v>74.5</v>
      </c>
      <c r="L420">
        <v>438.9</v>
      </c>
      <c r="M420">
        <v>404</v>
      </c>
      <c r="N420">
        <v>389</v>
      </c>
      <c r="O420">
        <v>524</v>
      </c>
      <c r="P420">
        <v>135</v>
      </c>
      <c r="Q420">
        <v>325</v>
      </c>
      <c r="R420">
        <v>537</v>
      </c>
      <c r="S420">
        <v>212</v>
      </c>
      <c r="T420">
        <v>188.1</v>
      </c>
      <c r="U420">
        <v>437</v>
      </c>
      <c r="V420">
        <v>439</v>
      </c>
      <c r="W420">
        <v>500</v>
      </c>
      <c r="X420">
        <v>2.79</v>
      </c>
    </row>
    <row r="421" spans="1:24" hidden="1" outlineLevel="2" x14ac:dyDescent="0.25">
      <c r="A421" t="str">
        <f t="shared" si="68"/>
        <v>AK6 - 1994</v>
      </c>
      <c r="B421" t="s">
        <v>33</v>
      </c>
      <c r="C421">
        <v>11</v>
      </c>
      <c r="D421">
        <v>9</v>
      </c>
      <c r="E421">
        <v>1994</v>
      </c>
      <c r="F421">
        <v>73.7</v>
      </c>
      <c r="G421">
        <v>6.6</v>
      </c>
      <c r="H421">
        <v>5.7</v>
      </c>
      <c r="I421">
        <v>0.9</v>
      </c>
      <c r="J421">
        <v>13</v>
      </c>
      <c r="K421">
        <v>29.2</v>
      </c>
      <c r="L421">
        <v>170.6</v>
      </c>
      <c r="M421">
        <v>441</v>
      </c>
      <c r="N421">
        <v>430</v>
      </c>
      <c r="O421">
        <v>512</v>
      </c>
      <c r="P421">
        <v>82</v>
      </c>
      <c r="Q421">
        <v>384</v>
      </c>
      <c r="R421">
        <v>520</v>
      </c>
      <c r="S421">
        <v>136</v>
      </c>
      <c r="T421">
        <v>108</v>
      </c>
      <c r="U421">
        <v>389</v>
      </c>
      <c r="V421">
        <v>391</v>
      </c>
      <c r="W421">
        <v>500</v>
      </c>
      <c r="X421">
        <v>2.79</v>
      </c>
    </row>
    <row r="422" spans="1:24" hidden="1" outlineLevel="2" x14ac:dyDescent="0.25">
      <c r="A422" t="str">
        <f t="shared" si="68"/>
        <v>AK6 - 1994</v>
      </c>
      <c r="B422" t="s">
        <v>33</v>
      </c>
      <c r="C422">
        <v>12</v>
      </c>
      <c r="D422">
        <v>10</v>
      </c>
      <c r="E422">
        <v>1994</v>
      </c>
      <c r="F422">
        <v>92.3</v>
      </c>
      <c r="G422">
        <v>9</v>
      </c>
      <c r="H422">
        <v>7.2</v>
      </c>
      <c r="I422">
        <v>1.8</v>
      </c>
      <c r="J422">
        <v>20</v>
      </c>
      <c r="K422">
        <v>49.6</v>
      </c>
      <c r="L422">
        <v>267.60000000000002</v>
      </c>
      <c r="M422">
        <v>414</v>
      </c>
      <c r="N422">
        <v>380</v>
      </c>
      <c r="O422">
        <v>547</v>
      </c>
      <c r="P422">
        <v>167</v>
      </c>
      <c r="Q422">
        <v>337</v>
      </c>
      <c r="R422">
        <v>563</v>
      </c>
      <c r="S422">
        <v>226</v>
      </c>
      <c r="T422">
        <v>189.3</v>
      </c>
      <c r="U422">
        <v>426</v>
      </c>
      <c r="V422">
        <v>428</v>
      </c>
      <c r="W422">
        <v>500</v>
      </c>
      <c r="X422">
        <v>2.79</v>
      </c>
    </row>
    <row r="423" spans="1:24" hidden="1" outlineLevel="2" x14ac:dyDescent="0.25">
      <c r="A423" t="str">
        <f t="shared" si="68"/>
        <v>AK6 - 1994</v>
      </c>
      <c r="B423" t="s">
        <v>33</v>
      </c>
      <c r="C423">
        <v>13</v>
      </c>
      <c r="D423">
        <v>9</v>
      </c>
      <c r="E423">
        <v>1994</v>
      </c>
      <c r="F423">
        <v>123.2</v>
      </c>
      <c r="G423">
        <v>13.8</v>
      </c>
      <c r="H423">
        <v>12.9</v>
      </c>
      <c r="I423">
        <v>0.9</v>
      </c>
      <c r="J423">
        <v>6</v>
      </c>
      <c r="K423">
        <v>100.8</v>
      </c>
      <c r="L423">
        <v>476.8</v>
      </c>
      <c r="M423">
        <v>363</v>
      </c>
      <c r="N423">
        <v>351</v>
      </c>
      <c r="O423">
        <v>537</v>
      </c>
      <c r="P423">
        <v>186</v>
      </c>
      <c r="Q423">
        <v>278</v>
      </c>
      <c r="R423">
        <v>568</v>
      </c>
      <c r="S423">
        <v>290</v>
      </c>
      <c r="T423">
        <v>221.4</v>
      </c>
      <c r="U423">
        <v>380</v>
      </c>
      <c r="V423">
        <v>378</v>
      </c>
      <c r="W423">
        <v>500</v>
      </c>
      <c r="X423">
        <v>2.79</v>
      </c>
    </row>
    <row r="424" spans="1:24" hidden="1" outlineLevel="2" x14ac:dyDescent="0.25">
      <c r="A424" t="str">
        <f t="shared" si="68"/>
        <v>AK6 - 1994</v>
      </c>
      <c r="B424" t="s">
        <v>33</v>
      </c>
      <c r="C424">
        <v>15</v>
      </c>
      <c r="D424">
        <v>9</v>
      </c>
      <c r="E424">
        <v>1994</v>
      </c>
      <c r="F424">
        <v>132.69999999999999</v>
      </c>
      <c r="G424">
        <v>18</v>
      </c>
      <c r="H424">
        <v>17.399999999999999</v>
      </c>
      <c r="I424">
        <v>0.6</v>
      </c>
      <c r="J424">
        <v>3</v>
      </c>
      <c r="K424">
        <v>139.9</v>
      </c>
      <c r="L424">
        <v>553.20000000000005</v>
      </c>
      <c r="M424">
        <v>372</v>
      </c>
      <c r="N424">
        <v>366</v>
      </c>
      <c r="O424">
        <v>537</v>
      </c>
      <c r="P424">
        <v>171</v>
      </c>
      <c r="Q424">
        <v>299</v>
      </c>
      <c r="R424">
        <v>538</v>
      </c>
      <c r="S424">
        <v>239</v>
      </c>
      <c r="T424">
        <v>222.9</v>
      </c>
      <c r="U424">
        <v>390</v>
      </c>
      <c r="V424">
        <v>386</v>
      </c>
      <c r="W424">
        <v>500</v>
      </c>
      <c r="X424">
        <v>2.79</v>
      </c>
    </row>
    <row r="425" spans="1:24" hidden="1" outlineLevel="2" x14ac:dyDescent="0.25">
      <c r="A425" t="str">
        <f t="shared" si="68"/>
        <v>AK6 - 1994</v>
      </c>
      <c r="B425" t="s">
        <v>33</v>
      </c>
      <c r="C425">
        <v>14</v>
      </c>
      <c r="D425">
        <v>10</v>
      </c>
      <c r="E425">
        <v>1994</v>
      </c>
      <c r="F425">
        <v>151.80000000000001</v>
      </c>
      <c r="G425">
        <v>14.7</v>
      </c>
      <c r="H425">
        <v>13.8</v>
      </c>
      <c r="I425">
        <v>0.9</v>
      </c>
      <c r="J425">
        <v>6</v>
      </c>
      <c r="K425">
        <v>133.4</v>
      </c>
      <c r="L425">
        <v>723.9</v>
      </c>
      <c r="M425">
        <v>363</v>
      </c>
      <c r="N425">
        <v>352</v>
      </c>
      <c r="O425">
        <v>531</v>
      </c>
      <c r="P425">
        <v>179</v>
      </c>
      <c r="Q425">
        <v>240</v>
      </c>
      <c r="R425">
        <v>546</v>
      </c>
      <c r="S425">
        <v>306</v>
      </c>
      <c r="T425">
        <v>292.2</v>
      </c>
      <c r="U425">
        <v>398</v>
      </c>
      <c r="V425">
        <v>397</v>
      </c>
      <c r="W425">
        <v>500</v>
      </c>
      <c r="X425">
        <v>2.79</v>
      </c>
    </row>
    <row r="426" spans="1:24" hidden="1" outlineLevel="2" x14ac:dyDescent="0.25">
      <c r="A426" t="str">
        <f t="shared" si="68"/>
        <v>AK6 - 1994</v>
      </c>
      <c r="B426" t="s">
        <v>33</v>
      </c>
      <c r="C426" t="s">
        <v>35</v>
      </c>
      <c r="D426">
        <v>9</v>
      </c>
      <c r="E426">
        <v>1994</v>
      </c>
      <c r="F426">
        <v>115.1</v>
      </c>
      <c r="G426">
        <v>12.6</v>
      </c>
      <c r="H426">
        <v>12.3</v>
      </c>
      <c r="I426">
        <v>0.3</v>
      </c>
      <c r="J426">
        <v>2</v>
      </c>
      <c r="K426">
        <v>86.1</v>
      </c>
      <c r="L426">
        <v>416.2</v>
      </c>
      <c r="M426">
        <v>385</v>
      </c>
      <c r="N426">
        <v>381</v>
      </c>
      <c r="O426">
        <v>567</v>
      </c>
      <c r="P426">
        <v>186</v>
      </c>
      <c r="Q426">
        <v>283</v>
      </c>
      <c r="R426">
        <v>567</v>
      </c>
      <c r="S426">
        <v>284</v>
      </c>
      <c r="T426">
        <v>205.5</v>
      </c>
      <c r="U426">
        <v>422</v>
      </c>
      <c r="V426">
        <v>415</v>
      </c>
      <c r="W426">
        <v>500</v>
      </c>
      <c r="X426">
        <v>2.79</v>
      </c>
    </row>
    <row r="427" spans="1:24" outlineLevel="1" collapsed="1" x14ac:dyDescent="0.25">
      <c r="A427" s="8" t="s">
        <v>70</v>
      </c>
      <c r="D427">
        <f t="shared" ref="D427:V427" si="69">SUBTOTAL(1,D412:D426)</f>
        <v>9.5333333333333332</v>
      </c>
      <c r="E427">
        <f t="shared" si="69"/>
        <v>1994</v>
      </c>
      <c r="F427">
        <f t="shared" si="69"/>
        <v>122.35999999999999</v>
      </c>
      <c r="G427">
        <f t="shared" si="69"/>
        <v>11.899999999999999</v>
      </c>
      <c r="H427">
        <f t="shared" si="69"/>
        <v>11.000000000000002</v>
      </c>
      <c r="I427">
        <f t="shared" si="69"/>
        <v>0.90000000000000013</v>
      </c>
      <c r="J427">
        <f t="shared" si="69"/>
        <v>7.9333333333333336</v>
      </c>
      <c r="K427">
        <f t="shared" si="69"/>
        <v>89.066666666666663</v>
      </c>
      <c r="L427">
        <f t="shared" si="69"/>
        <v>484.09333333333336</v>
      </c>
      <c r="M427">
        <f t="shared" si="69"/>
        <v>385</v>
      </c>
      <c r="N427">
        <f t="shared" si="69"/>
        <v>372.46666666666664</v>
      </c>
      <c r="O427">
        <f t="shared" si="69"/>
        <v>531.4</v>
      </c>
      <c r="P427">
        <f t="shared" si="69"/>
        <v>158.93333333333334</v>
      </c>
      <c r="Q427">
        <f t="shared" si="69"/>
        <v>302.33333333333331</v>
      </c>
      <c r="R427">
        <f t="shared" si="69"/>
        <v>543.86666666666667</v>
      </c>
      <c r="S427">
        <f t="shared" si="69"/>
        <v>241.53333333333333</v>
      </c>
      <c r="T427">
        <f t="shared" si="69"/>
        <v>214.06</v>
      </c>
      <c r="U427">
        <f t="shared" si="69"/>
        <v>403.86666666666667</v>
      </c>
      <c r="V427">
        <f t="shared" si="69"/>
        <v>401.4</v>
      </c>
    </row>
    <row r="428" spans="1:24" hidden="1" outlineLevel="2" x14ac:dyDescent="0.25">
      <c r="A428" t="str">
        <f t="shared" ref="A428:A442" si="70">CONCATENATE(B428," - ",E428)</f>
        <v>AK6 - 1995</v>
      </c>
      <c r="B428" t="s">
        <v>33</v>
      </c>
      <c r="C428">
        <v>1</v>
      </c>
      <c r="D428">
        <v>10</v>
      </c>
      <c r="E428">
        <v>1995</v>
      </c>
      <c r="F428">
        <v>133.19999999999999</v>
      </c>
      <c r="G428">
        <v>12.9</v>
      </c>
      <c r="H428">
        <v>12.3</v>
      </c>
      <c r="I428">
        <v>0.6</v>
      </c>
      <c r="J428">
        <v>4</v>
      </c>
      <c r="K428">
        <v>102.7</v>
      </c>
      <c r="L428">
        <v>557.4</v>
      </c>
      <c r="M428">
        <v>366</v>
      </c>
      <c r="N428">
        <v>356</v>
      </c>
      <c r="O428">
        <v>557</v>
      </c>
      <c r="P428">
        <v>201</v>
      </c>
      <c r="Q428">
        <v>289</v>
      </c>
      <c r="R428">
        <v>574</v>
      </c>
      <c r="S428">
        <v>285</v>
      </c>
      <c r="T428">
        <v>211.8</v>
      </c>
      <c r="U428">
        <v>420</v>
      </c>
      <c r="V428">
        <v>413</v>
      </c>
      <c r="W428">
        <v>500</v>
      </c>
      <c r="X428">
        <v>2.79</v>
      </c>
    </row>
    <row r="429" spans="1:24" hidden="1" outlineLevel="2" x14ac:dyDescent="0.25">
      <c r="A429" t="str">
        <f t="shared" si="70"/>
        <v>AK6 - 1995</v>
      </c>
      <c r="B429" t="s">
        <v>33</v>
      </c>
      <c r="C429">
        <v>2</v>
      </c>
      <c r="D429">
        <v>11</v>
      </c>
      <c r="E429">
        <v>1995</v>
      </c>
      <c r="F429">
        <v>136.9</v>
      </c>
      <c r="G429">
        <v>7.8</v>
      </c>
      <c r="H429">
        <v>6.6</v>
      </c>
      <c r="I429">
        <v>1.2</v>
      </c>
      <c r="J429">
        <v>15</v>
      </c>
      <c r="K429">
        <v>65.2</v>
      </c>
      <c r="L429">
        <v>588.79999999999995</v>
      </c>
      <c r="M429">
        <v>391</v>
      </c>
      <c r="N429">
        <v>366</v>
      </c>
      <c r="O429">
        <v>527</v>
      </c>
      <c r="P429">
        <v>161</v>
      </c>
      <c r="Q429">
        <v>293</v>
      </c>
      <c r="R429">
        <v>546</v>
      </c>
      <c r="S429">
        <v>253</v>
      </c>
      <c r="T429">
        <v>193.8</v>
      </c>
      <c r="U429">
        <v>412</v>
      </c>
      <c r="V429">
        <v>396</v>
      </c>
      <c r="W429">
        <v>500</v>
      </c>
      <c r="X429">
        <v>2.79</v>
      </c>
    </row>
    <row r="430" spans="1:24" hidden="1" outlineLevel="2" x14ac:dyDescent="0.25">
      <c r="A430" t="str">
        <f t="shared" si="70"/>
        <v>AK6 - 1995</v>
      </c>
      <c r="B430" t="s">
        <v>33</v>
      </c>
      <c r="C430">
        <v>3</v>
      </c>
      <c r="D430">
        <v>11</v>
      </c>
      <c r="E430">
        <v>1995</v>
      </c>
      <c r="F430">
        <v>141.4</v>
      </c>
      <c r="G430">
        <v>9.3000000000000007</v>
      </c>
      <c r="H430">
        <v>8.1</v>
      </c>
      <c r="I430">
        <v>1.2</v>
      </c>
      <c r="J430">
        <v>12</v>
      </c>
      <c r="K430">
        <v>79.900000000000006</v>
      </c>
      <c r="L430">
        <v>628.1</v>
      </c>
      <c r="M430">
        <v>413</v>
      </c>
      <c r="N430">
        <v>396</v>
      </c>
      <c r="O430">
        <v>531</v>
      </c>
      <c r="P430">
        <v>135</v>
      </c>
      <c r="Q430">
        <v>318</v>
      </c>
      <c r="R430">
        <v>539</v>
      </c>
      <c r="S430">
        <v>221</v>
      </c>
      <c r="T430">
        <v>261.89999999999998</v>
      </c>
      <c r="U430">
        <v>404</v>
      </c>
      <c r="V430">
        <v>407</v>
      </c>
      <c r="W430">
        <v>500</v>
      </c>
      <c r="X430">
        <v>2.79</v>
      </c>
    </row>
    <row r="431" spans="1:24" hidden="1" outlineLevel="2" x14ac:dyDescent="0.25">
      <c r="A431" t="str">
        <f t="shared" si="70"/>
        <v>AK6 - 1995</v>
      </c>
      <c r="B431" t="s">
        <v>33</v>
      </c>
      <c r="C431">
        <v>4</v>
      </c>
      <c r="D431">
        <v>10</v>
      </c>
      <c r="E431">
        <v>1995</v>
      </c>
      <c r="F431">
        <v>103.5</v>
      </c>
      <c r="G431">
        <v>6.6</v>
      </c>
      <c r="H431">
        <v>6.6</v>
      </c>
      <c r="I431">
        <v>0</v>
      </c>
      <c r="J431">
        <v>0</v>
      </c>
      <c r="K431">
        <v>41.6</v>
      </c>
      <c r="L431">
        <v>336.5</v>
      </c>
      <c r="M431">
        <v>391</v>
      </c>
      <c r="N431">
        <v>391</v>
      </c>
      <c r="Q431">
        <v>326</v>
      </c>
      <c r="R431">
        <v>479</v>
      </c>
      <c r="S431">
        <v>153</v>
      </c>
      <c r="T431">
        <v>166.8</v>
      </c>
      <c r="U431">
        <v>412</v>
      </c>
      <c r="V431">
        <v>409</v>
      </c>
      <c r="W431">
        <v>500</v>
      </c>
      <c r="X431">
        <v>2.79</v>
      </c>
    </row>
    <row r="432" spans="1:24" hidden="1" outlineLevel="2" x14ac:dyDescent="0.25">
      <c r="A432" t="str">
        <f t="shared" si="70"/>
        <v>AK6 - 1995</v>
      </c>
      <c r="B432" t="s">
        <v>33</v>
      </c>
      <c r="C432">
        <v>5</v>
      </c>
      <c r="D432">
        <v>10</v>
      </c>
      <c r="E432">
        <v>1995</v>
      </c>
      <c r="F432">
        <v>155.5</v>
      </c>
      <c r="G432">
        <v>9</v>
      </c>
      <c r="H432">
        <v>8.4</v>
      </c>
      <c r="I432">
        <v>0.6</v>
      </c>
      <c r="J432">
        <v>6</v>
      </c>
      <c r="K432">
        <v>85.4</v>
      </c>
      <c r="L432">
        <v>759.6</v>
      </c>
      <c r="M432">
        <v>372</v>
      </c>
      <c r="N432">
        <v>361</v>
      </c>
      <c r="O432">
        <v>525</v>
      </c>
      <c r="P432">
        <v>164</v>
      </c>
      <c r="Q432">
        <v>276</v>
      </c>
      <c r="R432">
        <v>538</v>
      </c>
      <c r="S432">
        <v>262</v>
      </c>
      <c r="T432">
        <v>224.7</v>
      </c>
      <c r="U432">
        <v>390</v>
      </c>
      <c r="V432">
        <v>376</v>
      </c>
      <c r="W432">
        <v>500</v>
      </c>
      <c r="X432">
        <v>2.79</v>
      </c>
    </row>
    <row r="433" spans="1:24" hidden="1" outlineLevel="2" x14ac:dyDescent="0.25">
      <c r="A433" t="str">
        <f t="shared" si="70"/>
        <v>AK6 - 1995</v>
      </c>
      <c r="B433" t="s">
        <v>33</v>
      </c>
      <c r="C433">
        <v>6</v>
      </c>
      <c r="D433">
        <v>11</v>
      </c>
      <c r="E433">
        <v>1995</v>
      </c>
      <c r="F433">
        <v>157.4</v>
      </c>
      <c r="G433">
        <v>6.9</v>
      </c>
      <c r="H433">
        <v>6</v>
      </c>
      <c r="I433">
        <v>0.9</v>
      </c>
      <c r="J433">
        <v>13</v>
      </c>
      <c r="K433">
        <v>66.7</v>
      </c>
      <c r="L433">
        <v>778.3</v>
      </c>
      <c r="M433">
        <v>415</v>
      </c>
      <c r="N433">
        <v>399</v>
      </c>
      <c r="O433">
        <v>522</v>
      </c>
      <c r="P433">
        <v>123</v>
      </c>
      <c r="Q433">
        <v>329</v>
      </c>
      <c r="R433">
        <v>530</v>
      </c>
      <c r="S433">
        <v>201</v>
      </c>
      <c r="T433">
        <v>282</v>
      </c>
      <c r="U433">
        <v>406</v>
      </c>
      <c r="V433">
        <v>411</v>
      </c>
      <c r="W433">
        <v>500</v>
      </c>
      <c r="X433">
        <v>2.79</v>
      </c>
    </row>
    <row r="434" spans="1:24" hidden="1" outlineLevel="2" x14ac:dyDescent="0.25">
      <c r="A434" t="str">
        <f t="shared" si="70"/>
        <v>AK6 - 1995</v>
      </c>
      <c r="B434" t="s">
        <v>33</v>
      </c>
      <c r="C434">
        <v>7</v>
      </c>
      <c r="D434">
        <v>11</v>
      </c>
      <c r="E434">
        <v>1995</v>
      </c>
      <c r="F434">
        <v>130.30000000000001</v>
      </c>
      <c r="G434">
        <v>8.4</v>
      </c>
      <c r="H434">
        <v>7.2</v>
      </c>
      <c r="I434">
        <v>1.2</v>
      </c>
      <c r="J434">
        <v>14</v>
      </c>
      <c r="K434">
        <v>66.599999999999994</v>
      </c>
      <c r="L434">
        <v>533.4</v>
      </c>
      <c r="M434">
        <v>408</v>
      </c>
      <c r="N434">
        <v>391</v>
      </c>
      <c r="O434">
        <v>509</v>
      </c>
      <c r="P434">
        <v>118</v>
      </c>
      <c r="Q434">
        <v>313</v>
      </c>
      <c r="R434">
        <v>523</v>
      </c>
      <c r="S434">
        <v>210</v>
      </c>
      <c r="T434">
        <v>220.2</v>
      </c>
      <c r="U434">
        <v>418</v>
      </c>
      <c r="V434">
        <v>420</v>
      </c>
      <c r="W434">
        <v>500</v>
      </c>
      <c r="X434">
        <v>2.79</v>
      </c>
    </row>
    <row r="435" spans="1:24" hidden="1" outlineLevel="2" x14ac:dyDescent="0.25">
      <c r="A435" t="str">
        <f t="shared" si="70"/>
        <v>AK6 - 1995</v>
      </c>
      <c r="B435" t="s">
        <v>33</v>
      </c>
      <c r="C435">
        <v>8</v>
      </c>
      <c r="D435">
        <v>11</v>
      </c>
      <c r="E435">
        <v>1995</v>
      </c>
      <c r="F435">
        <v>142.19999999999999</v>
      </c>
      <c r="G435">
        <v>11.1</v>
      </c>
      <c r="H435">
        <v>11.1</v>
      </c>
      <c r="I435">
        <v>0</v>
      </c>
      <c r="J435">
        <v>0</v>
      </c>
      <c r="K435">
        <v>95.3</v>
      </c>
      <c r="L435">
        <v>635.29999999999995</v>
      </c>
      <c r="M435">
        <v>355</v>
      </c>
      <c r="N435">
        <v>355</v>
      </c>
      <c r="Q435">
        <v>270</v>
      </c>
      <c r="R435">
        <v>498</v>
      </c>
      <c r="S435">
        <v>228</v>
      </c>
      <c r="T435">
        <v>222.3</v>
      </c>
      <c r="U435">
        <v>354</v>
      </c>
      <c r="V435">
        <v>355</v>
      </c>
      <c r="W435">
        <v>500</v>
      </c>
      <c r="X435">
        <v>2.79</v>
      </c>
    </row>
    <row r="436" spans="1:24" hidden="1" outlineLevel="2" x14ac:dyDescent="0.25">
      <c r="A436" t="str">
        <f t="shared" si="70"/>
        <v>AK6 - 1995</v>
      </c>
      <c r="B436" t="s">
        <v>33</v>
      </c>
      <c r="C436">
        <v>10</v>
      </c>
      <c r="D436">
        <v>11</v>
      </c>
      <c r="E436">
        <v>1995</v>
      </c>
      <c r="F436">
        <v>125.7</v>
      </c>
      <c r="G436">
        <v>7.5</v>
      </c>
      <c r="H436">
        <v>6.3</v>
      </c>
      <c r="I436">
        <v>1.2</v>
      </c>
      <c r="J436">
        <v>16</v>
      </c>
      <c r="K436">
        <v>57.5</v>
      </c>
      <c r="L436">
        <v>496.4</v>
      </c>
      <c r="M436">
        <v>411</v>
      </c>
      <c r="N436">
        <v>385</v>
      </c>
      <c r="O436">
        <v>552</v>
      </c>
      <c r="P436">
        <v>167</v>
      </c>
      <c r="Q436">
        <v>313</v>
      </c>
      <c r="R436">
        <v>576</v>
      </c>
      <c r="S436">
        <v>263</v>
      </c>
      <c r="T436">
        <v>188.1</v>
      </c>
      <c r="U436">
        <v>437</v>
      </c>
      <c r="V436">
        <v>439</v>
      </c>
      <c r="W436">
        <v>500</v>
      </c>
      <c r="X436">
        <v>2.79</v>
      </c>
    </row>
    <row r="437" spans="1:24" hidden="1" outlineLevel="2" x14ac:dyDescent="0.25">
      <c r="A437" t="str">
        <f t="shared" si="70"/>
        <v>AK6 - 1995</v>
      </c>
      <c r="B437" t="s">
        <v>33</v>
      </c>
      <c r="C437">
        <v>11</v>
      </c>
      <c r="D437">
        <v>10</v>
      </c>
      <c r="E437">
        <v>1995</v>
      </c>
      <c r="F437">
        <v>83.6</v>
      </c>
      <c r="G437">
        <v>9.9</v>
      </c>
      <c r="H437">
        <v>9.9</v>
      </c>
      <c r="I437">
        <v>0</v>
      </c>
      <c r="J437">
        <v>0</v>
      </c>
      <c r="K437">
        <v>48.9</v>
      </c>
      <c r="L437">
        <v>219.6</v>
      </c>
      <c r="M437">
        <v>382</v>
      </c>
      <c r="N437">
        <v>382</v>
      </c>
      <c r="Q437">
        <v>315</v>
      </c>
      <c r="R437">
        <v>491</v>
      </c>
      <c r="S437">
        <v>176</v>
      </c>
      <c r="T437">
        <v>108</v>
      </c>
      <c r="U437">
        <v>389</v>
      </c>
      <c r="V437">
        <v>391</v>
      </c>
      <c r="W437">
        <v>500</v>
      </c>
      <c r="X437">
        <v>2.79</v>
      </c>
    </row>
    <row r="438" spans="1:24" hidden="1" outlineLevel="2" x14ac:dyDescent="0.25">
      <c r="A438" t="str">
        <f t="shared" si="70"/>
        <v>AK6 - 1995</v>
      </c>
      <c r="B438" t="s">
        <v>33</v>
      </c>
      <c r="C438">
        <v>12</v>
      </c>
      <c r="D438">
        <v>11</v>
      </c>
      <c r="E438">
        <v>1995</v>
      </c>
      <c r="F438">
        <v>102.8</v>
      </c>
      <c r="G438">
        <v>10.5</v>
      </c>
      <c r="H438">
        <v>9.6</v>
      </c>
      <c r="I438">
        <v>0.9</v>
      </c>
      <c r="J438">
        <v>8</v>
      </c>
      <c r="K438">
        <v>64.400000000000006</v>
      </c>
      <c r="L438">
        <v>332</v>
      </c>
      <c r="M438">
        <v>410</v>
      </c>
      <c r="N438">
        <v>400</v>
      </c>
      <c r="O438">
        <v>518</v>
      </c>
      <c r="P438">
        <v>118</v>
      </c>
      <c r="Q438">
        <v>313</v>
      </c>
      <c r="R438">
        <v>548</v>
      </c>
      <c r="S438">
        <v>235</v>
      </c>
      <c r="T438">
        <v>189.3</v>
      </c>
      <c r="U438">
        <v>426</v>
      </c>
      <c r="V438">
        <v>428</v>
      </c>
      <c r="W438">
        <v>500</v>
      </c>
      <c r="X438">
        <v>2.79</v>
      </c>
    </row>
    <row r="439" spans="1:24" hidden="1" outlineLevel="2" x14ac:dyDescent="0.25">
      <c r="A439" t="str">
        <f t="shared" si="70"/>
        <v>AK6 - 1995</v>
      </c>
      <c r="B439" t="s">
        <v>33</v>
      </c>
      <c r="C439">
        <v>13</v>
      </c>
      <c r="D439">
        <v>10</v>
      </c>
      <c r="E439">
        <v>1995</v>
      </c>
      <c r="F439">
        <v>135.5</v>
      </c>
      <c r="G439">
        <v>12.3</v>
      </c>
      <c r="H439">
        <v>11.1</v>
      </c>
      <c r="I439">
        <v>1.2</v>
      </c>
      <c r="J439">
        <v>9</v>
      </c>
      <c r="K439">
        <v>100</v>
      </c>
      <c r="L439">
        <v>576.79999999999995</v>
      </c>
      <c r="M439">
        <v>384</v>
      </c>
      <c r="N439">
        <v>366</v>
      </c>
      <c r="O439">
        <v>554</v>
      </c>
      <c r="P439">
        <v>188</v>
      </c>
      <c r="Q439">
        <v>304</v>
      </c>
      <c r="R439">
        <v>581</v>
      </c>
      <c r="S439">
        <v>277</v>
      </c>
      <c r="T439">
        <v>221.4</v>
      </c>
      <c r="U439">
        <v>380</v>
      </c>
      <c r="V439">
        <v>378</v>
      </c>
      <c r="W439">
        <v>500</v>
      </c>
      <c r="X439">
        <v>2.79</v>
      </c>
    </row>
    <row r="440" spans="1:24" hidden="1" outlineLevel="2" x14ac:dyDescent="0.25">
      <c r="A440" t="str">
        <f t="shared" si="70"/>
        <v>AK6 - 1995</v>
      </c>
      <c r="B440" t="s">
        <v>33</v>
      </c>
      <c r="C440">
        <v>15</v>
      </c>
      <c r="D440">
        <v>10</v>
      </c>
      <c r="E440">
        <v>1995</v>
      </c>
      <c r="F440">
        <v>148</v>
      </c>
      <c r="G440">
        <v>15.3</v>
      </c>
      <c r="H440">
        <v>14.7</v>
      </c>
      <c r="I440">
        <v>0.6</v>
      </c>
      <c r="J440">
        <v>3</v>
      </c>
      <c r="K440">
        <v>134.9</v>
      </c>
      <c r="L440">
        <v>688.1</v>
      </c>
      <c r="M440">
        <v>367</v>
      </c>
      <c r="N440">
        <v>360</v>
      </c>
      <c r="O440">
        <v>530</v>
      </c>
      <c r="P440">
        <v>170</v>
      </c>
      <c r="Q440">
        <v>291</v>
      </c>
      <c r="R440">
        <v>538</v>
      </c>
      <c r="S440">
        <v>247</v>
      </c>
      <c r="T440">
        <v>222.9</v>
      </c>
      <c r="U440">
        <v>390</v>
      </c>
      <c r="V440">
        <v>386</v>
      </c>
      <c r="W440">
        <v>500</v>
      </c>
      <c r="X440">
        <v>2.79</v>
      </c>
    </row>
    <row r="441" spans="1:24" hidden="1" outlineLevel="2" x14ac:dyDescent="0.25">
      <c r="A441" t="str">
        <f t="shared" si="70"/>
        <v>AK6 - 1995</v>
      </c>
      <c r="B441" t="s">
        <v>33</v>
      </c>
      <c r="C441">
        <v>14</v>
      </c>
      <c r="D441">
        <v>11</v>
      </c>
      <c r="E441">
        <v>1995</v>
      </c>
      <c r="F441">
        <v>165</v>
      </c>
      <c r="G441">
        <v>13.2</v>
      </c>
      <c r="H441">
        <v>12</v>
      </c>
      <c r="I441">
        <v>1.2</v>
      </c>
      <c r="J441">
        <v>9</v>
      </c>
      <c r="K441">
        <v>131.4</v>
      </c>
      <c r="L441">
        <v>855.3</v>
      </c>
      <c r="M441">
        <v>377</v>
      </c>
      <c r="N441">
        <v>360</v>
      </c>
      <c r="O441">
        <v>542</v>
      </c>
      <c r="P441">
        <v>182</v>
      </c>
      <c r="Q441">
        <v>308</v>
      </c>
      <c r="R441">
        <v>570</v>
      </c>
      <c r="S441">
        <v>262</v>
      </c>
      <c r="T441">
        <v>292.2</v>
      </c>
      <c r="U441">
        <v>398</v>
      </c>
      <c r="V441">
        <v>397</v>
      </c>
      <c r="W441">
        <v>500</v>
      </c>
      <c r="X441">
        <v>2.79</v>
      </c>
    </row>
    <row r="442" spans="1:24" hidden="1" outlineLevel="2" x14ac:dyDescent="0.25">
      <c r="A442" t="str">
        <f t="shared" si="70"/>
        <v>AK6 - 1995</v>
      </c>
      <c r="B442" t="s">
        <v>33</v>
      </c>
      <c r="C442" t="s">
        <v>35</v>
      </c>
      <c r="D442">
        <v>10</v>
      </c>
      <c r="E442">
        <v>1995</v>
      </c>
      <c r="F442">
        <v>127.4</v>
      </c>
      <c r="G442">
        <v>12.3</v>
      </c>
      <c r="H442">
        <v>11.1</v>
      </c>
      <c r="I442">
        <v>1.2</v>
      </c>
      <c r="J442">
        <v>9</v>
      </c>
      <c r="K442">
        <v>93.7</v>
      </c>
      <c r="L442">
        <v>509.9</v>
      </c>
      <c r="M442">
        <v>393</v>
      </c>
      <c r="N442">
        <v>376</v>
      </c>
      <c r="O442">
        <v>548</v>
      </c>
      <c r="P442">
        <v>172</v>
      </c>
      <c r="Q442">
        <v>310</v>
      </c>
      <c r="R442">
        <v>580</v>
      </c>
      <c r="S442">
        <v>270</v>
      </c>
      <c r="T442">
        <v>205.5</v>
      </c>
      <c r="U442">
        <v>422</v>
      </c>
      <c r="V442">
        <v>415</v>
      </c>
      <c r="W442">
        <v>500</v>
      </c>
      <c r="X442">
        <v>2.79</v>
      </c>
    </row>
    <row r="443" spans="1:24" outlineLevel="1" collapsed="1" x14ac:dyDescent="0.25">
      <c r="A443" s="8" t="s">
        <v>71</v>
      </c>
      <c r="D443">
        <f t="shared" ref="D443:V443" si="71">SUBTOTAL(1,D428:D442)</f>
        <v>10.533333333333333</v>
      </c>
      <c r="E443">
        <f t="shared" si="71"/>
        <v>1995</v>
      </c>
      <c r="F443">
        <f t="shared" si="71"/>
        <v>132.56</v>
      </c>
      <c r="G443">
        <f t="shared" si="71"/>
        <v>10.199999999999999</v>
      </c>
      <c r="H443">
        <f t="shared" si="71"/>
        <v>9.3999999999999986</v>
      </c>
      <c r="I443">
        <f t="shared" si="71"/>
        <v>0.79999999999999993</v>
      </c>
      <c r="J443">
        <f t="shared" si="71"/>
        <v>7.8666666666666663</v>
      </c>
      <c r="K443">
        <f t="shared" si="71"/>
        <v>82.28</v>
      </c>
      <c r="L443">
        <f t="shared" si="71"/>
        <v>566.36666666666667</v>
      </c>
      <c r="M443">
        <f t="shared" si="71"/>
        <v>389</v>
      </c>
      <c r="N443">
        <f t="shared" si="71"/>
        <v>376.26666666666665</v>
      </c>
      <c r="O443">
        <f t="shared" si="71"/>
        <v>534.58333333333337</v>
      </c>
      <c r="P443">
        <f t="shared" si="71"/>
        <v>158.25</v>
      </c>
      <c r="Q443">
        <f t="shared" si="71"/>
        <v>304.53333333333336</v>
      </c>
      <c r="R443">
        <f t="shared" si="71"/>
        <v>540.73333333333335</v>
      </c>
      <c r="S443">
        <f t="shared" si="71"/>
        <v>236.2</v>
      </c>
      <c r="T443">
        <f t="shared" si="71"/>
        <v>214.06</v>
      </c>
      <c r="U443">
        <f t="shared" si="71"/>
        <v>403.86666666666667</v>
      </c>
      <c r="V443">
        <f t="shared" si="71"/>
        <v>401.4</v>
      </c>
    </row>
    <row r="444" spans="1:24" hidden="1" outlineLevel="2" x14ac:dyDescent="0.25">
      <c r="A444" t="str">
        <f t="shared" ref="A444:A458" si="72">CONCATENATE(B444," - ",E444)</f>
        <v>AK6 - 1996</v>
      </c>
      <c r="B444" t="s">
        <v>33</v>
      </c>
      <c r="C444">
        <v>1</v>
      </c>
      <c r="D444">
        <v>11</v>
      </c>
      <c r="E444">
        <v>1996</v>
      </c>
      <c r="F444">
        <v>143.1</v>
      </c>
      <c r="G444">
        <v>9.9</v>
      </c>
      <c r="H444">
        <v>9.6</v>
      </c>
      <c r="I444">
        <v>0.3</v>
      </c>
      <c r="J444">
        <v>3</v>
      </c>
      <c r="K444">
        <v>85.9</v>
      </c>
      <c r="L444">
        <v>643.29999999999995</v>
      </c>
      <c r="M444">
        <v>352</v>
      </c>
      <c r="N444">
        <v>347</v>
      </c>
      <c r="O444">
        <v>515</v>
      </c>
      <c r="P444">
        <v>168</v>
      </c>
      <c r="Q444">
        <v>298</v>
      </c>
      <c r="R444">
        <v>515</v>
      </c>
      <c r="S444">
        <v>217</v>
      </c>
      <c r="T444">
        <v>211.8</v>
      </c>
      <c r="U444">
        <v>420</v>
      </c>
      <c r="V444">
        <v>413</v>
      </c>
      <c r="W444">
        <v>500</v>
      </c>
      <c r="X444">
        <v>2.79</v>
      </c>
    </row>
    <row r="445" spans="1:24" hidden="1" outlineLevel="2" x14ac:dyDescent="0.25">
      <c r="A445" t="str">
        <f t="shared" si="72"/>
        <v>AK6 - 1996</v>
      </c>
      <c r="B445" t="s">
        <v>33</v>
      </c>
      <c r="C445">
        <v>2</v>
      </c>
      <c r="D445">
        <v>12</v>
      </c>
      <c r="E445">
        <v>1996</v>
      </c>
      <c r="F445">
        <v>147.1</v>
      </c>
      <c r="G445">
        <v>10.199999999999999</v>
      </c>
      <c r="H445">
        <v>8.4</v>
      </c>
      <c r="I445">
        <v>1.8</v>
      </c>
      <c r="J445">
        <v>17</v>
      </c>
      <c r="K445">
        <v>91</v>
      </c>
      <c r="L445">
        <v>679.8</v>
      </c>
      <c r="M445">
        <v>393</v>
      </c>
      <c r="N445">
        <v>363</v>
      </c>
      <c r="O445">
        <v>528</v>
      </c>
      <c r="P445">
        <v>165</v>
      </c>
      <c r="Q445">
        <v>314</v>
      </c>
      <c r="R445">
        <v>542</v>
      </c>
      <c r="S445">
        <v>228</v>
      </c>
      <c r="T445">
        <v>193.8</v>
      </c>
      <c r="U445">
        <v>412</v>
      </c>
      <c r="V445">
        <v>396</v>
      </c>
      <c r="W445">
        <v>500</v>
      </c>
      <c r="X445">
        <v>2.79</v>
      </c>
    </row>
    <row r="446" spans="1:24" hidden="1" outlineLevel="2" x14ac:dyDescent="0.25">
      <c r="A446" t="str">
        <f t="shared" si="72"/>
        <v>AK6 - 1996</v>
      </c>
      <c r="B446" t="s">
        <v>33</v>
      </c>
      <c r="C446">
        <v>3</v>
      </c>
      <c r="D446">
        <v>12</v>
      </c>
      <c r="E446">
        <v>1996</v>
      </c>
      <c r="F446">
        <v>152.19999999999999</v>
      </c>
      <c r="G446">
        <v>10.8</v>
      </c>
      <c r="H446">
        <v>9</v>
      </c>
      <c r="I446">
        <v>1.8</v>
      </c>
      <c r="J446">
        <v>16</v>
      </c>
      <c r="K446">
        <v>99.6</v>
      </c>
      <c r="L446">
        <v>727.7</v>
      </c>
      <c r="M446">
        <v>409</v>
      </c>
      <c r="N446">
        <v>385</v>
      </c>
      <c r="O446">
        <v>527</v>
      </c>
      <c r="P446">
        <v>142</v>
      </c>
      <c r="Q446">
        <v>333</v>
      </c>
      <c r="R446">
        <v>546</v>
      </c>
      <c r="S446">
        <v>213</v>
      </c>
      <c r="T446">
        <v>261.89999999999998</v>
      </c>
      <c r="U446">
        <v>404</v>
      </c>
      <c r="V446">
        <v>407</v>
      </c>
      <c r="W446">
        <v>500</v>
      </c>
      <c r="X446">
        <v>2.79</v>
      </c>
    </row>
    <row r="447" spans="1:24" hidden="1" outlineLevel="2" x14ac:dyDescent="0.25">
      <c r="A447" t="str">
        <f t="shared" si="72"/>
        <v>AK6 - 1996</v>
      </c>
      <c r="B447" t="s">
        <v>33</v>
      </c>
      <c r="C447">
        <v>4</v>
      </c>
      <c r="D447">
        <v>11</v>
      </c>
      <c r="E447">
        <v>1996</v>
      </c>
      <c r="F447">
        <v>109.5</v>
      </c>
      <c r="G447">
        <v>6</v>
      </c>
      <c r="H447">
        <v>5.0999999999999996</v>
      </c>
      <c r="I447">
        <v>0.9</v>
      </c>
      <c r="J447">
        <v>14</v>
      </c>
      <c r="K447">
        <v>40.1</v>
      </c>
      <c r="L447">
        <v>376.7</v>
      </c>
      <c r="M447">
        <v>389</v>
      </c>
      <c r="N447">
        <v>363</v>
      </c>
      <c r="O447">
        <v>537</v>
      </c>
      <c r="P447">
        <v>174</v>
      </c>
      <c r="Q447">
        <v>319</v>
      </c>
      <c r="R447">
        <v>562</v>
      </c>
      <c r="S447">
        <v>243</v>
      </c>
      <c r="T447">
        <v>166.8</v>
      </c>
      <c r="U447">
        <v>412</v>
      </c>
      <c r="V447">
        <v>409</v>
      </c>
      <c r="W447">
        <v>500</v>
      </c>
      <c r="X447">
        <v>2.79</v>
      </c>
    </row>
    <row r="448" spans="1:24" hidden="1" outlineLevel="2" x14ac:dyDescent="0.25">
      <c r="A448" t="str">
        <f t="shared" si="72"/>
        <v>AK6 - 1996</v>
      </c>
      <c r="B448" t="s">
        <v>33</v>
      </c>
      <c r="C448">
        <v>5</v>
      </c>
      <c r="D448">
        <v>11</v>
      </c>
      <c r="E448">
        <v>1996</v>
      </c>
      <c r="F448">
        <v>166.3</v>
      </c>
      <c r="G448">
        <v>10.8</v>
      </c>
      <c r="H448">
        <v>10.199999999999999</v>
      </c>
      <c r="I448">
        <v>0.6</v>
      </c>
      <c r="J448">
        <v>5</v>
      </c>
      <c r="K448">
        <v>109.2</v>
      </c>
      <c r="L448">
        <v>868.8</v>
      </c>
      <c r="M448">
        <v>347</v>
      </c>
      <c r="N448">
        <v>337</v>
      </c>
      <c r="O448">
        <v>517</v>
      </c>
      <c r="P448">
        <v>180</v>
      </c>
      <c r="Q448">
        <v>266</v>
      </c>
      <c r="R448">
        <v>523</v>
      </c>
      <c r="S448">
        <v>257</v>
      </c>
      <c r="T448">
        <v>224.7</v>
      </c>
      <c r="U448">
        <v>390</v>
      </c>
      <c r="V448">
        <v>376</v>
      </c>
      <c r="W448">
        <v>500</v>
      </c>
      <c r="X448">
        <v>2.79</v>
      </c>
    </row>
    <row r="449" spans="1:24" hidden="1" outlineLevel="2" x14ac:dyDescent="0.25">
      <c r="A449" t="str">
        <f t="shared" si="72"/>
        <v>AK6 - 1996</v>
      </c>
      <c r="B449" t="s">
        <v>33</v>
      </c>
      <c r="C449">
        <v>6</v>
      </c>
      <c r="D449">
        <v>12</v>
      </c>
      <c r="E449">
        <v>1996</v>
      </c>
      <c r="F449">
        <v>166.4</v>
      </c>
      <c r="G449">
        <v>9</v>
      </c>
      <c r="H449">
        <v>7.5</v>
      </c>
      <c r="I449">
        <v>1.5</v>
      </c>
      <c r="J449">
        <v>16</v>
      </c>
      <c r="K449">
        <v>91.6</v>
      </c>
      <c r="L449">
        <v>869.9</v>
      </c>
      <c r="M449">
        <v>396</v>
      </c>
      <c r="N449">
        <v>374</v>
      </c>
      <c r="O449">
        <v>510</v>
      </c>
      <c r="P449">
        <v>136</v>
      </c>
      <c r="Q449">
        <v>321</v>
      </c>
      <c r="R449">
        <v>520</v>
      </c>
      <c r="S449">
        <v>199</v>
      </c>
      <c r="T449">
        <v>282</v>
      </c>
      <c r="U449">
        <v>406</v>
      </c>
      <c r="V449">
        <v>411</v>
      </c>
      <c r="W449">
        <v>500</v>
      </c>
      <c r="X449">
        <v>2.79</v>
      </c>
    </row>
    <row r="450" spans="1:24" hidden="1" outlineLevel="2" x14ac:dyDescent="0.25">
      <c r="A450" t="str">
        <f t="shared" si="72"/>
        <v>AK6 - 1996</v>
      </c>
      <c r="B450" t="s">
        <v>33</v>
      </c>
      <c r="C450">
        <v>7</v>
      </c>
      <c r="D450">
        <v>12</v>
      </c>
      <c r="E450">
        <v>1996</v>
      </c>
      <c r="F450">
        <v>138.4</v>
      </c>
      <c r="G450">
        <v>8.1</v>
      </c>
      <c r="H450">
        <v>7.2</v>
      </c>
      <c r="I450">
        <v>0.9</v>
      </c>
      <c r="J450">
        <v>11</v>
      </c>
      <c r="K450">
        <v>68.400000000000006</v>
      </c>
      <c r="L450">
        <v>601.79999999999995</v>
      </c>
      <c r="M450">
        <v>401</v>
      </c>
      <c r="N450">
        <v>384</v>
      </c>
      <c r="O450">
        <v>536</v>
      </c>
      <c r="P450">
        <v>152</v>
      </c>
      <c r="Q450">
        <v>339</v>
      </c>
      <c r="R450">
        <v>550</v>
      </c>
      <c r="S450">
        <v>211</v>
      </c>
      <c r="T450">
        <v>220.2</v>
      </c>
      <c r="U450">
        <v>418</v>
      </c>
      <c r="V450">
        <v>420</v>
      </c>
      <c r="W450">
        <v>500</v>
      </c>
      <c r="X450">
        <v>2.79</v>
      </c>
    </row>
    <row r="451" spans="1:24" hidden="1" outlineLevel="2" x14ac:dyDescent="0.25">
      <c r="A451" t="str">
        <f t="shared" si="72"/>
        <v>AK6 - 1996</v>
      </c>
      <c r="B451" t="s">
        <v>33</v>
      </c>
      <c r="C451">
        <v>8</v>
      </c>
      <c r="D451">
        <v>12</v>
      </c>
      <c r="E451">
        <v>1996</v>
      </c>
      <c r="F451">
        <v>152.4</v>
      </c>
      <c r="G451">
        <v>10.199999999999999</v>
      </c>
      <c r="H451">
        <v>9</v>
      </c>
      <c r="I451">
        <v>1.2</v>
      </c>
      <c r="J451">
        <v>11</v>
      </c>
      <c r="K451">
        <v>94.4</v>
      </c>
      <c r="L451">
        <v>729.7</v>
      </c>
      <c r="M451">
        <v>353</v>
      </c>
      <c r="N451">
        <v>331</v>
      </c>
      <c r="O451">
        <v>514</v>
      </c>
      <c r="P451">
        <v>183</v>
      </c>
      <c r="Q451">
        <v>240</v>
      </c>
      <c r="R451">
        <v>527</v>
      </c>
      <c r="S451">
        <v>287</v>
      </c>
      <c r="T451">
        <v>222.3</v>
      </c>
      <c r="U451">
        <v>354</v>
      </c>
      <c r="V451">
        <v>355</v>
      </c>
      <c r="W451">
        <v>500</v>
      </c>
      <c r="X451">
        <v>2.79</v>
      </c>
    </row>
    <row r="452" spans="1:24" hidden="1" outlineLevel="2" x14ac:dyDescent="0.25">
      <c r="A452" t="str">
        <f t="shared" si="72"/>
        <v>AK6 - 1996</v>
      </c>
      <c r="B452" t="s">
        <v>33</v>
      </c>
      <c r="C452">
        <v>10</v>
      </c>
      <c r="D452">
        <v>12</v>
      </c>
      <c r="E452">
        <v>1996</v>
      </c>
      <c r="F452">
        <v>129.9</v>
      </c>
      <c r="G452">
        <v>4.2</v>
      </c>
      <c r="H452">
        <v>3.6</v>
      </c>
      <c r="I452">
        <v>0.6</v>
      </c>
      <c r="J452">
        <v>14</v>
      </c>
      <c r="K452">
        <v>33.700000000000003</v>
      </c>
      <c r="L452">
        <v>530.1</v>
      </c>
      <c r="M452">
        <v>424</v>
      </c>
      <c r="N452">
        <v>405</v>
      </c>
      <c r="O452">
        <v>535</v>
      </c>
      <c r="P452">
        <v>130</v>
      </c>
      <c r="Q452">
        <v>340</v>
      </c>
      <c r="R452">
        <v>566</v>
      </c>
      <c r="S452">
        <v>226</v>
      </c>
      <c r="T452">
        <v>188.1</v>
      </c>
      <c r="U452">
        <v>437</v>
      </c>
      <c r="V452">
        <v>439</v>
      </c>
      <c r="W452">
        <v>500</v>
      </c>
      <c r="X452">
        <v>2.79</v>
      </c>
    </row>
    <row r="453" spans="1:24" hidden="1" outlineLevel="2" x14ac:dyDescent="0.25">
      <c r="A453" t="str">
        <f t="shared" si="72"/>
        <v>AK6 - 1996</v>
      </c>
      <c r="B453" t="s">
        <v>33</v>
      </c>
      <c r="C453">
        <v>11</v>
      </c>
      <c r="D453">
        <v>11</v>
      </c>
      <c r="E453">
        <v>1996</v>
      </c>
      <c r="F453">
        <v>90.2</v>
      </c>
      <c r="G453">
        <v>6.6</v>
      </c>
      <c r="H453">
        <v>6.3</v>
      </c>
      <c r="I453">
        <v>0.3</v>
      </c>
      <c r="J453">
        <v>4</v>
      </c>
      <c r="K453">
        <v>36</v>
      </c>
      <c r="L453">
        <v>255.6</v>
      </c>
      <c r="M453">
        <v>369</v>
      </c>
      <c r="N453">
        <v>362</v>
      </c>
      <c r="O453">
        <v>514</v>
      </c>
      <c r="P453">
        <v>152</v>
      </c>
      <c r="Q453">
        <v>288</v>
      </c>
      <c r="R453">
        <v>514</v>
      </c>
      <c r="S453">
        <v>226</v>
      </c>
      <c r="T453">
        <v>108</v>
      </c>
      <c r="U453">
        <v>389</v>
      </c>
      <c r="V453">
        <v>391</v>
      </c>
      <c r="W453">
        <v>500</v>
      </c>
      <c r="X453">
        <v>2.79</v>
      </c>
    </row>
    <row r="454" spans="1:24" hidden="1" outlineLevel="2" x14ac:dyDescent="0.25">
      <c r="A454" t="str">
        <f t="shared" si="72"/>
        <v>AK6 - 1996</v>
      </c>
      <c r="B454" t="s">
        <v>33</v>
      </c>
      <c r="C454">
        <v>12</v>
      </c>
      <c r="D454">
        <v>12</v>
      </c>
      <c r="E454">
        <v>1996</v>
      </c>
      <c r="F454">
        <v>114.2</v>
      </c>
      <c r="G454">
        <v>11.4</v>
      </c>
      <c r="H454">
        <v>9.9</v>
      </c>
      <c r="I454">
        <v>1.5</v>
      </c>
      <c r="J454">
        <v>13</v>
      </c>
      <c r="K454">
        <v>77.7</v>
      </c>
      <c r="L454">
        <v>409.7</v>
      </c>
      <c r="M454">
        <v>378</v>
      </c>
      <c r="N454">
        <v>355</v>
      </c>
      <c r="O454">
        <v>528</v>
      </c>
      <c r="P454">
        <v>173</v>
      </c>
      <c r="Q454">
        <v>293</v>
      </c>
      <c r="R454">
        <v>555</v>
      </c>
      <c r="S454">
        <v>262</v>
      </c>
      <c r="T454">
        <v>189.3</v>
      </c>
      <c r="U454">
        <v>426</v>
      </c>
      <c r="V454">
        <v>428</v>
      </c>
      <c r="W454">
        <v>500</v>
      </c>
      <c r="X454">
        <v>2.79</v>
      </c>
    </row>
    <row r="455" spans="1:24" hidden="1" outlineLevel="2" x14ac:dyDescent="0.25">
      <c r="A455" t="str">
        <f t="shared" si="72"/>
        <v>AK6 - 1996</v>
      </c>
      <c r="B455" t="s">
        <v>33</v>
      </c>
      <c r="C455">
        <v>13</v>
      </c>
      <c r="D455">
        <v>11</v>
      </c>
      <c r="E455">
        <v>1996</v>
      </c>
      <c r="F455">
        <v>148.1</v>
      </c>
      <c r="G455">
        <v>12.6</v>
      </c>
      <c r="H455">
        <v>11.1</v>
      </c>
      <c r="I455">
        <v>1.5</v>
      </c>
      <c r="J455">
        <v>11</v>
      </c>
      <c r="K455">
        <v>112.3</v>
      </c>
      <c r="L455">
        <v>689.1</v>
      </c>
      <c r="M455">
        <v>371</v>
      </c>
      <c r="N455">
        <v>351</v>
      </c>
      <c r="O455">
        <v>517</v>
      </c>
      <c r="P455">
        <v>166</v>
      </c>
      <c r="Q455">
        <v>281</v>
      </c>
      <c r="R455">
        <v>530</v>
      </c>
      <c r="S455">
        <v>249</v>
      </c>
      <c r="T455">
        <v>221.4</v>
      </c>
      <c r="U455">
        <v>380</v>
      </c>
      <c r="V455">
        <v>378</v>
      </c>
      <c r="W455">
        <v>500</v>
      </c>
      <c r="X455">
        <v>2.79</v>
      </c>
    </row>
    <row r="456" spans="1:24" hidden="1" outlineLevel="2" x14ac:dyDescent="0.25">
      <c r="A456" t="str">
        <f t="shared" si="72"/>
        <v>AK6 - 1996</v>
      </c>
      <c r="B456" t="s">
        <v>33</v>
      </c>
      <c r="C456">
        <v>15</v>
      </c>
      <c r="D456">
        <v>11</v>
      </c>
      <c r="E456">
        <v>1996</v>
      </c>
      <c r="F456">
        <v>160</v>
      </c>
      <c r="G456">
        <v>12</v>
      </c>
      <c r="H456">
        <v>10.5</v>
      </c>
      <c r="I456">
        <v>1.5</v>
      </c>
      <c r="J456">
        <v>12</v>
      </c>
      <c r="K456">
        <v>116.1</v>
      </c>
      <c r="L456">
        <v>804.2</v>
      </c>
      <c r="M456">
        <v>388</v>
      </c>
      <c r="N456">
        <v>367</v>
      </c>
      <c r="O456">
        <v>532</v>
      </c>
      <c r="P456">
        <v>165</v>
      </c>
      <c r="Q456">
        <v>304</v>
      </c>
      <c r="R456">
        <v>555</v>
      </c>
      <c r="S456">
        <v>251</v>
      </c>
      <c r="T456">
        <v>222.9</v>
      </c>
      <c r="U456">
        <v>390</v>
      </c>
      <c r="V456">
        <v>386</v>
      </c>
      <c r="W456">
        <v>500</v>
      </c>
      <c r="X456">
        <v>2.79</v>
      </c>
    </row>
    <row r="457" spans="1:24" hidden="1" outlineLevel="2" x14ac:dyDescent="0.25">
      <c r="A457" t="str">
        <f t="shared" si="72"/>
        <v>AK6 - 1996</v>
      </c>
      <c r="B457" t="s">
        <v>33</v>
      </c>
      <c r="C457">
        <v>14</v>
      </c>
      <c r="D457">
        <v>12</v>
      </c>
      <c r="E457">
        <v>1996</v>
      </c>
      <c r="F457">
        <v>178.2</v>
      </c>
      <c r="G457">
        <v>13.2</v>
      </c>
      <c r="H457">
        <v>11.4</v>
      </c>
      <c r="I457">
        <v>1.8</v>
      </c>
      <c r="J457">
        <v>13</v>
      </c>
      <c r="K457">
        <v>142.30000000000001</v>
      </c>
      <c r="L457">
        <v>997.6</v>
      </c>
      <c r="M457">
        <v>375</v>
      </c>
      <c r="N457">
        <v>349</v>
      </c>
      <c r="O457">
        <v>539</v>
      </c>
      <c r="P457">
        <v>190</v>
      </c>
      <c r="Q457">
        <v>289</v>
      </c>
      <c r="R457">
        <v>569</v>
      </c>
      <c r="S457">
        <v>280</v>
      </c>
      <c r="T457">
        <v>292.2</v>
      </c>
      <c r="U457">
        <v>398</v>
      </c>
      <c r="V457">
        <v>397</v>
      </c>
      <c r="W457">
        <v>500</v>
      </c>
      <c r="X457">
        <v>2.79</v>
      </c>
    </row>
    <row r="458" spans="1:24" hidden="1" outlineLevel="2" x14ac:dyDescent="0.25">
      <c r="A458" t="str">
        <f t="shared" si="72"/>
        <v>AK6 - 1996</v>
      </c>
      <c r="B458" t="s">
        <v>33</v>
      </c>
      <c r="C458" t="s">
        <v>35</v>
      </c>
      <c r="D458">
        <v>11</v>
      </c>
      <c r="E458">
        <v>1996</v>
      </c>
      <c r="F458">
        <v>138.5</v>
      </c>
      <c r="G458">
        <v>11.1</v>
      </c>
      <c r="H458">
        <v>9.9</v>
      </c>
      <c r="I458">
        <v>1.2</v>
      </c>
      <c r="J458">
        <v>10</v>
      </c>
      <c r="K458">
        <v>92.7</v>
      </c>
      <c r="L458">
        <v>602.6</v>
      </c>
      <c r="M458">
        <v>381</v>
      </c>
      <c r="N458">
        <v>363</v>
      </c>
      <c r="O458">
        <v>530</v>
      </c>
      <c r="P458">
        <v>167</v>
      </c>
      <c r="Q458">
        <v>318</v>
      </c>
      <c r="R458">
        <v>553</v>
      </c>
      <c r="S458">
        <v>235</v>
      </c>
      <c r="T458">
        <v>205.5</v>
      </c>
      <c r="U458">
        <v>422</v>
      </c>
      <c r="V458">
        <v>415</v>
      </c>
      <c r="W458">
        <v>500</v>
      </c>
      <c r="X458">
        <v>2.79</v>
      </c>
    </row>
    <row r="459" spans="1:24" outlineLevel="1" collapsed="1" x14ac:dyDescent="0.25">
      <c r="A459" s="8" t="s">
        <v>72</v>
      </c>
      <c r="D459">
        <f t="shared" ref="D459:V459" si="73">SUBTOTAL(1,D444:D458)</f>
        <v>11.533333333333333</v>
      </c>
      <c r="E459">
        <f t="shared" si="73"/>
        <v>1996</v>
      </c>
      <c r="F459">
        <f t="shared" si="73"/>
        <v>142.30000000000001</v>
      </c>
      <c r="G459">
        <f t="shared" si="73"/>
        <v>9.74</v>
      </c>
      <c r="H459">
        <f t="shared" si="73"/>
        <v>8.58</v>
      </c>
      <c r="I459">
        <f t="shared" si="73"/>
        <v>1.1599999999999999</v>
      </c>
      <c r="J459">
        <f t="shared" si="73"/>
        <v>11.333333333333334</v>
      </c>
      <c r="K459">
        <f t="shared" si="73"/>
        <v>86.066666666666663</v>
      </c>
      <c r="L459">
        <f t="shared" si="73"/>
        <v>652.44000000000005</v>
      </c>
      <c r="M459">
        <f t="shared" si="73"/>
        <v>381.73333333333335</v>
      </c>
      <c r="N459">
        <f t="shared" si="73"/>
        <v>362.4</v>
      </c>
      <c r="O459">
        <f t="shared" si="73"/>
        <v>525.26666666666665</v>
      </c>
      <c r="P459">
        <f t="shared" si="73"/>
        <v>162.86666666666667</v>
      </c>
      <c r="Q459">
        <f t="shared" si="73"/>
        <v>302.86666666666667</v>
      </c>
      <c r="R459">
        <f t="shared" si="73"/>
        <v>541.79999999999995</v>
      </c>
      <c r="S459">
        <f t="shared" si="73"/>
        <v>238.93333333333334</v>
      </c>
      <c r="T459">
        <f t="shared" si="73"/>
        <v>214.06</v>
      </c>
      <c r="U459">
        <f t="shared" si="73"/>
        <v>403.86666666666667</v>
      </c>
      <c r="V459">
        <f t="shared" si="73"/>
        <v>401.4</v>
      </c>
    </row>
    <row r="460" spans="1:24" hidden="1" outlineLevel="2" x14ac:dyDescent="0.25">
      <c r="A460" t="str">
        <f t="shared" ref="A460:A474" si="74">CONCATENATE(B460," - ",E460)</f>
        <v>AK6 - 1997</v>
      </c>
      <c r="B460" t="s">
        <v>33</v>
      </c>
      <c r="C460">
        <v>1</v>
      </c>
      <c r="D460">
        <v>12</v>
      </c>
      <c r="E460">
        <v>1997</v>
      </c>
      <c r="F460">
        <v>152.4</v>
      </c>
      <c r="G460">
        <v>9.3000000000000007</v>
      </c>
      <c r="H460">
        <v>8.4</v>
      </c>
      <c r="I460">
        <v>0.9</v>
      </c>
      <c r="J460">
        <v>9</v>
      </c>
      <c r="K460">
        <v>86.3</v>
      </c>
      <c r="L460">
        <v>729.7</v>
      </c>
      <c r="M460">
        <v>369</v>
      </c>
      <c r="N460">
        <v>349</v>
      </c>
      <c r="O460">
        <v>552</v>
      </c>
      <c r="P460">
        <v>203</v>
      </c>
      <c r="Q460">
        <v>300</v>
      </c>
      <c r="R460">
        <v>567</v>
      </c>
      <c r="S460">
        <v>267</v>
      </c>
      <c r="T460">
        <v>211.8</v>
      </c>
      <c r="U460">
        <v>420</v>
      </c>
      <c r="V460">
        <v>413</v>
      </c>
      <c r="W460">
        <v>500</v>
      </c>
      <c r="X460">
        <v>2.79</v>
      </c>
    </row>
    <row r="461" spans="1:24" hidden="1" outlineLevel="2" x14ac:dyDescent="0.25">
      <c r="A461" t="str">
        <f t="shared" si="74"/>
        <v>AK6 - 1997</v>
      </c>
      <c r="B461" t="s">
        <v>33</v>
      </c>
      <c r="C461">
        <v>2</v>
      </c>
      <c r="D461">
        <v>13</v>
      </c>
      <c r="E461">
        <v>1997</v>
      </c>
      <c r="F461">
        <v>158.80000000000001</v>
      </c>
      <c r="G461">
        <v>11.7</v>
      </c>
      <c r="H461">
        <v>10.199999999999999</v>
      </c>
      <c r="I461">
        <v>1.5</v>
      </c>
      <c r="J461">
        <v>12</v>
      </c>
      <c r="K461">
        <v>112.4</v>
      </c>
      <c r="L461">
        <v>792.2</v>
      </c>
      <c r="M461">
        <v>386</v>
      </c>
      <c r="N461">
        <v>365</v>
      </c>
      <c r="O461">
        <v>534</v>
      </c>
      <c r="P461">
        <v>169</v>
      </c>
      <c r="Q461">
        <v>315</v>
      </c>
      <c r="R461">
        <v>558</v>
      </c>
      <c r="S461">
        <v>243</v>
      </c>
      <c r="T461">
        <v>193.8</v>
      </c>
      <c r="U461">
        <v>412</v>
      </c>
      <c r="V461">
        <v>396</v>
      </c>
      <c r="W461">
        <v>500</v>
      </c>
      <c r="X461">
        <v>2.79</v>
      </c>
    </row>
    <row r="462" spans="1:24" hidden="1" outlineLevel="2" x14ac:dyDescent="0.25">
      <c r="A462" t="str">
        <f t="shared" si="74"/>
        <v>AK6 - 1997</v>
      </c>
      <c r="B462" t="s">
        <v>33</v>
      </c>
      <c r="C462">
        <v>3</v>
      </c>
      <c r="D462">
        <v>13</v>
      </c>
      <c r="E462">
        <v>1997</v>
      </c>
      <c r="F462">
        <v>165.1</v>
      </c>
      <c r="G462">
        <v>12.9</v>
      </c>
      <c r="H462">
        <v>10.5</v>
      </c>
      <c r="I462">
        <v>2.4</v>
      </c>
      <c r="J462">
        <v>18</v>
      </c>
      <c r="K462">
        <v>128.6</v>
      </c>
      <c r="L462">
        <v>856.3</v>
      </c>
      <c r="M462">
        <v>399</v>
      </c>
      <c r="N462">
        <v>370</v>
      </c>
      <c r="O462">
        <v>529</v>
      </c>
      <c r="P462">
        <v>159</v>
      </c>
      <c r="Q462">
        <v>305</v>
      </c>
      <c r="R462">
        <v>555</v>
      </c>
      <c r="S462">
        <v>250</v>
      </c>
      <c r="T462">
        <v>261.89999999999998</v>
      </c>
      <c r="U462">
        <v>404</v>
      </c>
      <c r="V462">
        <v>407</v>
      </c>
      <c r="W462">
        <v>500</v>
      </c>
      <c r="X462">
        <v>2.79</v>
      </c>
    </row>
    <row r="463" spans="1:24" hidden="1" outlineLevel="2" x14ac:dyDescent="0.25">
      <c r="A463" t="str">
        <f t="shared" si="74"/>
        <v>AK6 - 1997</v>
      </c>
      <c r="B463" t="s">
        <v>33</v>
      </c>
      <c r="C463">
        <v>4</v>
      </c>
      <c r="D463">
        <v>12</v>
      </c>
      <c r="E463">
        <v>1997</v>
      </c>
      <c r="F463">
        <v>117.3</v>
      </c>
      <c r="G463">
        <v>7.8</v>
      </c>
      <c r="H463">
        <v>6.3</v>
      </c>
      <c r="I463">
        <v>1.5</v>
      </c>
      <c r="J463">
        <v>19</v>
      </c>
      <c r="K463">
        <v>55.6</v>
      </c>
      <c r="L463">
        <v>432.3</v>
      </c>
      <c r="M463">
        <v>416</v>
      </c>
      <c r="N463">
        <v>388</v>
      </c>
      <c r="O463">
        <v>532</v>
      </c>
      <c r="P463">
        <v>144</v>
      </c>
      <c r="Q463">
        <v>342</v>
      </c>
      <c r="R463">
        <v>562</v>
      </c>
      <c r="S463">
        <v>220</v>
      </c>
      <c r="T463">
        <v>166.8</v>
      </c>
      <c r="U463">
        <v>412</v>
      </c>
      <c r="V463">
        <v>409</v>
      </c>
      <c r="W463">
        <v>500</v>
      </c>
      <c r="X463">
        <v>2.79</v>
      </c>
    </row>
    <row r="464" spans="1:24" hidden="1" outlineLevel="2" x14ac:dyDescent="0.25">
      <c r="A464" t="str">
        <f t="shared" si="74"/>
        <v>AK6 - 1997</v>
      </c>
      <c r="B464" t="s">
        <v>33</v>
      </c>
      <c r="C464">
        <v>5</v>
      </c>
      <c r="D464">
        <v>12</v>
      </c>
      <c r="E464">
        <v>1997</v>
      </c>
      <c r="F464">
        <v>177.4</v>
      </c>
      <c r="G464">
        <v>11.1</v>
      </c>
      <c r="H464">
        <v>10.5</v>
      </c>
      <c r="I464">
        <v>0.6</v>
      </c>
      <c r="J464">
        <v>5</v>
      </c>
      <c r="K464">
        <v>119.9</v>
      </c>
      <c r="L464">
        <v>988.7</v>
      </c>
      <c r="M464">
        <v>345</v>
      </c>
      <c r="N464">
        <v>336</v>
      </c>
      <c r="O464">
        <v>504</v>
      </c>
      <c r="P464">
        <v>168</v>
      </c>
      <c r="Q464">
        <v>253</v>
      </c>
      <c r="R464">
        <v>505</v>
      </c>
      <c r="S464">
        <v>252</v>
      </c>
      <c r="T464">
        <v>224.7</v>
      </c>
      <c r="U464">
        <v>390</v>
      </c>
      <c r="V464">
        <v>376</v>
      </c>
      <c r="W464">
        <v>500</v>
      </c>
      <c r="X464">
        <v>2.79</v>
      </c>
    </row>
    <row r="465" spans="1:24" hidden="1" outlineLevel="2" x14ac:dyDescent="0.25">
      <c r="A465" t="str">
        <f t="shared" si="74"/>
        <v>AK6 - 1997</v>
      </c>
      <c r="B465" t="s">
        <v>33</v>
      </c>
      <c r="C465">
        <v>6</v>
      </c>
      <c r="D465">
        <v>13</v>
      </c>
      <c r="E465">
        <v>1997</v>
      </c>
      <c r="F465">
        <v>176.9</v>
      </c>
      <c r="G465">
        <v>10.5</v>
      </c>
      <c r="H465">
        <v>8.6999999999999993</v>
      </c>
      <c r="I465">
        <v>1.8</v>
      </c>
      <c r="J465">
        <v>17</v>
      </c>
      <c r="K465">
        <v>113.2</v>
      </c>
      <c r="L465">
        <v>983.1</v>
      </c>
      <c r="M465">
        <v>405</v>
      </c>
      <c r="N465">
        <v>379</v>
      </c>
      <c r="O465">
        <v>529</v>
      </c>
      <c r="P465">
        <v>150</v>
      </c>
      <c r="Q465">
        <v>320</v>
      </c>
      <c r="R465">
        <v>553</v>
      </c>
      <c r="S465">
        <v>233</v>
      </c>
      <c r="T465">
        <v>282</v>
      </c>
      <c r="U465">
        <v>406</v>
      </c>
      <c r="V465">
        <v>411</v>
      </c>
      <c r="W465">
        <v>500</v>
      </c>
      <c r="X465">
        <v>2.79</v>
      </c>
    </row>
    <row r="466" spans="1:24" hidden="1" outlineLevel="2" x14ac:dyDescent="0.25">
      <c r="A466" t="str">
        <f t="shared" si="74"/>
        <v>AK6 - 1997</v>
      </c>
      <c r="B466" t="s">
        <v>33</v>
      </c>
      <c r="C466">
        <v>7</v>
      </c>
      <c r="D466">
        <v>13</v>
      </c>
      <c r="E466">
        <v>1997</v>
      </c>
      <c r="F466">
        <v>148.6</v>
      </c>
      <c r="G466">
        <v>10.199999999999999</v>
      </c>
      <c r="H466">
        <v>9</v>
      </c>
      <c r="I466">
        <v>1.2</v>
      </c>
      <c r="J466">
        <v>11</v>
      </c>
      <c r="K466">
        <v>92</v>
      </c>
      <c r="L466">
        <v>693.7</v>
      </c>
      <c r="M466">
        <v>406</v>
      </c>
      <c r="N466">
        <v>389</v>
      </c>
      <c r="O466">
        <v>531</v>
      </c>
      <c r="P466">
        <v>142</v>
      </c>
      <c r="Q466">
        <v>325</v>
      </c>
      <c r="R466">
        <v>549</v>
      </c>
      <c r="S466">
        <v>224</v>
      </c>
      <c r="T466">
        <v>220.2</v>
      </c>
      <c r="U466">
        <v>418</v>
      </c>
      <c r="V466">
        <v>420</v>
      </c>
      <c r="W466">
        <v>500</v>
      </c>
      <c r="X466">
        <v>2.79</v>
      </c>
    </row>
    <row r="467" spans="1:24" hidden="1" outlineLevel="2" x14ac:dyDescent="0.25">
      <c r="A467" t="str">
        <f t="shared" si="74"/>
        <v>AK6 - 1997</v>
      </c>
      <c r="B467" t="s">
        <v>33</v>
      </c>
      <c r="C467">
        <v>8</v>
      </c>
      <c r="D467">
        <v>13</v>
      </c>
      <c r="E467">
        <v>1997</v>
      </c>
      <c r="F467">
        <v>163.19999999999999</v>
      </c>
      <c r="G467">
        <v>10.8</v>
      </c>
      <c r="H467">
        <v>10.199999999999999</v>
      </c>
      <c r="I467">
        <v>0.6</v>
      </c>
      <c r="J467">
        <v>5</v>
      </c>
      <c r="K467">
        <v>107.1</v>
      </c>
      <c r="L467">
        <v>836.7</v>
      </c>
      <c r="M467">
        <v>365</v>
      </c>
      <c r="N467">
        <v>355</v>
      </c>
      <c r="O467">
        <v>534</v>
      </c>
      <c r="P467">
        <v>179</v>
      </c>
      <c r="Q467">
        <v>273</v>
      </c>
      <c r="R467">
        <v>536</v>
      </c>
      <c r="S467">
        <v>263</v>
      </c>
      <c r="T467">
        <v>222.3</v>
      </c>
      <c r="U467">
        <v>354</v>
      </c>
      <c r="V467">
        <v>355</v>
      </c>
      <c r="W467">
        <v>500</v>
      </c>
      <c r="X467">
        <v>2.79</v>
      </c>
    </row>
    <row r="468" spans="1:24" hidden="1" outlineLevel="2" x14ac:dyDescent="0.25">
      <c r="A468" t="str">
        <f t="shared" si="74"/>
        <v>AK6 - 1997</v>
      </c>
      <c r="B468" t="s">
        <v>33</v>
      </c>
      <c r="C468">
        <v>10</v>
      </c>
      <c r="D468">
        <v>13</v>
      </c>
      <c r="E468">
        <v>1997</v>
      </c>
      <c r="F468">
        <v>135.9</v>
      </c>
      <c r="G468">
        <v>6</v>
      </c>
      <c r="H468">
        <v>4.2</v>
      </c>
      <c r="I468">
        <v>1.8</v>
      </c>
      <c r="J468">
        <v>30</v>
      </c>
      <c r="K468">
        <v>50.1</v>
      </c>
      <c r="L468">
        <v>580.20000000000005</v>
      </c>
      <c r="M468">
        <v>444</v>
      </c>
      <c r="N468">
        <v>405</v>
      </c>
      <c r="O468">
        <v>535</v>
      </c>
      <c r="P468">
        <v>130</v>
      </c>
      <c r="Q468">
        <v>375</v>
      </c>
      <c r="R468">
        <v>580</v>
      </c>
      <c r="S468">
        <v>205</v>
      </c>
      <c r="T468">
        <v>188.1</v>
      </c>
      <c r="U468">
        <v>437</v>
      </c>
      <c r="V468">
        <v>439</v>
      </c>
      <c r="W468">
        <v>500</v>
      </c>
      <c r="X468">
        <v>2.79</v>
      </c>
    </row>
    <row r="469" spans="1:24" hidden="1" outlineLevel="2" x14ac:dyDescent="0.25">
      <c r="A469" t="str">
        <f t="shared" si="74"/>
        <v>AK6 - 1997</v>
      </c>
      <c r="B469" t="s">
        <v>33</v>
      </c>
      <c r="C469">
        <v>11</v>
      </c>
      <c r="D469">
        <v>12</v>
      </c>
      <c r="E469">
        <v>1997</v>
      </c>
      <c r="F469">
        <v>97.1</v>
      </c>
      <c r="G469">
        <v>6.9</v>
      </c>
      <c r="H469">
        <v>6</v>
      </c>
      <c r="I469">
        <v>0.9</v>
      </c>
      <c r="J469">
        <v>13</v>
      </c>
      <c r="K469">
        <v>40.6</v>
      </c>
      <c r="L469">
        <v>296.2</v>
      </c>
      <c r="M469">
        <v>393</v>
      </c>
      <c r="N469">
        <v>374</v>
      </c>
      <c r="O469">
        <v>518</v>
      </c>
      <c r="P469">
        <v>144</v>
      </c>
      <c r="Q469">
        <v>327</v>
      </c>
      <c r="R469">
        <v>532</v>
      </c>
      <c r="S469">
        <v>205</v>
      </c>
      <c r="T469">
        <v>108</v>
      </c>
      <c r="U469">
        <v>389</v>
      </c>
      <c r="V469">
        <v>391</v>
      </c>
      <c r="W469">
        <v>500</v>
      </c>
      <c r="X469">
        <v>2.79</v>
      </c>
    </row>
    <row r="470" spans="1:24" hidden="1" outlineLevel="2" x14ac:dyDescent="0.25">
      <c r="A470" t="str">
        <f t="shared" si="74"/>
        <v>AK6 - 1997</v>
      </c>
      <c r="B470" t="s">
        <v>33</v>
      </c>
      <c r="C470">
        <v>12</v>
      </c>
      <c r="D470">
        <v>13</v>
      </c>
      <c r="E470">
        <v>1997</v>
      </c>
      <c r="F470">
        <v>123.8</v>
      </c>
      <c r="G470">
        <v>9.6</v>
      </c>
      <c r="H470">
        <v>8.4</v>
      </c>
      <c r="I470">
        <v>1.2</v>
      </c>
      <c r="J470">
        <v>12</v>
      </c>
      <c r="K470">
        <v>71.8</v>
      </c>
      <c r="L470">
        <v>481.5</v>
      </c>
      <c r="M470">
        <v>415</v>
      </c>
      <c r="N470">
        <v>394</v>
      </c>
      <c r="O470">
        <v>565</v>
      </c>
      <c r="P470">
        <v>171</v>
      </c>
      <c r="Q470">
        <v>335</v>
      </c>
      <c r="R470">
        <v>597</v>
      </c>
      <c r="S470">
        <v>262</v>
      </c>
      <c r="T470">
        <v>189.3</v>
      </c>
      <c r="U470">
        <v>426</v>
      </c>
      <c r="V470">
        <v>428</v>
      </c>
      <c r="W470">
        <v>500</v>
      </c>
      <c r="X470">
        <v>2.79</v>
      </c>
    </row>
    <row r="471" spans="1:24" hidden="1" outlineLevel="2" x14ac:dyDescent="0.25">
      <c r="A471" t="str">
        <f t="shared" si="74"/>
        <v>AK6 - 1997</v>
      </c>
      <c r="B471" t="s">
        <v>33</v>
      </c>
      <c r="C471">
        <v>13</v>
      </c>
      <c r="D471">
        <v>12</v>
      </c>
      <c r="E471">
        <v>1997</v>
      </c>
      <c r="F471">
        <v>162.19999999999999</v>
      </c>
      <c r="G471">
        <v>14.1</v>
      </c>
      <c r="H471">
        <v>12</v>
      </c>
      <c r="I471">
        <v>2.1</v>
      </c>
      <c r="J471">
        <v>14</v>
      </c>
      <c r="K471">
        <v>137.5</v>
      </c>
      <c r="L471">
        <v>826.5</v>
      </c>
      <c r="M471">
        <v>372</v>
      </c>
      <c r="N471">
        <v>345</v>
      </c>
      <c r="O471">
        <v>523</v>
      </c>
      <c r="P471">
        <v>178</v>
      </c>
      <c r="Q471">
        <v>294</v>
      </c>
      <c r="R471">
        <v>549</v>
      </c>
      <c r="S471">
        <v>255</v>
      </c>
      <c r="T471">
        <v>221.4</v>
      </c>
      <c r="U471">
        <v>380</v>
      </c>
      <c r="V471">
        <v>378</v>
      </c>
      <c r="W471">
        <v>500</v>
      </c>
      <c r="X471">
        <v>2.79</v>
      </c>
    </row>
    <row r="472" spans="1:24" hidden="1" outlineLevel="2" x14ac:dyDescent="0.25">
      <c r="A472" t="str">
        <f t="shared" si="74"/>
        <v>AK6 - 1997</v>
      </c>
      <c r="B472" t="s">
        <v>33</v>
      </c>
      <c r="C472">
        <v>15</v>
      </c>
      <c r="D472">
        <v>12</v>
      </c>
      <c r="E472">
        <v>1997</v>
      </c>
      <c r="F472">
        <v>174.1</v>
      </c>
      <c r="G472">
        <v>14.1</v>
      </c>
      <c r="H472">
        <v>13.5</v>
      </c>
      <c r="I472">
        <v>0.6</v>
      </c>
      <c r="J472">
        <v>4</v>
      </c>
      <c r="K472">
        <v>148</v>
      </c>
      <c r="L472">
        <v>952.2</v>
      </c>
      <c r="M472">
        <v>382</v>
      </c>
      <c r="N472">
        <v>376</v>
      </c>
      <c r="O472">
        <v>503</v>
      </c>
      <c r="P472">
        <v>127</v>
      </c>
      <c r="Q472">
        <v>321</v>
      </c>
      <c r="R472">
        <v>504</v>
      </c>
      <c r="S472">
        <v>183</v>
      </c>
      <c r="T472">
        <v>222.9</v>
      </c>
      <c r="U472">
        <v>390</v>
      </c>
      <c r="V472">
        <v>386</v>
      </c>
      <c r="W472">
        <v>500</v>
      </c>
      <c r="X472">
        <v>2.79</v>
      </c>
    </row>
    <row r="473" spans="1:24" hidden="1" outlineLevel="2" x14ac:dyDescent="0.25">
      <c r="A473" t="str">
        <f t="shared" si="74"/>
        <v>AK6 - 1997</v>
      </c>
      <c r="B473" t="s">
        <v>33</v>
      </c>
      <c r="C473">
        <v>14</v>
      </c>
      <c r="D473">
        <v>13</v>
      </c>
      <c r="E473">
        <v>1997</v>
      </c>
      <c r="F473">
        <v>194.4</v>
      </c>
      <c r="G473">
        <v>16.2</v>
      </c>
      <c r="H473">
        <v>14.4</v>
      </c>
      <c r="I473">
        <v>1.8</v>
      </c>
      <c r="J473">
        <v>11</v>
      </c>
      <c r="K473">
        <v>189.6</v>
      </c>
      <c r="L473">
        <v>1187.3</v>
      </c>
      <c r="M473">
        <v>377</v>
      </c>
      <c r="N473">
        <v>360</v>
      </c>
      <c r="O473">
        <v>512</v>
      </c>
      <c r="P473">
        <v>152</v>
      </c>
      <c r="Q473">
        <v>302</v>
      </c>
      <c r="R473">
        <v>523</v>
      </c>
      <c r="S473">
        <v>221</v>
      </c>
      <c r="T473">
        <v>292.2</v>
      </c>
      <c r="U473">
        <v>398</v>
      </c>
      <c r="V473">
        <v>397</v>
      </c>
      <c r="W473">
        <v>500</v>
      </c>
      <c r="X473">
        <v>2.79</v>
      </c>
    </row>
    <row r="474" spans="1:24" hidden="1" outlineLevel="2" x14ac:dyDescent="0.25">
      <c r="A474" t="str">
        <f t="shared" si="74"/>
        <v>AK6 - 1997</v>
      </c>
      <c r="B474" t="s">
        <v>33</v>
      </c>
      <c r="C474" t="s">
        <v>35</v>
      </c>
      <c r="D474">
        <v>12</v>
      </c>
      <c r="E474">
        <v>1997</v>
      </c>
      <c r="F474">
        <v>149.9</v>
      </c>
      <c r="G474">
        <v>11.4</v>
      </c>
      <c r="H474">
        <v>9</v>
      </c>
      <c r="I474">
        <v>2.4</v>
      </c>
      <c r="J474">
        <v>21</v>
      </c>
      <c r="K474">
        <v>103.3</v>
      </c>
      <c r="L474">
        <v>705.9</v>
      </c>
      <c r="M474">
        <v>408</v>
      </c>
      <c r="N474">
        <v>375</v>
      </c>
      <c r="O474">
        <v>535</v>
      </c>
      <c r="P474">
        <v>160</v>
      </c>
      <c r="Q474">
        <v>345</v>
      </c>
      <c r="R474">
        <v>563</v>
      </c>
      <c r="S474">
        <v>218</v>
      </c>
      <c r="T474">
        <v>205.5</v>
      </c>
      <c r="U474">
        <v>422</v>
      </c>
      <c r="V474">
        <v>415</v>
      </c>
      <c r="W474">
        <v>500</v>
      </c>
      <c r="X474">
        <v>2.79</v>
      </c>
    </row>
    <row r="475" spans="1:24" outlineLevel="1" collapsed="1" x14ac:dyDescent="0.25">
      <c r="A475" s="8" t="s">
        <v>73</v>
      </c>
      <c r="D475">
        <f t="shared" ref="D475:V475" si="75">SUBTOTAL(1,D460:D474)</f>
        <v>12.533333333333333</v>
      </c>
      <c r="E475">
        <f t="shared" si="75"/>
        <v>1997</v>
      </c>
      <c r="F475">
        <f t="shared" si="75"/>
        <v>153.13999999999999</v>
      </c>
      <c r="G475">
        <f t="shared" si="75"/>
        <v>10.84</v>
      </c>
      <c r="H475">
        <f t="shared" si="75"/>
        <v>9.42</v>
      </c>
      <c r="I475">
        <f t="shared" si="75"/>
        <v>1.4200000000000002</v>
      </c>
      <c r="J475">
        <f t="shared" si="75"/>
        <v>13.4</v>
      </c>
      <c r="K475">
        <f t="shared" si="75"/>
        <v>103.73333333333332</v>
      </c>
      <c r="L475">
        <f t="shared" si="75"/>
        <v>756.16666666666652</v>
      </c>
      <c r="M475">
        <f t="shared" si="75"/>
        <v>392.13333333333333</v>
      </c>
      <c r="N475">
        <f t="shared" si="75"/>
        <v>370.66666666666669</v>
      </c>
      <c r="O475">
        <f t="shared" si="75"/>
        <v>529.06666666666672</v>
      </c>
      <c r="P475">
        <f t="shared" si="75"/>
        <v>158.4</v>
      </c>
      <c r="Q475">
        <f t="shared" si="75"/>
        <v>315.46666666666664</v>
      </c>
      <c r="R475">
        <f t="shared" si="75"/>
        <v>548.86666666666667</v>
      </c>
      <c r="S475">
        <f t="shared" si="75"/>
        <v>233.4</v>
      </c>
      <c r="T475">
        <f t="shared" si="75"/>
        <v>214.06</v>
      </c>
      <c r="U475">
        <f t="shared" si="75"/>
        <v>403.86666666666667</v>
      </c>
      <c r="V475">
        <f t="shared" si="75"/>
        <v>401.4</v>
      </c>
    </row>
    <row r="476" spans="1:24" hidden="1" outlineLevel="2" x14ac:dyDescent="0.25">
      <c r="A476" t="str">
        <f t="shared" ref="A476:A490" si="76">CONCATENATE(B476," - ",E476)</f>
        <v>AK6 - 1998</v>
      </c>
      <c r="B476" t="s">
        <v>33</v>
      </c>
      <c r="C476">
        <v>1</v>
      </c>
      <c r="D476">
        <v>13</v>
      </c>
      <c r="E476">
        <v>1998</v>
      </c>
      <c r="F476">
        <v>159.6</v>
      </c>
      <c r="G476">
        <v>7.2</v>
      </c>
      <c r="H476">
        <v>6.3</v>
      </c>
      <c r="I476">
        <v>0.9</v>
      </c>
      <c r="J476">
        <v>12</v>
      </c>
      <c r="K476">
        <v>70.599999999999994</v>
      </c>
      <c r="L476">
        <v>800.2</v>
      </c>
      <c r="M476">
        <v>384</v>
      </c>
      <c r="N476">
        <v>364</v>
      </c>
      <c r="O476">
        <v>526</v>
      </c>
      <c r="P476">
        <v>162</v>
      </c>
      <c r="Q476">
        <v>301</v>
      </c>
      <c r="R476">
        <v>539</v>
      </c>
      <c r="S476">
        <v>238</v>
      </c>
      <c r="T476">
        <v>211.8</v>
      </c>
      <c r="U476">
        <v>420</v>
      </c>
      <c r="V476">
        <v>413</v>
      </c>
      <c r="W476">
        <v>500</v>
      </c>
      <c r="X476">
        <v>2.79</v>
      </c>
    </row>
    <row r="477" spans="1:24" hidden="1" outlineLevel="2" x14ac:dyDescent="0.25">
      <c r="A477" t="str">
        <f t="shared" si="76"/>
        <v>AK6 - 1998</v>
      </c>
      <c r="B477" t="s">
        <v>33</v>
      </c>
      <c r="C477">
        <v>2</v>
      </c>
      <c r="D477">
        <v>14</v>
      </c>
      <c r="E477">
        <v>1998</v>
      </c>
      <c r="F477">
        <v>166.3</v>
      </c>
      <c r="G477">
        <v>7.5</v>
      </c>
      <c r="H477">
        <v>6.6</v>
      </c>
      <c r="I477">
        <v>0.9</v>
      </c>
      <c r="J477">
        <v>12</v>
      </c>
      <c r="K477">
        <v>76.599999999999994</v>
      </c>
      <c r="L477">
        <v>868.8</v>
      </c>
      <c r="M477">
        <v>387</v>
      </c>
      <c r="N477">
        <v>363</v>
      </c>
      <c r="O477">
        <v>557</v>
      </c>
      <c r="P477">
        <v>194</v>
      </c>
      <c r="Q477">
        <v>303</v>
      </c>
      <c r="R477">
        <v>596</v>
      </c>
      <c r="S477">
        <v>293</v>
      </c>
      <c r="T477">
        <v>193.8</v>
      </c>
      <c r="U477">
        <v>412</v>
      </c>
      <c r="V477">
        <v>396</v>
      </c>
      <c r="W477">
        <v>500</v>
      </c>
      <c r="X477">
        <v>2.79</v>
      </c>
    </row>
    <row r="478" spans="1:24" hidden="1" outlineLevel="2" x14ac:dyDescent="0.25">
      <c r="A478" t="str">
        <f t="shared" si="76"/>
        <v>AK6 - 1998</v>
      </c>
      <c r="B478" t="s">
        <v>33</v>
      </c>
      <c r="C478">
        <v>3</v>
      </c>
      <c r="D478">
        <v>14</v>
      </c>
      <c r="E478">
        <v>1998</v>
      </c>
      <c r="F478">
        <v>174.1</v>
      </c>
      <c r="G478">
        <v>9</v>
      </c>
      <c r="H478">
        <v>6.6</v>
      </c>
      <c r="I478">
        <v>2.4</v>
      </c>
      <c r="J478">
        <v>26</v>
      </c>
      <c r="K478">
        <v>95.9</v>
      </c>
      <c r="L478">
        <v>952.2</v>
      </c>
      <c r="M478">
        <v>410</v>
      </c>
      <c r="N478">
        <v>363</v>
      </c>
      <c r="O478">
        <v>536</v>
      </c>
      <c r="P478">
        <v>173</v>
      </c>
      <c r="Q478">
        <v>297</v>
      </c>
      <c r="R478">
        <v>571</v>
      </c>
      <c r="S478">
        <v>274</v>
      </c>
      <c r="T478">
        <v>261.89999999999998</v>
      </c>
      <c r="U478">
        <v>404</v>
      </c>
      <c r="V478">
        <v>407</v>
      </c>
      <c r="W478">
        <v>500</v>
      </c>
      <c r="X478">
        <v>2.79</v>
      </c>
    </row>
    <row r="479" spans="1:24" hidden="1" outlineLevel="2" x14ac:dyDescent="0.25">
      <c r="A479" t="str">
        <f t="shared" si="76"/>
        <v>AK6 - 1998</v>
      </c>
      <c r="B479" t="s">
        <v>33</v>
      </c>
      <c r="C479">
        <v>4</v>
      </c>
      <c r="D479">
        <v>13</v>
      </c>
      <c r="E479">
        <v>1998</v>
      </c>
      <c r="F479">
        <v>123.3</v>
      </c>
      <c r="G479">
        <v>6</v>
      </c>
      <c r="H479">
        <v>5.0999999999999996</v>
      </c>
      <c r="I479">
        <v>0.9</v>
      </c>
      <c r="J479">
        <v>15</v>
      </c>
      <c r="K479">
        <v>45.4</v>
      </c>
      <c r="L479">
        <v>477.6</v>
      </c>
      <c r="M479">
        <v>433</v>
      </c>
      <c r="N479">
        <v>413</v>
      </c>
      <c r="O479">
        <v>547</v>
      </c>
      <c r="P479">
        <v>134</v>
      </c>
      <c r="Q479">
        <v>359</v>
      </c>
      <c r="R479">
        <v>563</v>
      </c>
      <c r="S479">
        <v>204</v>
      </c>
      <c r="T479">
        <v>166.8</v>
      </c>
      <c r="U479">
        <v>412</v>
      </c>
      <c r="V479">
        <v>409</v>
      </c>
      <c r="W479">
        <v>500</v>
      </c>
      <c r="X479">
        <v>2.79</v>
      </c>
    </row>
    <row r="480" spans="1:24" hidden="1" outlineLevel="2" x14ac:dyDescent="0.25">
      <c r="A480" t="str">
        <f t="shared" si="76"/>
        <v>AK6 - 1998</v>
      </c>
      <c r="B480" t="s">
        <v>33</v>
      </c>
      <c r="C480">
        <v>5</v>
      </c>
      <c r="D480">
        <v>13</v>
      </c>
      <c r="E480">
        <v>1998</v>
      </c>
      <c r="F480">
        <v>184.3</v>
      </c>
      <c r="G480">
        <v>6.9</v>
      </c>
      <c r="H480">
        <v>6</v>
      </c>
      <c r="I480">
        <v>0.9</v>
      </c>
      <c r="J480">
        <v>13</v>
      </c>
      <c r="K480">
        <v>78.400000000000006</v>
      </c>
      <c r="L480">
        <v>1067.0999999999999</v>
      </c>
      <c r="M480">
        <v>371</v>
      </c>
      <c r="N480">
        <v>349</v>
      </c>
      <c r="O480">
        <v>524</v>
      </c>
      <c r="P480">
        <v>175</v>
      </c>
      <c r="Q480">
        <v>264</v>
      </c>
      <c r="R480">
        <v>531</v>
      </c>
      <c r="S480">
        <v>267</v>
      </c>
      <c r="T480">
        <v>224.7</v>
      </c>
      <c r="U480">
        <v>390</v>
      </c>
      <c r="V480">
        <v>376</v>
      </c>
      <c r="W480">
        <v>500</v>
      </c>
      <c r="X480">
        <v>2.79</v>
      </c>
    </row>
    <row r="481" spans="1:24" hidden="1" outlineLevel="2" x14ac:dyDescent="0.25">
      <c r="A481" t="str">
        <f t="shared" si="76"/>
        <v>AK6 - 1998</v>
      </c>
      <c r="B481" t="s">
        <v>33</v>
      </c>
      <c r="C481">
        <v>6</v>
      </c>
      <c r="D481">
        <v>14</v>
      </c>
      <c r="E481">
        <v>1998</v>
      </c>
      <c r="F481">
        <v>186.5</v>
      </c>
      <c r="G481">
        <v>9.6</v>
      </c>
      <c r="H481">
        <v>7.8</v>
      </c>
      <c r="I481">
        <v>1.8</v>
      </c>
      <c r="J481">
        <v>18</v>
      </c>
      <c r="K481">
        <v>109.6</v>
      </c>
      <c r="L481">
        <v>1092.7</v>
      </c>
      <c r="M481">
        <v>422</v>
      </c>
      <c r="N481">
        <v>398</v>
      </c>
      <c r="O481">
        <v>529</v>
      </c>
      <c r="P481">
        <v>131</v>
      </c>
      <c r="Q481">
        <v>322</v>
      </c>
      <c r="R481">
        <v>543</v>
      </c>
      <c r="S481">
        <v>221</v>
      </c>
      <c r="T481">
        <v>282</v>
      </c>
      <c r="U481">
        <v>406</v>
      </c>
      <c r="V481">
        <v>411</v>
      </c>
      <c r="W481">
        <v>500</v>
      </c>
      <c r="X481">
        <v>2.79</v>
      </c>
    </row>
    <row r="482" spans="1:24" hidden="1" outlineLevel="2" x14ac:dyDescent="0.25">
      <c r="A482" t="str">
        <f t="shared" si="76"/>
        <v>AK6 - 1998</v>
      </c>
      <c r="B482" t="s">
        <v>33</v>
      </c>
      <c r="C482">
        <v>7</v>
      </c>
      <c r="D482">
        <v>14</v>
      </c>
      <c r="E482">
        <v>1998</v>
      </c>
      <c r="F482">
        <v>154.9</v>
      </c>
      <c r="G482">
        <v>6.3</v>
      </c>
      <c r="H482">
        <v>4.8</v>
      </c>
      <c r="I482">
        <v>1.5</v>
      </c>
      <c r="J482">
        <v>23</v>
      </c>
      <c r="K482">
        <v>60.1</v>
      </c>
      <c r="L482">
        <v>753.8</v>
      </c>
      <c r="M482">
        <v>420</v>
      </c>
      <c r="N482">
        <v>379</v>
      </c>
      <c r="O482">
        <v>552</v>
      </c>
      <c r="P482">
        <v>173</v>
      </c>
      <c r="Q482">
        <v>322</v>
      </c>
      <c r="R482">
        <v>585</v>
      </c>
      <c r="S482">
        <v>263</v>
      </c>
      <c r="T482">
        <v>220.2</v>
      </c>
      <c r="U482">
        <v>418</v>
      </c>
      <c r="V482">
        <v>420</v>
      </c>
      <c r="W482">
        <v>500</v>
      </c>
      <c r="X482">
        <v>2.79</v>
      </c>
    </row>
    <row r="483" spans="1:24" hidden="1" outlineLevel="2" x14ac:dyDescent="0.25">
      <c r="A483" t="str">
        <f t="shared" si="76"/>
        <v>AK6 - 1998</v>
      </c>
      <c r="B483" t="s">
        <v>33</v>
      </c>
      <c r="C483">
        <v>8</v>
      </c>
      <c r="D483">
        <v>14</v>
      </c>
      <c r="E483">
        <v>1998</v>
      </c>
      <c r="F483">
        <v>169.8</v>
      </c>
      <c r="G483">
        <v>6.6</v>
      </c>
      <c r="H483">
        <v>5.4</v>
      </c>
      <c r="I483">
        <v>1.2</v>
      </c>
      <c r="J483">
        <v>18</v>
      </c>
      <c r="K483">
        <v>69</v>
      </c>
      <c r="L483">
        <v>905.8</v>
      </c>
      <c r="M483">
        <v>378</v>
      </c>
      <c r="N483">
        <v>343</v>
      </c>
      <c r="O483">
        <v>534</v>
      </c>
      <c r="P483">
        <v>191</v>
      </c>
      <c r="Q483">
        <v>276</v>
      </c>
      <c r="R483">
        <v>554</v>
      </c>
      <c r="S483">
        <v>278</v>
      </c>
      <c r="T483">
        <v>222.3</v>
      </c>
      <c r="U483">
        <v>354</v>
      </c>
      <c r="V483">
        <v>355</v>
      </c>
      <c r="W483">
        <v>500</v>
      </c>
      <c r="X483">
        <v>2.79</v>
      </c>
    </row>
    <row r="484" spans="1:24" hidden="1" outlineLevel="2" x14ac:dyDescent="0.25">
      <c r="A484" t="str">
        <f t="shared" si="76"/>
        <v>AK6 - 1998</v>
      </c>
      <c r="B484" t="s">
        <v>33</v>
      </c>
      <c r="C484">
        <v>10</v>
      </c>
      <c r="D484">
        <v>14</v>
      </c>
      <c r="E484">
        <v>1998</v>
      </c>
      <c r="F484">
        <v>141.6</v>
      </c>
      <c r="G484">
        <v>5.7</v>
      </c>
      <c r="H484">
        <v>4.5</v>
      </c>
      <c r="I484">
        <v>1.2</v>
      </c>
      <c r="J484">
        <v>21</v>
      </c>
      <c r="K484">
        <v>49.7</v>
      </c>
      <c r="L484">
        <v>629.9</v>
      </c>
      <c r="M484">
        <v>455</v>
      </c>
      <c r="N484">
        <v>430</v>
      </c>
      <c r="O484">
        <v>549</v>
      </c>
      <c r="P484">
        <v>119</v>
      </c>
      <c r="Q484">
        <v>367</v>
      </c>
      <c r="R484">
        <v>601</v>
      </c>
      <c r="S484">
        <v>234</v>
      </c>
      <c r="T484">
        <v>188.1</v>
      </c>
      <c r="U484">
        <v>437</v>
      </c>
      <c r="V484">
        <v>439</v>
      </c>
      <c r="W484">
        <v>500</v>
      </c>
      <c r="X484">
        <v>2.79</v>
      </c>
    </row>
    <row r="485" spans="1:24" hidden="1" outlineLevel="2" x14ac:dyDescent="0.25">
      <c r="A485" t="str">
        <f t="shared" si="76"/>
        <v>AK6 - 1998</v>
      </c>
      <c r="B485" t="s">
        <v>33</v>
      </c>
      <c r="C485">
        <v>11</v>
      </c>
      <c r="D485">
        <v>13</v>
      </c>
      <c r="E485">
        <v>1998</v>
      </c>
      <c r="F485">
        <v>103.1</v>
      </c>
      <c r="G485">
        <v>6</v>
      </c>
      <c r="H485">
        <v>4.8</v>
      </c>
      <c r="I485">
        <v>1.2</v>
      </c>
      <c r="J485">
        <v>20</v>
      </c>
      <c r="K485">
        <v>37.700000000000003</v>
      </c>
      <c r="L485">
        <v>333.9</v>
      </c>
      <c r="M485">
        <v>423</v>
      </c>
      <c r="N485">
        <v>401</v>
      </c>
      <c r="O485">
        <v>512</v>
      </c>
      <c r="P485">
        <v>111</v>
      </c>
      <c r="Q485">
        <v>325</v>
      </c>
      <c r="R485">
        <v>525</v>
      </c>
      <c r="S485">
        <v>200</v>
      </c>
      <c r="T485">
        <v>108</v>
      </c>
      <c r="U485">
        <v>389</v>
      </c>
      <c r="V485">
        <v>391</v>
      </c>
      <c r="W485">
        <v>500</v>
      </c>
      <c r="X485">
        <v>2.79</v>
      </c>
    </row>
    <row r="486" spans="1:24" hidden="1" outlineLevel="2" x14ac:dyDescent="0.25">
      <c r="A486" t="str">
        <f t="shared" si="76"/>
        <v>AK6 - 1998</v>
      </c>
      <c r="B486" t="s">
        <v>33</v>
      </c>
      <c r="C486">
        <v>12</v>
      </c>
      <c r="D486">
        <v>14</v>
      </c>
      <c r="E486">
        <v>1998</v>
      </c>
      <c r="F486">
        <v>129.80000000000001</v>
      </c>
      <c r="G486">
        <v>6</v>
      </c>
      <c r="H486">
        <v>4.2</v>
      </c>
      <c r="I486">
        <v>1.8</v>
      </c>
      <c r="J486">
        <v>30</v>
      </c>
      <c r="K486">
        <v>47.8</v>
      </c>
      <c r="L486">
        <v>529.29999999999995</v>
      </c>
      <c r="M486">
        <v>442</v>
      </c>
      <c r="N486">
        <v>400</v>
      </c>
      <c r="O486">
        <v>540</v>
      </c>
      <c r="P486">
        <v>140</v>
      </c>
      <c r="Q486">
        <v>359</v>
      </c>
      <c r="R486">
        <v>574</v>
      </c>
      <c r="S486">
        <v>215</v>
      </c>
      <c r="T486">
        <v>189.3</v>
      </c>
      <c r="U486">
        <v>426</v>
      </c>
      <c r="V486">
        <v>428</v>
      </c>
      <c r="W486">
        <v>500</v>
      </c>
      <c r="X486">
        <v>2.79</v>
      </c>
    </row>
    <row r="487" spans="1:24" hidden="1" outlineLevel="2" x14ac:dyDescent="0.25">
      <c r="A487" t="str">
        <f t="shared" si="76"/>
        <v>AK6 - 1998</v>
      </c>
      <c r="B487" t="s">
        <v>33</v>
      </c>
      <c r="C487">
        <v>13</v>
      </c>
      <c r="D487">
        <v>13</v>
      </c>
      <c r="E487">
        <v>1998</v>
      </c>
      <c r="F487">
        <v>169.1</v>
      </c>
      <c r="G487">
        <v>6.9</v>
      </c>
      <c r="H487">
        <v>6</v>
      </c>
      <c r="I487">
        <v>0.9</v>
      </c>
      <c r="J487">
        <v>13</v>
      </c>
      <c r="K487">
        <v>71.8</v>
      </c>
      <c r="L487">
        <v>898.3</v>
      </c>
      <c r="M487">
        <v>387</v>
      </c>
      <c r="N487">
        <v>361</v>
      </c>
      <c r="O487">
        <v>561</v>
      </c>
      <c r="P487">
        <v>200</v>
      </c>
      <c r="Q487">
        <v>303</v>
      </c>
      <c r="R487">
        <v>570</v>
      </c>
      <c r="S487">
        <v>267</v>
      </c>
      <c r="T487">
        <v>221.4</v>
      </c>
      <c r="U487">
        <v>380</v>
      </c>
      <c r="V487">
        <v>378</v>
      </c>
      <c r="W487">
        <v>500</v>
      </c>
      <c r="X487">
        <v>2.79</v>
      </c>
    </row>
    <row r="488" spans="1:24" hidden="1" outlineLevel="2" x14ac:dyDescent="0.25">
      <c r="A488" t="str">
        <f t="shared" si="76"/>
        <v>AK6 - 1998</v>
      </c>
      <c r="B488" t="s">
        <v>33</v>
      </c>
      <c r="C488">
        <v>15</v>
      </c>
      <c r="D488">
        <v>13</v>
      </c>
      <c r="E488">
        <v>1998</v>
      </c>
      <c r="F488">
        <v>181.3</v>
      </c>
      <c r="G488">
        <v>7.2</v>
      </c>
      <c r="H488">
        <v>6.6</v>
      </c>
      <c r="I488">
        <v>0.6</v>
      </c>
      <c r="J488">
        <v>8</v>
      </c>
      <c r="K488">
        <v>80.400000000000006</v>
      </c>
      <c r="L488">
        <v>1032.5999999999999</v>
      </c>
      <c r="M488">
        <v>382</v>
      </c>
      <c r="N488">
        <v>369</v>
      </c>
      <c r="O488">
        <v>521</v>
      </c>
      <c r="P488">
        <v>152</v>
      </c>
      <c r="Q488">
        <v>293</v>
      </c>
      <c r="R488">
        <v>533</v>
      </c>
      <c r="S488">
        <v>240</v>
      </c>
      <c r="T488">
        <v>222.9</v>
      </c>
      <c r="U488">
        <v>390</v>
      </c>
      <c r="V488">
        <v>386</v>
      </c>
      <c r="W488">
        <v>500</v>
      </c>
      <c r="X488">
        <v>2.79</v>
      </c>
    </row>
    <row r="489" spans="1:24" hidden="1" outlineLevel="2" x14ac:dyDescent="0.25">
      <c r="A489" t="str">
        <f t="shared" si="76"/>
        <v>AK6 - 1998</v>
      </c>
      <c r="B489" t="s">
        <v>33</v>
      </c>
      <c r="C489">
        <v>14</v>
      </c>
      <c r="D489">
        <v>14</v>
      </c>
      <c r="E489">
        <v>1998</v>
      </c>
      <c r="F489">
        <v>204.6</v>
      </c>
      <c r="G489">
        <v>10.199999999999999</v>
      </c>
      <c r="H489">
        <v>8.4</v>
      </c>
      <c r="I489">
        <v>1.8</v>
      </c>
      <c r="J489">
        <v>17</v>
      </c>
      <c r="K489">
        <v>127.9</v>
      </c>
      <c r="L489">
        <v>1315.1</v>
      </c>
      <c r="M489">
        <v>398</v>
      </c>
      <c r="N489">
        <v>372</v>
      </c>
      <c r="O489">
        <v>519</v>
      </c>
      <c r="P489">
        <v>147</v>
      </c>
      <c r="Q489">
        <v>284</v>
      </c>
      <c r="R489">
        <v>550</v>
      </c>
      <c r="S489">
        <v>266</v>
      </c>
      <c r="T489">
        <v>292.2</v>
      </c>
      <c r="U489">
        <v>398</v>
      </c>
      <c r="V489">
        <v>397</v>
      </c>
      <c r="W489">
        <v>500</v>
      </c>
      <c r="X489">
        <v>2.79</v>
      </c>
    </row>
    <row r="490" spans="1:24" hidden="1" outlineLevel="2" x14ac:dyDescent="0.25">
      <c r="A490" t="str">
        <f t="shared" si="76"/>
        <v>AK6 - 1998</v>
      </c>
      <c r="B490" t="s">
        <v>33</v>
      </c>
      <c r="C490" t="s">
        <v>35</v>
      </c>
      <c r="D490">
        <v>13</v>
      </c>
      <c r="E490">
        <v>1998</v>
      </c>
      <c r="F490">
        <v>156.5</v>
      </c>
      <c r="G490">
        <v>6.6</v>
      </c>
      <c r="H490">
        <v>5.4</v>
      </c>
      <c r="I490">
        <v>1.2</v>
      </c>
      <c r="J490">
        <v>18</v>
      </c>
      <c r="K490">
        <v>63.5</v>
      </c>
      <c r="L490">
        <v>769.4</v>
      </c>
      <c r="M490">
        <v>434</v>
      </c>
      <c r="N490">
        <v>406</v>
      </c>
      <c r="O490">
        <v>560</v>
      </c>
      <c r="P490">
        <v>154</v>
      </c>
      <c r="Q490">
        <v>356</v>
      </c>
      <c r="R490">
        <v>589</v>
      </c>
      <c r="S490">
        <v>233</v>
      </c>
      <c r="T490">
        <v>205.5</v>
      </c>
      <c r="U490">
        <v>422</v>
      </c>
      <c r="V490">
        <v>415</v>
      </c>
      <c r="W490">
        <v>500</v>
      </c>
      <c r="X490">
        <v>2.79</v>
      </c>
    </row>
    <row r="491" spans="1:24" outlineLevel="1" collapsed="1" x14ac:dyDescent="0.25">
      <c r="A491" s="8" t="s">
        <v>74</v>
      </c>
      <c r="D491">
        <f t="shared" ref="D491:V491" si="77">SUBTOTAL(1,D476:D490)</f>
        <v>13.533333333333333</v>
      </c>
      <c r="E491">
        <f t="shared" si="77"/>
        <v>1998</v>
      </c>
      <c r="F491">
        <f t="shared" si="77"/>
        <v>160.32</v>
      </c>
      <c r="G491">
        <f t="shared" si="77"/>
        <v>7.1800000000000006</v>
      </c>
      <c r="H491">
        <f t="shared" si="77"/>
        <v>5.9</v>
      </c>
      <c r="I491">
        <f t="shared" si="77"/>
        <v>1.28</v>
      </c>
      <c r="J491">
        <f t="shared" si="77"/>
        <v>17.600000000000001</v>
      </c>
      <c r="K491">
        <f t="shared" si="77"/>
        <v>72.293333333333337</v>
      </c>
      <c r="L491">
        <f t="shared" si="77"/>
        <v>828.4466666666666</v>
      </c>
      <c r="M491">
        <f t="shared" si="77"/>
        <v>408.4</v>
      </c>
      <c r="N491">
        <f t="shared" si="77"/>
        <v>380.73333333333335</v>
      </c>
      <c r="O491">
        <f t="shared" si="77"/>
        <v>537.79999999999995</v>
      </c>
      <c r="P491">
        <f t="shared" si="77"/>
        <v>157.06666666666666</v>
      </c>
      <c r="Q491">
        <f t="shared" si="77"/>
        <v>315.39999999999998</v>
      </c>
      <c r="R491">
        <f t="shared" si="77"/>
        <v>561.6</v>
      </c>
      <c r="S491">
        <f t="shared" si="77"/>
        <v>246.2</v>
      </c>
      <c r="T491">
        <f t="shared" si="77"/>
        <v>214.06</v>
      </c>
      <c r="U491">
        <f t="shared" si="77"/>
        <v>403.86666666666667</v>
      </c>
      <c r="V491">
        <f t="shared" si="77"/>
        <v>401.4</v>
      </c>
    </row>
    <row r="492" spans="1:24" hidden="1" outlineLevel="2" x14ac:dyDescent="0.25">
      <c r="A492" t="str">
        <f t="shared" ref="A492:A506" si="78">CONCATENATE(B492," - ",E492)</f>
        <v>AK6 - 1999</v>
      </c>
      <c r="B492" t="s">
        <v>33</v>
      </c>
      <c r="C492">
        <v>1</v>
      </c>
      <c r="D492">
        <v>14</v>
      </c>
      <c r="E492">
        <v>1999</v>
      </c>
      <c r="F492">
        <v>166.2</v>
      </c>
      <c r="G492">
        <v>6.6</v>
      </c>
      <c r="H492">
        <v>5.4</v>
      </c>
      <c r="I492">
        <v>1.2</v>
      </c>
      <c r="J492">
        <v>18</v>
      </c>
      <c r="K492">
        <v>67.599999999999994</v>
      </c>
      <c r="L492">
        <v>867.8</v>
      </c>
      <c r="M492">
        <v>413</v>
      </c>
      <c r="N492">
        <v>384</v>
      </c>
      <c r="O492">
        <v>544</v>
      </c>
      <c r="P492">
        <v>160</v>
      </c>
      <c r="Q492">
        <v>331</v>
      </c>
      <c r="R492">
        <v>596</v>
      </c>
      <c r="S492">
        <v>265</v>
      </c>
      <c r="T492">
        <v>211.8</v>
      </c>
      <c r="U492">
        <v>420</v>
      </c>
      <c r="V492">
        <v>413</v>
      </c>
      <c r="W492">
        <v>500</v>
      </c>
      <c r="X492">
        <v>2.79</v>
      </c>
    </row>
    <row r="493" spans="1:24" hidden="1" outlineLevel="2" x14ac:dyDescent="0.25">
      <c r="A493" t="str">
        <f t="shared" si="78"/>
        <v>AK6 - 1999</v>
      </c>
      <c r="B493" t="s">
        <v>33</v>
      </c>
      <c r="C493">
        <v>2</v>
      </c>
      <c r="D493">
        <v>15</v>
      </c>
      <c r="E493">
        <v>1999</v>
      </c>
      <c r="F493">
        <v>173.2</v>
      </c>
      <c r="G493">
        <v>6.9</v>
      </c>
      <c r="H493">
        <v>6.9</v>
      </c>
      <c r="I493">
        <v>0</v>
      </c>
      <c r="J493">
        <v>0</v>
      </c>
      <c r="K493">
        <v>73.599999999999994</v>
      </c>
      <c r="L493">
        <v>942.4</v>
      </c>
      <c r="M493">
        <v>378</v>
      </c>
      <c r="N493">
        <v>378</v>
      </c>
      <c r="Q493">
        <v>335</v>
      </c>
      <c r="R493">
        <v>467</v>
      </c>
      <c r="S493">
        <v>132</v>
      </c>
      <c r="T493">
        <v>193.8</v>
      </c>
      <c r="U493">
        <v>412</v>
      </c>
      <c r="V493">
        <v>396</v>
      </c>
      <c r="W493">
        <v>500</v>
      </c>
      <c r="X493">
        <v>2.79</v>
      </c>
    </row>
    <row r="494" spans="1:24" hidden="1" outlineLevel="2" x14ac:dyDescent="0.25">
      <c r="A494" t="str">
        <f t="shared" si="78"/>
        <v>AK6 - 1999</v>
      </c>
      <c r="B494" t="s">
        <v>33</v>
      </c>
      <c r="C494">
        <v>3</v>
      </c>
      <c r="D494">
        <v>15</v>
      </c>
      <c r="E494">
        <v>1999</v>
      </c>
      <c r="F494">
        <v>184</v>
      </c>
      <c r="G494">
        <v>9.9</v>
      </c>
      <c r="H494">
        <v>9.3000000000000007</v>
      </c>
      <c r="I494">
        <v>0.6</v>
      </c>
      <c r="J494">
        <v>6</v>
      </c>
      <c r="K494">
        <v>111.4</v>
      </c>
      <c r="L494">
        <v>1063.5999999999999</v>
      </c>
      <c r="M494">
        <v>389</v>
      </c>
      <c r="N494">
        <v>381</v>
      </c>
      <c r="O494">
        <v>523</v>
      </c>
      <c r="P494">
        <v>142</v>
      </c>
      <c r="Q494">
        <v>313</v>
      </c>
      <c r="R494">
        <v>530</v>
      </c>
      <c r="S494">
        <v>217</v>
      </c>
      <c r="T494">
        <v>261.89999999999998</v>
      </c>
      <c r="U494">
        <v>404</v>
      </c>
      <c r="V494">
        <v>407</v>
      </c>
      <c r="W494">
        <v>500</v>
      </c>
      <c r="X494">
        <v>2.79</v>
      </c>
    </row>
    <row r="495" spans="1:24" hidden="1" outlineLevel="2" x14ac:dyDescent="0.25">
      <c r="A495" t="str">
        <f t="shared" si="78"/>
        <v>AK6 - 1999</v>
      </c>
      <c r="B495" t="s">
        <v>33</v>
      </c>
      <c r="C495">
        <v>4</v>
      </c>
      <c r="D495">
        <v>14</v>
      </c>
      <c r="E495">
        <v>1999</v>
      </c>
      <c r="F495">
        <v>130.80000000000001</v>
      </c>
      <c r="G495">
        <v>7.5</v>
      </c>
      <c r="H495">
        <v>7.5</v>
      </c>
      <c r="I495">
        <v>0</v>
      </c>
      <c r="J495">
        <v>0</v>
      </c>
      <c r="K495">
        <v>59.9</v>
      </c>
      <c r="L495">
        <v>537.5</v>
      </c>
      <c r="M495">
        <v>369</v>
      </c>
      <c r="N495">
        <v>369</v>
      </c>
      <c r="Q495">
        <v>324</v>
      </c>
      <c r="R495">
        <v>489</v>
      </c>
      <c r="S495">
        <v>165</v>
      </c>
      <c r="T495">
        <v>166.8</v>
      </c>
      <c r="U495">
        <v>412</v>
      </c>
      <c r="V495">
        <v>409</v>
      </c>
      <c r="W495">
        <v>500</v>
      </c>
      <c r="X495">
        <v>2.79</v>
      </c>
    </row>
    <row r="496" spans="1:24" hidden="1" outlineLevel="2" x14ac:dyDescent="0.25">
      <c r="A496" t="str">
        <f t="shared" si="78"/>
        <v>AK6 - 1999</v>
      </c>
      <c r="B496" t="s">
        <v>33</v>
      </c>
      <c r="C496">
        <v>5</v>
      </c>
      <c r="D496">
        <v>14</v>
      </c>
      <c r="E496">
        <v>1999</v>
      </c>
      <c r="F496">
        <v>191.2</v>
      </c>
      <c r="G496">
        <v>6.9</v>
      </c>
      <c r="H496">
        <v>6.6</v>
      </c>
      <c r="I496">
        <v>0.3</v>
      </c>
      <c r="J496">
        <v>4</v>
      </c>
      <c r="K496">
        <v>81.400000000000006</v>
      </c>
      <c r="L496">
        <v>1148.5</v>
      </c>
      <c r="M496">
        <v>370</v>
      </c>
      <c r="N496">
        <v>363</v>
      </c>
      <c r="O496">
        <v>520</v>
      </c>
      <c r="P496">
        <v>157</v>
      </c>
      <c r="Q496">
        <v>297</v>
      </c>
      <c r="R496">
        <v>520</v>
      </c>
      <c r="S496">
        <v>223</v>
      </c>
      <c r="T496">
        <v>224.7</v>
      </c>
      <c r="U496">
        <v>390</v>
      </c>
      <c r="V496">
        <v>376</v>
      </c>
      <c r="W496">
        <v>500</v>
      </c>
      <c r="X496">
        <v>2.79</v>
      </c>
    </row>
    <row r="497" spans="1:24" hidden="1" outlineLevel="2" x14ac:dyDescent="0.25">
      <c r="A497" t="str">
        <f t="shared" si="78"/>
        <v>AK6 - 1999</v>
      </c>
      <c r="B497" t="s">
        <v>33</v>
      </c>
      <c r="C497">
        <v>6</v>
      </c>
      <c r="D497">
        <v>15</v>
      </c>
      <c r="E497">
        <v>1999</v>
      </c>
      <c r="F497">
        <v>198.5</v>
      </c>
      <c r="G497">
        <v>12</v>
      </c>
      <c r="H497">
        <v>10.5</v>
      </c>
      <c r="I497">
        <v>1.5</v>
      </c>
      <c r="J497">
        <v>12</v>
      </c>
      <c r="K497">
        <v>145.1</v>
      </c>
      <c r="L497">
        <v>1237.9000000000001</v>
      </c>
      <c r="M497">
        <v>402</v>
      </c>
      <c r="N497">
        <v>383</v>
      </c>
      <c r="O497">
        <v>541</v>
      </c>
      <c r="P497">
        <v>158</v>
      </c>
      <c r="Q497">
        <v>338</v>
      </c>
      <c r="R497">
        <v>547</v>
      </c>
      <c r="S497">
        <v>209</v>
      </c>
      <c r="T497">
        <v>282</v>
      </c>
      <c r="U497">
        <v>406</v>
      </c>
      <c r="V497">
        <v>411</v>
      </c>
      <c r="W497">
        <v>500</v>
      </c>
      <c r="X497">
        <v>2.79</v>
      </c>
    </row>
    <row r="498" spans="1:24" hidden="1" outlineLevel="2" x14ac:dyDescent="0.25">
      <c r="A498" t="str">
        <f t="shared" si="78"/>
        <v>AK6 - 1999</v>
      </c>
      <c r="B498" t="s">
        <v>33</v>
      </c>
      <c r="C498">
        <v>7</v>
      </c>
      <c r="D498">
        <v>15</v>
      </c>
      <c r="E498">
        <v>1999</v>
      </c>
      <c r="F498">
        <v>162.69999999999999</v>
      </c>
      <c r="G498">
        <v>7.8</v>
      </c>
      <c r="H498">
        <v>6.9</v>
      </c>
      <c r="I498">
        <v>0.9</v>
      </c>
      <c r="J498">
        <v>11</v>
      </c>
      <c r="K498">
        <v>77.8</v>
      </c>
      <c r="L498">
        <v>831.6</v>
      </c>
      <c r="M498">
        <v>435</v>
      </c>
      <c r="N498">
        <v>422</v>
      </c>
      <c r="O498">
        <v>537</v>
      </c>
      <c r="P498">
        <v>115</v>
      </c>
      <c r="Q498">
        <v>351</v>
      </c>
      <c r="R498">
        <v>569</v>
      </c>
      <c r="S498">
        <v>218</v>
      </c>
      <c r="T498">
        <v>220.2</v>
      </c>
      <c r="U498">
        <v>418</v>
      </c>
      <c r="V498">
        <v>420</v>
      </c>
      <c r="W498">
        <v>500</v>
      </c>
      <c r="X498">
        <v>2.79</v>
      </c>
    </row>
    <row r="499" spans="1:24" hidden="1" outlineLevel="2" x14ac:dyDescent="0.25">
      <c r="A499" t="str">
        <f t="shared" si="78"/>
        <v>AK6 - 1999</v>
      </c>
      <c r="B499" t="s">
        <v>33</v>
      </c>
      <c r="C499">
        <v>8</v>
      </c>
      <c r="D499">
        <v>15</v>
      </c>
      <c r="E499">
        <v>1999</v>
      </c>
      <c r="F499">
        <v>178.8</v>
      </c>
      <c r="G499">
        <v>9</v>
      </c>
      <c r="H499">
        <v>9</v>
      </c>
      <c r="I499">
        <v>0</v>
      </c>
      <c r="J499">
        <v>0</v>
      </c>
      <c r="K499">
        <v>98.6</v>
      </c>
      <c r="L499">
        <v>1004.3</v>
      </c>
      <c r="M499">
        <v>361</v>
      </c>
      <c r="N499">
        <v>361</v>
      </c>
      <c r="Q499">
        <v>301</v>
      </c>
      <c r="R499">
        <v>485</v>
      </c>
      <c r="S499">
        <v>184</v>
      </c>
      <c r="T499">
        <v>222.3</v>
      </c>
      <c r="U499">
        <v>354</v>
      </c>
      <c r="V499">
        <v>355</v>
      </c>
      <c r="W499">
        <v>500</v>
      </c>
      <c r="X499">
        <v>2.79</v>
      </c>
    </row>
    <row r="500" spans="1:24" hidden="1" outlineLevel="2" x14ac:dyDescent="0.25">
      <c r="A500" t="str">
        <f t="shared" si="78"/>
        <v>AK6 - 1999</v>
      </c>
      <c r="B500" t="s">
        <v>33</v>
      </c>
      <c r="C500">
        <v>10</v>
      </c>
      <c r="D500">
        <v>15</v>
      </c>
      <c r="E500">
        <v>1999</v>
      </c>
      <c r="F500">
        <v>145.80000000000001</v>
      </c>
      <c r="G500">
        <v>4.2</v>
      </c>
      <c r="H500">
        <v>2.7</v>
      </c>
      <c r="I500">
        <v>1.5</v>
      </c>
      <c r="J500">
        <v>35</v>
      </c>
      <c r="K500">
        <v>37.9</v>
      </c>
      <c r="L500">
        <v>667.8</v>
      </c>
      <c r="M500">
        <v>471</v>
      </c>
      <c r="N500">
        <v>421</v>
      </c>
      <c r="O500">
        <v>559</v>
      </c>
      <c r="P500">
        <v>138</v>
      </c>
      <c r="Q500">
        <v>387</v>
      </c>
      <c r="R500">
        <v>596</v>
      </c>
      <c r="S500">
        <v>209</v>
      </c>
      <c r="T500">
        <v>188.1</v>
      </c>
      <c r="U500">
        <v>437</v>
      </c>
      <c r="V500">
        <v>439</v>
      </c>
      <c r="W500">
        <v>500</v>
      </c>
      <c r="X500">
        <v>2.79</v>
      </c>
    </row>
    <row r="501" spans="1:24" hidden="1" outlineLevel="2" x14ac:dyDescent="0.25">
      <c r="A501" t="str">
        <f t="shared" si="78"/>
        <v>AK6 - 1999</v>
      </c>
      <c r="B501" t="s">
        <v>33</v>
      </c>
      <c r="C501">
        <v>11</v>
      </c>
      <c r="D501">
        <v>14</v>
      </c>
      <c r="E501">
        <v>1999</v>
      </c>
      <c r="F501">
        <v>107.6</v>
      </c>
      <c r="G501">
        <v>4.5</v>
      </c>
      <c r="H501">
        <v>4.5</v>
      </c>
      <c r="I501">
        <v>0</v>
      </c>
      <c r="J501">
        <v>0</v>
      </c>
      <c r="K501">
        <v>29.8</v>
      </c>
      <c r="L501">
        <v>363.7</v>
      </c>
      <c r="M501">
        <v>398</v>
      </c>
      <c r="N501">
        <v>398</v>
      </c>
      <c r="Q501">
        <v>336</v>
      </c>
      <c r="R501">
        <v>497</v>
      </c>
      <c r="S501">
        <v>161</v>
      </c>
      <c r="T501">
        <v>108</v>
      </c>
      <c r="U501">
        <v>389</v>
      </c>
      <c r="V501">
        <v>391</v>
      </c>
      <c r="W501">
        <v>500</v>
      </c>
      <c r="X501">
        <v>2.79</v>
      </c>
    </row>
    <row r="502" spans="1:24" hidden="1" outlineLevel="2" x14ac:dyDescent="0.25">
      <c r="A502" t="str">
        <f t="shared" si="78"/>
        <v>AK6 - 1999</v>
      </c>
      <c r="B502" t="s">
        <v>33</v>
      </c>
      <c r="C502">
        <v>12</v>
      </c>
      <c r="D502">
        <v>15</v>
      </c>
      <c r="E502">
        <v>1999</v>
      </c>
      <c r="F502">
        <v>138.5</v>
      </c>
      <c r="G502">
        <v>8.6999999999999993</v>
      </c>
      <c r="H502">
        <v>7.2</v>
      </c>
      <c r="I502">
        <v>1.5</v>
      </c>
      <c r="J502">
        <v>17</v>
      </c>
      <c r="K502">
        <v>73.3</v>
      </c>
      <c r="L502">
        <v>602.6</v>
      </c>
      <c r="M502">
        <v>444</v>
      </c>
      <c r="N502">
        <v>427</v>
      </c>
      <c r="O502">
        <v>525</v>
      </c>
      <c r="P502">
        <v>98</v>
      </c>
      <c r="Q502">
        <v>375</v>
      </c>
      <c r="R502">
        <v>549</v>
      </c>
      <c r="S502">
        <v>174</v>
      </c>
      <c r="T502">
        <v>189.3</v>
      </c>
      <c r="U502">
        <v>426</v>
      </c>
      <c r="V502">
        <v>428</v>
      </c>
      <c r="W502">
        <v>500</v>
      </c>
      <c r="X502">
        <v>2.79</v>
      </c>
    </row>
    <row r="503" spans="1:24" hidden="1" outlineLevel="2" x14ac:dyDescent="0.25">
      <c r="A503" t="str">
        <f t="shared" si="78"/>
        <v>AK6 - 1999</v>
      </c>
      <c r="B503" t="s">
        <v>33</v>
      </c>
      <c r="C503">
        <v>13</v>
      </c>
      <c r="D503">
        <v>14</v>
      </c>
      <c r="E503">
        <v>1999</v>
      </c>
      <c r="F503">
        <v>178.1</v>
      </c>
      <c r="G503">
        <v>9</v>
      </c>
      <c r="H503">
        <v>8.1</v>
      </c>
      <c r="I503">
        <v>0.9</v>
      </c>
      <c r="J503">
        <v>10</v>
      </c>
      <c r="K503">
        <v>98.2</v>
      </c>
      <c r="L503">
        <v>996.5</v>
      </c>
      <c r="M503">
        <v>404</v>
      </c>
      <c r="N503">
        <v>388</v>
      </c>
      <c r="O503">
        <v>553</v>
      </c>
      <c r="P503">
        <v>165</v>
      </c>
      <c r="Q503">
        <v>343</v>
      </c>
      <c r="R503">
        <v>557</v>
      </c>
      <c r="S503">
        <v>214</v>
      </c>
      <c r="T503">
        <v>221.4</v>
      </c>
      <c r="U503">
        <v>380</v>
      </c>
      <c r="V503">
        <v>378</v>
      </c>
      <c r="W503">
        <v>500</v>
      </c>
      <c r="X503">
        <v>2.79</v>
      </c>
    </row>
    <row r="504" spans="1:24" hidden="1" outlineLevel="2" x14ac:dyDescent="0.25">
      <c r="A504" t="str">
        <f t="shared" si="78"/>
        <v>AK6 - 1999</v>
      </c>
      <c r="B504" t="s">
        <v>33</v>
      </c>
      <c r="C504">
        <v>15</v>
      </c>
      <c r="D504">
        <v>14</v>
      </c>
      <c r="E504">
        <v>1999</v>
      </c>
      <c r="F504">
        <v>189.1</v>
      </c>
      <c r="G504">
        <v>7.8</v>
      </c>
      <c r="H504">
        <v>7.2</v>
      </c>
      <c r="I504">
        <v>0.6</v>
      </c>
      <c r="J504">
        <v>7</v>
      </c>
      <c r="K504">
        <v>90.8</v>
      </c>
      <c r="L504">
        <v>1123.4000000000001</v>
      </c>
      <c r="M504">
        <v>394</v>
      </c>
      <c r="N504">
        <v>382</v>
      </c>
      <c r="O504">
        <v>533</v>
      </c>
      <c r="P504">
        <v>151</v>
      </c>
      <c r="Q504">
        <v>323</v>
      </c>
      <c r="R504">
        <v>537</v>
      </c>
      <c r="S504">
        <v>214</v>
      </c>
      <c r="T504">
        <v>222.9</v>
      </c>
      <c r="U504">
        <v>390</v>
      </c>
      <c r="V504">
        <v>386</v>
      </c>
      <c r="W504">
        <v>500</v>
      </c>
      <c r="X504">
        <v>2.79</v>
      </c>
    </row>
    <row r="505" spans="1:24" hidden="1" outlineLevel="2" x14ac:dyDescent="0.25">
      <c r="A505" t="str">
        <f t="shared" si="78"/>
        <v>AK6 - 1999</v>
      </c>
      <c r="B505" t="s">
        <v>33</v>
      </c>
      <c r="C505">
        <v>14</v>
      </c>
      <c r="D505">
        <v>15</v>
      </c>
      <c r="E505">
        <v>1999</v>
      </c>
      <c r="F505">
        <v>217.2</v>
      </c>
      <c r="G505">
        <v>12.6</v>
      </c>
      <c r="H505">
        <v>11.4</v>
      </c>
      <c r="I505">
        <v>1.2</v>
      </c>
      <c r="J505">
        <v>9</v>
      </c>
      <c r="K505">
        <v>167</v>
      </c>
      <c r="L505">
        <v>1482.1</v>
      </c>
      <c r="M505">
        <v>394</v>
      </c>
      <c r="N505">
        <v>378</v>
      </c>
      <c r="O505">
        <v>547</v>
      </c>
      <c r="P505">
        <v>169</v>
      </c>
      <c r="Q505">
        <v>323</v>
      </c>
      <c r="R505">
        <v>575</v>
      </c>
      <c r="S505">
        <v>252</v>
      </c>
      <c r="T505">
        <v>292.2</v>
      </c>
      <c r="U505">
        <v>398</v>
      </c>
      <c r="V505">
        <v>397</v>
      </c>
      <c r="W505">
        <v>500</v>
      </c>
      <c r="X505">
        <v>2.79</v>
      </c>
    </row>
    <row r="506" spans="1:24" hidden="1" outlineLevel="2" x14ac:dyDescent="0.25">
      <c r="A506" t="str">
        <f t="shared" si="78"/>
        <v>AK6 - 1999</v>
      </c>
      <c r="B506" t="s">
        <v>33</v>
      </c>
      <c r="C506" t="s">
        <v>35</v>
      </c>
      <c r="D506">
        <v>14</v>
      </c>
      <c r="E506">
        <v>1999</v>
      </c>
      <c r="F506">
        <v>163.69999999999999</v>
      </c>
      <c r="G506">
        <v>7.2</v>
      </c>
      <c r="H506">
        <v>6.6</v>
      </c>
      <c r="I506">
        <v>0.6</v>
      </c>
      <c r="J506">
        <v>8</v>
      </c>
      <c r="K506">
        <v>72.400000000000006</v>
      </c>
      <c r="L506">
        <v>841.9</v>
      </c>
      <c r="M506">
        <v>427</v>
      </c>
      <c r="N506">
        <v>417</v>
      </c>
      <c r="O506">
        <v>540</v>
      </c>
      <c r="P506">
        <v>123</v>
      </c>
      <c r="Q506">
        <v>381</v>
      </c>
      <c r="R506">
        <v>546</v>
      </c>
      <c r="S506">
        <v>165</v>
      </c>
      <c r="T506">
        <v>205.5</v>
      </c>
      <c r="U506">
        <v>422</v>
      </c>
      <c r="V506">
        <v>415</v>
      </c>
      <c r="W506">
        <v>500</v>
      </c>
      <c r="X506">
        <v>2.79</v>
      </c>
    </row>
    <row r="507" spans="1:24" outlineLevel="1" collapsed="1" x14ac:dyDescent="0.25">
      <c r="A507" s="8" t="s">
        <v>75</v>
      </c>
      <c r="D507">
        <f t="shared" ref="D507:V507" si="79">SUBTOTAL(1,D492:D506)</f>
        <v>14.533333333333333</v>
      </c>
      <c r="E507">
        <f t="shared" si="79"/>
        <v>1999</v>
      </c>
      <c r="F507">
        <f t="shared" si="79"/>
        <v>168.35999999999999</v>
      </c>
      <c r="G507">
        <f t="shared" si="79"/>
        <v>8.0399999999999991</v>
      </c>
      <c r="H507">
        <f t="shared" si="79"/>
        <v>7.3199999999999994</v>
      </c>
      <c r="I507">
        <f t="shared" si="79"/>
        <v>0.72</v>
      </c>
      <c r="J507">
        <f t="shared" si="79"/>
        <v>9.1333333333333329</v>
      </c>
      <c r="K507">
        <f t="shared" si="79"/>
        <v>85.653333333333336</v>
      </c>
      <c r="L507">
        <f t="shared" si="79"/>
        <v>914.10666666666668</v>
      </c>
      <c r="M507">
        <f t="shared" si="79"/>
        <v>403.26666666666665</v>
      </c>
      <c r="N507">
        <f t="shared" si="79"/>
        <v>390.13333333333333</v>
      </c>
      <c r="O507">
        <f t="shared" si="79"/>
        <v>538.36363636363637</v>
      </c>
      <c r="P507">
        <f t="shared" si="79"/>
        <v>143.27272727272728</v>
      </c>
      <c r="Q507">
        <f t="shared" si="79"/>
        <v>337.2</v>
      </c>
      <c r="R507">
        <f t="shared" si="79"/>
        <v>537.33333333333337</v>
      </c>
      <c r="S507">
        <f t="shared" si="79"/>
        <v>200.13333333333333</v>
      </c>
      <c r="T507">
        <f t="shared" si="79"/>
        <v>214.06</v>
      </c>
      <c r="U507">
        <f t="shared" si="79"/>
        <v>403.86666666666667</v>
      </c>
      <c r="V507">
        <f t="shared" si="79"/>
        <v>401.4</v>
      </c>
    </row>
    <row r="508" spans="1:24" hidden="1" outlineLevel="2" x14ac:dyDescent="0.25">
      <c r="A508" t="str">
        <f t="shared" ref="A508:A522" si="80">CONCATENATE(B508," - ",E508)</f>
        <v>AK6 - 2000</v>
      </c>
      <c r="B508" t="s">
        <v>33</v>
      </c>
      <c r="C508">
        <v>1</v>
      </c>
      <c r="D508">
        <v>15</v>
      </c>
      <c r="E508">
        <v>2000</v>
      </c>
      <c r="F508">
        <v>172.2</v>
      </c>
      <c r="G508">
        <v>6</v>
      </c>
      <c r="H508">
        <v>5.0999999999999996</v>
      </c>
      <c r="I508">
        <v>0.9</v>
      </c>
      <c r="J508">
        <v>15</v>
      </c>
      <c r="K508">
        <v>63.8</v>
      </c>
      <c r="L508">
        <v>931.6</v>
      </c>
      <c r="M508">
        <v>414</v>
      </c>
      <c r="N508">
        <v>391</v>
      </c>
      <c r="O508">
        <v>543</v>
      </c>
      <c r="P508">
        <v>152</v>
      </c>
      <c r="Q508">
        <v>323</v>
      </c>
      <c r="R508">
        <v>575</v>
      </c>
      <c r="S508">
        <v>252</v>
      </c>
      <c r="T508">
        <v>211.8</v>
      </c>
      <c r="U508">
        <v>420</v>
      </c>
      <c r="V508">
        <v>413</v>
      </c>
      <c r="W508">
        <v>500</v>
      </c>
      <c r="X508">
        <v>2.79</v>
      </c>
    </row>
    <row r="509" spans="1:24" hidden="1" outlineLevel="2" x14ac:dyDescent="0.25">
      <c r="A509" t="str">
        <f t="shared" si="80"/>
        <v>AK6 - 2000</v>
      </c>
      <c r="B509" t="s">
        <v>33</v>
      </c>
      <c r="C509">
        <v>2</v>
      </c>
      <c r="D509">
        <v>16</v>
      </c>
      <c r="E509">
        <v>2000</v>
      </c>
      <c r="F509">
        <v>178.6</v>
      </c>
      <c r="G509">
        <v>5.4</v>
      </c>
      <c r="H509">
        <v>4.8</v>
      </c>
      <c r="I509">
        <v>0.6</v>
      </c>
      <c r="J509">
        <v>11</v>
      </c>
      <c r="K509">
        <v>59.7</v>
      </c>
      <c r="L509">
        <v>1002.1</v>
      </c>
      <c r="M509">
        <v>400</v>
      </c>
      <c r="N509">
        <v>382</v>
      </c>
      <c r="O509">
        <v>543</v>
      </c>
      <c r="P509">
        <v>161</v>
      </c>
      <c r="Q509">
        <v>337</v>
      </c>
      <c r="R509">
        <v>560</v>
      </c>
      <c r="S509">
        <v>223</v>
      </c>
      <c r="T509">
        <v>193.8</v>
      </c>
      <c r="U509">
        <v>412</v>
      </c>
      <c r="V509">
        <v>396</v>
      </c>
      <c r="W509">
        <v>500</v>
      </c>
      <c r="X509">
        <v>2.79</v>
      </c>
    </row>
    <row r="510" spans="1:24" hidden="1" outlineLevel="2" x14ac:dyDescent="0.25">
      <c r="A510" t="str">
        <f t="shared" si="80"/>
        <v>AK6 - 2000</v>
      </c>
      <c r="B510" t="s">
        <v>33</v>
      </c>
      <c r="C510">
        <v>3</v>
      </c>
      <c r="D510">
        <v>16</v>
      </c>
      <c r="E510">
        <v>2000</v>
      </c>
      <c r="F510">
        <v>192.7</v>
      </c>
      <c r="G510">
        <v>8.6999999999999993</v>
      </c>
      <c r="H510">
        <v>8.1</v>
      </c>
      <c r="I510">
        <v>0.6</v>
      </c>
      <c r="J510">
        <v>6</v>
      </c>
      <c r="K510">
        <v>103</v>
      </c>
      <c r="L510">
        <v>1166.5999999999999</v>
      </c>
      <c r="M510">
        <v>365</v>
      </c>
      <c r="N510">
        <v>356</v>
      </c>
      <c r="O510">
        <v>500</v>
      </c>
      <c r="P510">
        <v>144</v>
      </c>
      <c r="Q510">
        <v>268</v>
      </c>
      <c r="R510">
        <v>500</v>
      </c>
      <c r="S510">
        <v>232</v>
      </c>
      <c r="T510">
        <v>261.89999999999998</v>
      </c>
      <c r="U510">
        <v>404</v>
      </c>
      <c r="V510">
        <v>407</v>
      </c>
      <c r="W510">
        <v>500</v>
      </c>
      <c r="X510">
        <v>2.79</v>
      </c>
    </row>
    <row r="511" spans="1:24" hidden="1" outlineLevel="2" x14ac:dyDescent="0.25">
      <c r="A511" t="str">
        <f t="shared" si="80"/>
        <v>AK6 - 2000</v>
      </c>
      <c r="B511" t="s">
        <v>33</v>
      </c>
      <c r="C511">
        <v>4</v>
      </c>
      <c r="D511">
        <v>15</v>
      </c>
      <c r="E511">
        <v>2000</v>
      </c>
      <c r="F511">
        <v>134.69999999999999</v>
      </c>
      <c r="G511">
        <v>3.9</v>
      </c>
      <c r="H511">
        <v>3.6</v>
      </c>
      <c r="I511">
        <v>0.3</v>
      </c>
      <c r="J511">
        <v>7</v>
      </c>
      <c r="K511">
        <v>32.5</v>
      </c>
      <c r="L511">
        <v>570</v>
      </c>
      <c r="M511">
        <v>370</v>
      </c>
      <c r="N511">
        <v>357</v>
      </c>
      <c r="O511">
        <v>525</v>
      </c>
      <c r="P511">
        <v>168</v>
      </c>
      <c r="Q511">
        <v>313</v>
      </c>
      <c r="R511">
        <v>525</v>
      </c>
      <c r="S511">
        <v>212</v>
      </c>
      <c r="T511">
        <v>166.8</v>
      </c>
      <c r="U511">
        <v>412</v>
      </c>
      <c r="V511">
        <v>409</v>
      </c>
      <c r="W511">
        <v>500</v>
      </c>
      <c r="X511">
        <v>2.79</v>
      </c>
    </row>
    <row r="512" spans="1:24" hidden="1" outlineLevel="2" x14ac:dyDescent="0.25">
      <c r="A512" t="str">
        <f t="shared" si="80"/>
        <v>AK6 - 2000</v>
      </c>
      <c r="B512" t="s">
        <v>33</v>
      </c>
      <c r="C512">
        <v>5</v>
      </c>
      <c r="D512">
        <v>15</v>
      </c>
      <c r="E512">
        <v>2000</v>
      </c>
      <c r="F512">
        <v>195.7</v>
      </c>
      <c r="G512">
        <v>4.5</v>
      </c>
      <c r="H512">
        <v>4.2</v>
      </c>
      <c r="I512">
        <v>0.3</v>
      </c>
      <c r="J512">
        <v>6</v>
      </c>
      <c r="K512">
        <v>54.7</v>
      </c>
      <c r="L512">
        <v>1203.2</v>
      </c>
      <c r="M512">
        <v>381</v>
      </c>
      <c r="N512">
        <v>370</v>
      </c>
      <c r="O512">
        <v>538</v>
      </c>
      <c r="P512">
        <v>168</v>
      </c>
      <c r="Q512">
        <v>263</v>
      </c>
      <c r="R512">
        <v>538</v>
      </c>
      <c r="S512">
        <v>275</v>
      </c>
      <c r="T512">
        <v>224.7</v>
      </c>
      <c r="U512">
        <v>390</v>
      </c>
      <c r="V512">
        <v>376</v>
      </c>
      <c r="W512">
        <v>500</v>
      </c>
      <c r="X512">
        <v>2.79</v>
      </c>
    </row>
    <row r="513" spans="1:24" hidden="1" outlineLevel="2" x14ac:dyDescent="0.25">
      <c r="A513" t="str">
        <f t="shared" si="80"/>
        <v>AK6 - 2000</v>
      </c>
      <c r="B513" t="s">
        <v>33</v>
      </c>
      <c r="C513">
        <v>6</v>
      </c>
      <c r="D513">
        <v>16</v>
      </c>
      <c r="E513">
        <v>2000</v>
      </c>
      <c r="F513">
        <v>209.3</v>
      </c>
      <c r="G513">
        <v>10.8</v>
      </c>
      <c r="H513">
        <v>9.6</v>
      </c>
      <c r="I513">
        <v>1.2</v>
      </c>
      <c r="J513">
        <v>11</v>
      </c>
      <c r="K513">
        <v>138.4</v>
      </c>
      <c r="L513">
        <v>1376.2</v>
      </c>
      <c r="M513">
        <v>405</v>
      </c>
      <c r="N513">
        <v>387</v>
      </c>
      <c r="O513">
        <v>550</v>
      </c>
      <c r="P513">
        <v>163</v>
      </c>
      <c r="Q513">
        <v>298</v>
      </c>
      <c r="R513">
        <v>569</v>
      </c>
      <c r="S513">
        <v>271</v>
      </c>
      <c r="T513">
        <v>282</v>
      </c>
      <c r="U513">
        <v>406</v>
      </c>
      <c r="V513">
        <v>411</v>
      </c>
      <c r="W513">
        <v>500</v>
      </c>
      <c r="X513">
        <v>2.79</v>
      </c>
    </row>
    <row r="514" spans="1:24" hidden="1" outlineLevel="2" x14ac:dyDescent="0.25">
      <c r="A514" t="str">
        <f t="shared" si="80"/>
        <v>AK6 - 2000</v>
      </c>
      <c r="B514" t="s">
        <v>33</v>
      </c>
      <c r="C514">
        <v>7</v>
      </c>
      <c r="D514">
        <v>16</v>
      </c>
      <c r="E514">
        <v>2000</v>
      </c>
      <c r="F514">
        <v>169</v>
      </c>
      <c r="G514">
        <v>6.3</v>
      </c>
      <c r="H514">
        <v>6</v>
      </c>
      <c r="I514">
        <v>0.3</v>
      </c>
      <c r="J514">
        <v>4</v>
      </c>
      <c r="K514">
        <v>65.7</v>
      </c>
      <c r="L514">
        <v>897.3</v>
      </c>
      <c r="M514">
        <v>398</v>
      </c>
      <c r="N514">
        <v>390</v>
      </c>
      <c r="O514">
        <v>557</v>
      </c>
      <c r="P514">
        <v>167</v>
      </c>
      <c r="Q514">
        <v>322</v>
      </c>
      <c r="R514">
        <v>557</v>
      </c>
      <c r="S514">
        <v>235</v>
      </c>
      <c r="T514">
        <v>220.2</v>
      </c>
      <c r="U514">
        <v>418</v>
      </c>
      <c r="V514">
        <v>420</v>
      </c>
      <c r="W514">
        <v>500</v>
      </c>
      <c r="X514">
        <v>2.79</v>
      </c>
    </row>
    <row r="515" spans="1:24" hidden="1" outlineLevel="2" x14ac:dyDescent="0.25">
      <c r="A515" t="str">
        <f t="shared" si="80"/>
        <v>AK6 - 2000</v>
      </c>
      <c r="B515" t="s">
        <v>33</v>
      </c>
      <c r="C515">
        <v>8</v>
      </c>
      <c r="D515">
        <v>16</v>
      </c>
      <c r="E515">
        <v>2000</v>
      </c>
      <c r="F515">
        <v>185.1</v>
      </c>
      <c r="G515">
        <v>6.3</v>
      </c>
      <c r="H515">
        <v>6.3</v>
      </c>
      <c r="I515">
        <v>0</v>
      </c>
      <c r="J515">
        <v>0</v>
      </c>
      <c r="K515">
        <v>72</v>
      </c>
      <c r="L515">
        <v>1076.4000000000001</v>
      </c>
      <c r="M515">
        <v>337</v>
      </c>
      <c r="N515">
        <v>337</v>
      </c>
      <c r="Q515">
        <v>276</v>
      </c>
      <c r="R515">
        <v>469</v>
      </c>
      <c r="S515">
        <v>193</v>
      </c>
      <c r="T515">
        <v>222.3</v>
      </c>
      <c r="U515">
        <v>354</v>
      </c>
      <c r="V515">
        <v>355</v>
      </c>
      <c r="W515">
        <v>500</v>
      </c>
      <c r="X515">
        <v>2.79</v>
      </c>
    </row>
    <row r="516" spans="1:24" hidden="1" outlineLevel="2" x14ac:dyDescent="0.25">
      <c r="A516" t="str">
        <f t="shared" si="80"/>
        <v>AK6 - 2000</v>
      </c>
      <c r="B516" t="s">
        <v>33</v>
      </c>
      <c r="C516">
        <v>10</v>
      </c>
      <c r="D516">
        <v>16</v>
      </c>
      <c r="E516">
        <v>2000</v>
      </c>
      <c r="F516">
        <v>151.5</v>
      </c>
      <c r="G516">
        <v>5.7</v>
      </c>
      <c r="H516">
        <v>3.9</v>
      </c>
      <c r="I516">
        <v>1.8</v>
      </c>
      <c r="J516">
        <v>31</v>
      </c>
      <c r="K516">
        <v>53.2</v>
      </c>
      <c r="L516">
        <v>721.1</v>
      </c>
      <c r="M516">
        <v>482</v>
      </c>
      <c r="N516">
        <v>454</v>
      </c>
      <c r="O516">
        <v>543</v>
      </c>
      <c r="P516">
        <v>89</v>
      </c>
      <c r="Q516">
        <v>424</v>
      </c>
      <c r="R516">
        <v>573</v>
      </c>
      <c r="S516">
        <v>149</v>
      </c>
      <c r="T516">
        <v>188.1</v>
      </c>
      <c r="U516">
        <v>437</v>
      </c>
      <c r="V516">
        <v>439</v>
      </c>
      <c r="W516">
        <v>500</v>
      </c>
      <c r="X516">
        <v>2.79</v>
      </c>
    </row>
    <row r="517" spans="1:24" hidden="1" outlineLevel="2" x14ac:dyDescent="0.25">
      <c r="A517" t="str">
        <f t="shared" si="80"/>
        <v>AK6 - 2000</v>
      </c>
      <c r="B517" t="s">
        <v>33</v>
      </c>
      <c r="C517">
        <v>11</v>
      </c>
      <c r="D517">
        <v>15</v>
      </c>
      <c r="E517">
        <v>2000</v>
      </c>
      <c r="F517">
        <v>113</v>
      </c>
      <c r="G517">
        <v>5.4</v>
      </c>
      <c r="H517">
        <v>4.5</v>
      </c>
      <c r="I517">
        <v>0.9</v>
      </c>
      <c r="J517">
        <v>16</v>
      </c>
      <c r="K517">
        <v>37.4</v>
      </c>
      <c r="L517">
        <v>401.2</v>
      </c>
      <c r="M517">
        <v>444</v>
      </c>
      <c r="N517">
        <v>431</v>
      </c>
      <c r="O517">
        <v>514</v>
      </c>
      <c r="P517">
        <v>83</v>
      </c>
      <c r="Q517">
        <v>296</v>
      </c>
      <c r="R517">
        <v>535</v>
      </c>
      <c r="S517">
        <v>239</v>
      </c>
      <c r="T517">
        <v>108</v>
      </c>
      <c r="U517">
        <v>389</v>
      </c>
      <c r="V517">
        <v>391</v>
      </c>
      <c r="W517">
        <v>500</v>
      </c>
      <c r="X517">
        <v>2.79</v>
      </c>
    </row>
    <row r="518" spans="1:24" hidden="1" outlineLevel="2" x14ac:dyDescent="0.25">
      <c r="A518" t="str">
        <f t="shared" si="80"/>
        <v>AK6 - 2000</v>
      </c>
      <c r="B518" t="s">
        <v>33</v>
      </c>
      <c r="C518">
        <v>12</v>
      </c>
      <c r="D518">
        <v>16</v>
      </c>
      <c r="E518">
        <v>2000</v>
      </c>
      <c r="F518">
        <v>145.1</v>
      </c>
      <c r="G518">
        <v>6.6</v>
      </c>
      <c r="H518">
        <v>5.7</v>
      </c>
      <c r="I518">
        <v>0.9</v>
      </c>
      <c r="J518">
        <v>13</v>
      </c>
      <c r="K518">
        <v>58.8</v>
      </c>
      <c r="L518">
        <v>661.4</v>
      </c>
      <c r="M518">
        <v>426</v>
      </c>
      <c r="N518">
        <v>406</v>
      </c>
      <c r="O518">
        <v>549</v>
      </c>
      <c r="P518">
        <v>143</v>
      </c>
      <c r="Q518">
        <v>347</v>
      </c>
      <c r="R518">
        <v>583</v>
      </c>
      <c r="S518">
        <v>236</v>
      </c>
      <c r="T518">
        <v>189.3</v>
      </c>
      <c r="U518">
        <v>426</v>
      </c>
      <c r="V518">
        <v>428</v>
      </c>
      <c r="W518">
        <v>500</v>
      </c>
      <c r="X518">
        <v>2.79</v>
      </c>
    </row>
    <row r="519" spans="1:24" hidden="1" outlineLevel="2" x14ac:dyDescent="0.25">
      <c r="A519" t="str">
        <f t="shared" si="80"/>
        <v>AK6 - 2000</v>
      </c>
      <c r="B519" t="s">
        <v>33</v>
      </c>
      <c r="C519">
        <v>13</v>
      </c>
      <c r="D519">
        <v>15</v>
      </c>
      <c r="E519">
        <v>2000</v>
      </c>
      <c r="F519">
        <v>186.2</v>
      </c>
      <c r="G519">
        <v>8.1</v>
      </c>
      <c r="H519">
        <v>6.6</v>
      </c>
      <c r="I519">
        <v>1.5</v>
      </c>
      <c r="J519">
        <v>18</v>
      </c>
      <c r="K519">
        <v>92.7</v>
      </c>
      <c r="L519">
        <v>1089.2</v>
      </c>
      <c r="M519">
        <v>390</v>
      </c>
      <c r="N519">
        <v>353</v>
      </c>
      <c r="O519">
        <v>555</v>
      </c>
      <c r="P519">
        <v>202</v>
      </c>
      <c r="Q519">
        <v>305</v>
      </c>
      <c r="R519">
        <v>594</v>
      </c>
      <c r="S519">
        <v>289</v>
      </c>
      <c r="T519">
        <v>221.4</v>
      </c>
      <c r="U519">
        <v>380</v>
      </c>
      <c r="V519">
        <v>378</v>
      </c>
      <c r="W519">
        <v>500</v>
      </c>
      <c r="X519">
        <v>2.79</v>
      </c>
    </row>
    <row r="520" spans="1:24" hidden="1" outlineLevel="2" x14ac:dyDescent="0.25">
      <c r="A520" t="str">
        <f t="shared" si="80"/>
        <v>AK6 - 2000</v>
      </c>
      <c r="B520" t="s">
        <v>33</v>
      </c>
      <c r="C520">
        <v>15</v>
      </c>
      <c r="D520">
        <v>15</v>
      </c>
      <c r="E520">
        <v>2000</v>
      </c>
      <c r="F520">
        <v>197.5</v>
      </c>
      <c r="G520">
        <v>8.4</v>
      </c>
      <c r="H520">
        <v>6.9</v>
      </c>
      <c r="I520">
        <v>1.5</v>
      </c>
      <c r="J520">
        <v>17</v>
      </c>
      <c r="K520">
        <v>102</v>
      </c>
      <c r="L520">
        <v>1225.4000000000001</v>
      </c>
      <c r="M520">
        <v>391</v>
      </c>
      <c r="N520">
        <v>364</v>
      </c>
      <c r="O520">
        <v>519</v>
      </c>
      <c r="P520">
        <v>155</v>
      </c>
      <c r="Q520">
        <v>304</v>
      </c>
      <c r="R520">
        <v>548</v>
      </c>
      <c r="S520">
        <v>244</v>
      </c>
      <c r="T520">
        <v>222.9</v>
      </c>
      <c r="U520">
        <v>390</v>
      </c>
      <c r="V520">
        <v>386</v>
      </c>
      <c r="W520">
        <v>500</v>
      </c>
      <c r="X520">
        <v>2.79</v>
      </c>
    </row>
    <row r="521" spans="1:24" hidden="1" outlineLevel="2" x14ac:dyDescent="0.25">
      <c r="A521" t="str">
        <f t="shared" si="80"/>
        <v>AK6 - 2000</v>
      </c>
      <c r="B521" t="s">
        <v>33</v>
      </c>
      <c r="C521">
        <v>14</v>
      </c>
      <c r="D521">
        <v>16</v>
      </c>
      <c r="E521">
        <v>2000</v>
      </c>
      <c r="F521">
        <v>228.3</v>
      </c>
      <c r="G521">
        <v>11.1</v>
      </c>
      <c r="H521">
        <v>9.3000000000000007</v>
      </c>
      <c r="I521">
        <v>1.8</v>
      </c>
      <c r="J521">
        <v>16</v>
      </c>
      <c r="K521">
        <v>155.4</v>
      </c>
      <c r="L521">
        <v>1637.4</v>
      </c>
      <c r="M521">
        <v>382</v>
      </c>
      <c r="N521">
        <v>354</v>
      </c>
      <c r="O521">
        <v>524</v>
      </c>
      <c r="P521">
        <v>170</v>
      </c>
      <c r="Q521">
        <v>305</v>
      </c>
      <c r="R521">
        <v>545</v>
      </c>
      <c r="S521">
        <v>240</v>
      </c>
      <c r="T521">
        <v>292.2</v>
      </c>
      <c r="U521">
        <v>398</v>
      </c>
      <c r="V521">
        <v>397</v>
      </c>
      <c r="W521">
        <v>500</v>
      </c>
      <c r="X521">
        <v>2.79</v>
      </c>
    </row>
    <row r="522" spans="1:24" hidden="1" outlineLevel="2" x14ac:dyDescent="0.25">
      <c r="A522" t="str">
        <f t="shared" si="80"/>
        <v>AK6 - 2000</v>
      </c>
      <c r="B522" t="s">
        <v>33</v>
      </c>
      <c r="C522" t="s">
        <v>35</v>
      </c>
      <c r="D522">
        <v>15</v>
      </c>
      <c r="E522">
        <v>2000</v>
      </c>
      <c r="F522">
        <v>169.7</v>
      </c>
      <c r="G522">
        <v>6</v>
      </c>
      <c r="H522">
        <v>5.0999999999999996</v>
      </c>
      <c r="I522">
        <v>0.9</v>
      </c>
      <c r="J522">
        <v>15</v>
      </c>
      <c r="K522">
        <v>62.8</v>
      </c>
      <c r="L522">
        <v>904.7</v>
      </c>
      <c r="M522">
        <v>422</v>
      </c>
      <c r="N522">
        <v>398</v>
      </c>
      <c r="O522">
        <v>558</v>
      </c>
      <c r="P522">
        <v>160</v>
      </c>
      <c r="Q522">
        <v>352</v>
      </c>
      <c r="R522">
        <v>609</v>
      </c>
      <c r="S522">
        <v>257</v>
      </c>
      <c r="T522">
        <v>205.5</v>
      </c>
      <c r="U522">
        <v>422</v>
      </c>
      <c r="V522">
        <v>415</v>
      </c>
      <c r="W522">
        <v>500</v>
      </c>
      <c r="X522">
        <v>2.79</v>
      </c>
    </row>
    <row r="523" spans="1:24" outlineLevel="1" collapsed="1" x14ac:dyDescent="0.25">
      <c r="A523" s="8" t="s">
        <v>76</v>
      </c>
      <c r="D523">
        <f t="shared" ref="D523:V523" si="81">SUBTOTAL(1,D508:D522)</f>
        <v>15.533333333333333</v>
      </c>
      <c r="E523">
        <f t="shared" si="81"/>
        <v>2000</v>
      </c>
      <c r="F523">
        <f t="shared" si="81"/>
        <v>175.23999999999998</v>
      </c>
      <c r="G523">
        <f t="shared" si="81"/>
        <v>6.879999999999999</v>
      </c>
      <c r="H523">
        <f t="shared" si="81"/>
        <v>5.9799999999999995</v>
      </c>
      <c r="I523">
        <f t="shared" si="81"/>
        <v>0.90000000000000013</v>
      </c>
      <c r="J523">
        <f t="shared" si="81"/>
        <v>12.4</v>
      </c>
      <c r="K523">
        <f t="shared" si="81"/>
        <v>76.806666666666672</v>
      </c>
      <c r="L523">
        <f t="shared" si="81"/>
        <v>990.92000000000007</v>
      </c>
      <c r="M523">
        <f t="shared" si="81"/>
        <v>400.46666666666664</v>
      </c>
      <c r="N523">
        <f t="shared" si="81"/>
        <v>382</v>
      </c>
      <c r="O523">
        <f t="shared" si="81"/>
        <v>537</v>
      </c>
      <c r="P523">
        <f t="shared" si="81"/>
        <v>151.78571428571428</v>
      </c>
      <c r="Q523">
        <f t="shared" si="81"/>
        <v>315.53333333333336</v>
      </c>
      <c r="R523">
        <f t="shared" si="81"/>
        <v>552</v>
      </c>
      <c r="S523">
        <f t="shared" si="81"/>
        <v>236.46666666666667</v>
      </c>
      <c r="T523">
        <f t="shared" si="81"/>
        <v>214.06</v>
      </c>
      <c r="U523">
        <f t="shared" si="81"/>
        <v>403.86666666666667</v>
      </c>
      <c r="V523">
        <f t="shared" si="81"/>
        <v>401.4</v>
      </c>
    </row>
    <row r="524" spans="1:24" hidden="1" outlineLevel="2" x14ac:dyDescent="0.25">
      <c r="A524" t="str">
        <f t="shared" ref="A524:A537" si="82">CONCATENATE(B524," - ",E524)</f>
        <v>AK6 - 2001</v>
      </c>
      <c r="B524" t="s">
        <v>33</v>
      </c>
      <c r="C524">
        <v>1</v>
      </c>
      <c r="D524">
        <v>16</v>
      </c>
      <c r="E524">
        <v>2001</v>
      </c>
      <c r="F524">
        <v>177.9</v>
      </c>
      <c r="G524">
        <v>5.7</v>
      </c>
      <c r="H524">
        <v>4.2</v>
      </c>
      <c r="I524">
        <v>1.5</v>
      </c>
      <c r="J524">
        <v>26</v>
      </c>
      <c r="K524">
        <v>62.7</v>
      </c>
      <c r="L524">
        <v>994.3</v>
      </c>
      <c r="M524">
        <v>453</v>
      </c>
      <c r="N524">
        <v>412</v>
      </c>
      <c r="O524">
        <v>570</v>
      </c>
      <c r="P524">
        <v>158</v>
      </c>
      <c r="Q524">
        <v>377</v>
      </c>
      <c r="R524">
        <v>627</v>
      </c>
      <c r="S524">
        <v>250</v>
      </c>
      <c r="T524">
        <v>211.8</v>
      </c>
      <c r="U524">
        <v>420</v>
      </c>
      <c r="V524">
        <v>413</v>
      </c>
      <c r="W524">
        <v>500</v>
      </c>
      <c r="X524">
        <v>2.79</v>
      </c>
    </row>
    <row r="525" spans="1:24" hidden="1" outlineLevel="2" x14ac:dyDescent="0.25">
      <c r="A525" t="str">
        <f t="shared" si="82"/>
        <v>AK6 - 2001</v>
      </c>
      <c r="B525" t="s">
        <v>33</v>
      </c>
      <c r="C525">
        <v>2</v>
      </c>
      <c r="D525">
        <v>17</v>
      </c>
      <c r="E525">
        <v>2001</v>
      </c>
      <c r="F525">
        <v>181.9</v>
      </c>
      <c r="G525">
        <v>3.3</v>
      </c>
      <c r="H525">
        <v>3</v>
      </c>
      <c r="I525">
        <v>0.3</v>
      </c>
      <c r="J525">
        <v>9</v>
      </c>
      <c r="K525">
        <v>37.4</v>
      </c>
      <c r="L525">
        <v>1039.5</v>
      </c>
      <c r="M525">
        <v>419</v>
      </c>
      <c r="N525">
        <v>404</v>
      </c>
      <c r="O525">
        <v>572</v>
      </c>
      <c r="P525">
        <v>168</v>
      </c>
      <c r="Q525">
        <v>366</v>
      </c>
      <c r="R525">
        <v>572</v>
      </c>
      <c r="S525">
        <v>206</v>
      </c>
      <c r="T525">
        <v>193.8</v>
      </c>
      <c r="U525">
        <v>412</v>
      </c>
      <c r="V525">
        <v>396</v>
      </c>
      <c r="W525">
        <v>500</v>
      </c>
      <c r="X525">
        <v>2.79</v>
      </c>
    </row>
    <row r="526" spans="1:24" hidden="1" outlineLevel="2" x14ac:dyDescent="0.25">
      <c r="A526" t="str">
        <f t="shared" si="82"/>
        <v>AK6 - 2001</v>
      </c>
      <c r="B526" t="s">
        <v>33</v>
      </c>
      <c r="C526">
        <v>3</v>
      </c>
      <c r="D526">
        <v>17</v>
      </c>
      <c r="E526">
        <v>2001</v>
      </c>
      <c r="F526">
        <v>202.9</v>
      </c>
      <c r="G526">
        <v>10.199999999999999</v>
      </c>
      <c r="H526">
        <v>8.1</v>
      </c>
      <c r="I526">
        <v>2.1</v>
      </c>
      <c r="J526">
        <v>20</v>
      </c>
      <c r="K526">
        <v>126.8</v>
      </c>
      <c r="L526">
        <v>1293.3</v>
      </c>
      <c r="M526">
        <v>414</v>
      </c>
      <c r="N526">
        <v>383</v>
      </c>
      <c r="O526">
        <v>533</v>
      </c>
      <c r="P526">
        <v>150</v>
      </c>
      <c r="Q526">
        <v>315</v>
      </c>
      <c r="R526">
        <v>565</v>
      </c>
      <c r="S526">
        <v>250</v>
      </c>
      <c r="T526">
        <v>261.89999999999998</v>
      </c>
      <c r="U526">
        <v>404</v>
      </c>
      <c r="V526">
        <v>407</v>
      </c>
      <c r="W526">
        <v>500</v>
      </c>
      <c r="X526">
        <v>2.79</v>
      </c>
    </row>
    <row r="527" spans="1:24" hidden="1" outlineLevel="2" x14ac:dyDescent="0.25">
      <c r="A527" t="str">
        <f t="shared" si="82"/>
        <v>AK6 - 2001</v>
      </c>
      <c r="B527" t="s">
        <v>33</v>
      </c>
      <c r="C527">
        <v>4</v>
      </c>
      <c r="D527">
        <v>16</v>
      </c>
      <c r="E527">
        <v>2001</v>
      </c>
      <c r="F527">
        <v>139.5</v>
      </c>
      <c r="G527">
        <v>4.8</v>
      </c>
      <c r="H527">
        <v>4.2</v>
      </c>
      <c r="I527">
        <v>0.6</v>
      </c>
      <c r="J527">
        <v>12</v>
      </c>
      <c r="K527">
        <v>41.3</v>
      </c>
      <c r="L527">
        <v>611.4</v>
      </c>
      <c r="M527">
        <v>397</v>
      </c>
      <c r="N527">
        <v>371</v>
      </c>
      <c r="O527">
        <v>573</v>
      </c>
      <c r="P527">
        <v>202</v>
      </c>
      <c r="Q527">
        <v>345</v>
      </c>
      <c r="R527">
        <v>611</v>
      </c>
      <c r="S527">
        <v>266</v>
      </c>
      <c r="T527">
        <v>166.8</v>
      </c>
      <c r="U527">
        <v>412</v>
      </c>
      <c r="V527">
        <v>409</v>
      </c>
      <c r="W527">
        <v>500</v>
      </c>
      <c r="X527">
        <v>2.79</v>
      </c>
    </row>
    <row r="528" spans="1:24" hidden="1" outlineLevel="2" x14ac:dyDescent="0.25">
      <c r="A528" t="str">
        <f t="shared" si="82"/>
        <v>AK6 - 2001</v>
      </c>
      <c r="B528" t="s">
        <v>33</v>
      </c>
      <c r="C528">
        <v>5</v>
      </c>
      <c r="D528">
        <v>16</v>
      </c>
      <c r="E528">
        <v>2001</v>
      </c>
      <c r="F528">
        <v>201.1</v>
      </c>
      <c r="G528">
        <v>5.4</v>
      </c>
      <c r="H528">
        <v>4.8</v>
      </c>
      <c r="I528">
        <v>0.6</v>
      </c>
      <c r="J528">
        <v>11</v>
      </c>
      <c r="K528">
        <v>67.3</v>
      </c>
      <c r="L528">
        <v>1270.5</v>
      </c>
      <c r="M528">
        <v>390</v>
      </c>
      <c r="N528">
        <v>373</v>
      </c>
      <c r="O528">
        <v>525</v>
      </c>
      <c r="P528">
        <v>152</v>
      </c>
      <c r="Q528">
        <v>309</v>
      </c>
      <c r="R528">
        <v>549</v>
      </c>
      <c r="S528">
        <v>240</v>
      </c>
      <c r="T528">
        <v>224.7</v>
      </c>
      <c r="U528">
        <v>390</v>
      </c>
      <c r="V528">
        <v>376</v>
      </c>
      <c r="W528">
        <v>500</v>
      </c>
      <c r="X528">
        <v>2.79</v>
      </c>
    </row>
    <row r="529" spans="1:24" hidden="1" outlineLevel="2" x14ac:dyDescent="0.25">
      <c r="A529" t="str">
        <f t="shared" si="82"/>
        <v>AK6 - 2001</v>
      </c>
      <c r="B529" t="s">
        <v>33</v>
      </c>
      <c r="C529">
        <v>6</v>
      </c>
      <c r="D529">
        <v>17</v>
      </c>
      <c r="E529">
        <v>2001</v>
      </c>
      <c r="F529">
        <v>219.8</v>
      </c>
      <c r="G529">
        <v>10.5</v>
      </c>
      <c r="H529">
        <v>8.6999999999999993</v>
      </c>
      <c r="I529">
        <v>1.8</v>
      </c>
      <c r="J529">
        <v>17</v>
      </c>
      <c r="K529">
        <v>141.5</v>
      </c>
      <c r="L529">
        <v>1517.8</v>
      </c>
      <c r="M529">
        <v>416</v>
      </c>
      <c r="N529">
        <v>391</v>
      </c>
      <c r="O529">
        <v>541</v>
      </c>
      <c r="P529">
        <v>150</v>
      </c>
      <c r="Q529">
        <v>341</v>
      </c>
      <c r="R529">
        <v>573</v>
      </c>
      <c r="S529">
        <v>232</v>
      </c>
      <c r="T529">
        <v>282</v>
      </c>
      <c r="U529">
        <v>406</v>
      </c>
      <c r="V529">
        <v>411</v>
      </c>
      <c r="W529">
        <v>500</v>
      </c>
      <c r="X529">
        <v>2.79</v>
      </c>
    </row>
    <row r="530" spans="1:24" hidden="1" outlineLevel="2" x14ac:dyDescent="0.25">
      <c r="A530" t="str">
        <f t="shared" si="82"/>
        <v>AK6 - 2001</v>
      </c>
      <c r="B530" t="s">
        <v>33</v>
      </c>
      <c r="C530">
        <v>7</v>
      </c>
      <c r="D530">
        <v>17</v>
      </c>
      <c r="E530">
        <v>2001</v>
      </c>
      <c r="F530">
        <v>173.8</v>
      </c>
      <c r="G530">
        <v>4.8</v>
      </c>
      <c r="H530">
        <v>4.2</v>
      </c>
      <c r="I530">
        <v>0.6</v>
      </c>
      <c r="J530">
        <v>12</v>
      </c>
      <c r="K530">
        <v>51.7</v>
      </c>
      <c r="L530">
        <v>949</v>
      </c>
      <c r="M530">
        <v>423</v>
      </c>
      <c r="N530">
        <v>406</v>
      </c>
      <c r="O530">
        <v>543</v>
      </c>
      <c r="P530">
        <v>137</v>
      </c>
      <c r="Q530">
        <v>347</v>
      </c>
      <c r="R530">
        <v>574</v>
      </c>
      <c r="S530">
        <v>227</v>
      </c>
      <c r="T530">
        <v>220.2</v>
      </c>
      <c r="U530">
        <v>418</v>
      </c>
      <c r="V530">
        <v>420</v>
      </c>
      <c r="W530">
        <v>500</v>
      </c>
      <c r="X530">
        <v>2.79</v>
      </c>
    </row>
    <row r="531" spans="1:24" hidden="1" outlineLevel="2" x14ac:dyDescent="0.25">
      <c r="A531" t="str">
        <f t="shared" si="82"/>
        <v>AK6 - 2001</v>
      </c>
      <c r="B531" t="s">
        <v>33</v>
      </c>
      <c r="C531">
        <v>8</v>
      </c>
      <c r="D531">
        <v>17</v>
      </c>
      <c r="E531">
        <v>2001</v>
      </c>
      <c r="F531">
        <v>189.6</v>
      </c>
      <c r="G531">
        <v>4.5</v>
      </c>
      <c r="H531">
        <v>4.5</v>
      </c>
      <c r="I531">
        <v>0</v>
      </c>
      <c r="J531">
        <v>0</v>
      </c>
      <c r="K531">
        <v>53</v>
      </c>
      <c r="L531">
        <v>1129.3</v>
      </c>
      <c r="M531">
        <v>336</v>
      </c>
      <c r="N531">
        <v>336</v>
      </c>
      <c r="Q531">
        <v>283</v>
      </c>
      <c r="R531">
        <v>498</v>
      </c>
      <c r="S531">
        <v>215</v>
      </c>
      <c r="T531">
        <v>222.3</v>
      </c>
      <c r="U531">
        <v>354</v>
      </c>
      <c r="V531">
        <v>355</v>
      </c>
      <c r="W531">
        <v>500</v>
      </c>
      <c r="X531">
        <v>2.79</v>
      </c>
    </row>
    <row r="532" spans="1:24" hidden="1" outlineLevel="2" x14ac:dyDescent="0.25">
      <c r="A532" t="str">
        <f t="shared" si="82"/>
        <v>AK6 - 2001</v>
      </c>
      <c r="B532" t="s">
        <v>33</v>
      </c>
      <c r="C532">
        <v>10</v>
      </c>
      <c r="D532">
        <v>17</v>
      </c>
      <c r="E532">
        <v>2001</v>
      </c>
      <c r="F532">
        <v>157.5</v>
      </c>
      <c r="G532">
        <v>6</v>
      </c>
      <c r="H532">
        <v>4.5</v>
      </c>
      <c r="I532">
        <v>1.5</v>
      </c>
      <c r="J532">
        <v>25</v>
      </c>
      <c r="K532">
        <v>58.2</v>
      </c>
      <c r="L532">
        <v>779.3</v>
      </c>
      <c r="M532">
        <v>458</v>
      </c>
      <c r="N532">
        <v>428</v>
      </c>
      <c r="O532">
        <v>550</v>
      </c>
      <c r="P532">
        <v>122</v>
      </c>
      <c r="Q532">
        <v>381</v>
      </c>
      <c r="R532">
        <v>596</v>
      </c>
      <c r="S532">
        <v>215</v>
      </c>
      <c r="T532">
        <v>188.1</v>
      </c>
      <c r="U532">
        <v>437</v>
      </c>
      <c r="V532">
        <v>439</v>
      </c>
      <c r="W532">
        <v>500</v>
      </c>
      <c r="X532">
        <v>2.79</v>
      </c>
    </row>
    <row r="533" spans="1:24" hidden="1" outlineLevel="2" x14ac:dyDescent="0.25">
      <c r="A533" t="str">
        <f t="shared" si="82"/>
        <v>AK6 - 2001</v>
      </c>
      <c r="B533" t="s">
        <v>33</v>
      </c>
      <c r="C533">
        <v>12</v>
      </c>
      <c r="D533">
        <v>17</v>
      </c>
      <c r="E533">
        <v>2001</v>
      </c>
      <c r="F533">
        <v>148.69999999999999</v>
      </c>
      <c r="G533">
        <v>3.6</v>
      </c>
      <c r="H533">
        <v>2.7</v>
      </c>
      <c r="I533">
        <v>0.9</v>
      </c>
      <c r="J533">
        <v>24</v>
      </c>
      <c r="K533">
        <v>33.200000000000003</v>
      </c>
      <c r="L533">
        <v>694.7</v>
      </c>
      <c r="M533">
        <v>450</v>
      </c>
      <c r="N533">
        <v>424</v>
      </c>
      <c r="O533">
        <v>531</v>
      </c>
      <c r="P533">
        <v>107</v>
      </c>
      <c r="Q533">
        <v>392</v>
      </c>
      <c r="R533">
        <v>551</v>
      </c>
      <c r="S533">
        <v>159</v>
      </c>
      <c r="T533">
        <v>189.3</v>
      </c>
      <c r="U533">
        <v>426</v>
      </c>
      <c r="V533">
        <v>428</v>
      </c>
      <c r="W533">
        <v>500</v>
      </c>
      <c r="X533">
        <v>2.79</v>
      </c>
    </row>
    <row r="534" spans="1:24" hidden="1" outlineLevel="2" x14ac:dyDescent="0.25">
      <c r="A534" t="str">
        <f t="shared" si="82"/>
        <v>AK6 - 2001</v>
      </c>
      <c r="B534" t="s">
        <v>33</v>
      </c>
      <c r="C534">
        <v>13</v>
      </c>
      <c r="D534">
        <v>16</v>
      </c>
      <c r="E534">
        <v>2001</v>
      </c>
      <c r="F534">
        <v>193.7</v>
      </c>
      <c r="G534">
        <v>7.5</v>
      </c>
      <c r="H534">
        <v>6.3</v>
      </c>
      <c r="I534">
        <v>1.2</v>
      </c>
      <c r="J534">
        <v>16</v>
      </c>
      <c r="K534">
        <v>89.5</v>
      </c>
      <c r="L534">
        <v>1178.7</v>
      </c>
      <c r="M534">
        <v>384</v>
      </c>
      <c r="N534">
        <v>349</v>
      </c>
      <c r="O534">
        <v>567</v>
      </c>
      <c r="P534">
        <v>218</v>
      </c>
      <c r="Q534">
        <v>316</v>
      </c>
      <c r="R534">
        <v>598</v>
      </c>
      <c r="S534">
        <v>282</v>
      </c>
      <c r="T534">
        <v>221.4</v>
      </c>
      <c r="U534">
        <v>380</v>
      </c>
      <c r="V534">
        <v>378</v>
      </c>
      <c r="W534">
        <v>500</v>
      </c>
      <c r="X534">
        <v>2.79</v>
      </c>
    </row>
    <row r="535" spans="1:24" hidden="1" outlineLevel="2" x14ac:dyDescent="0.25">
      <c r="A535" t="str">
        <f t="shared" si="82"/>
        <v>AK6 - 2001</v>
      </c>
      <c r="B535" t="s">
        <v>33</v>
      </c>
      <c r="C535">
        <v>15</v>
      </c>
      <c r="D535">
        <v>16</v>
      </c>
      <c r="E535">
        <v>2001</v>
      </c>
      <c r="F535">
        <v>206.5</v>
      </c>
      <c r="G535">
        <v>9</v>
      </c>
      <c r="H535">
        <v>7.5</v>
      </c>
      <c r="I535">
        <v>1.5</v>
      </c>
      <c r="J535">
        <v>16</v>
      </c>
      <c r="K535">
        <v>114.2</v>
      </c>
      <c r="L535">
        <v>1339.6</v>
      </c>
      <c r="M535">
        <v>398</v>
      </c>
      <c r="N535">
        <v>373</v>
      </c>
      <c r="O535">
        <v>521</v>
      </c>
      <c r="P535">
        <v>148</v>
      </c>
      <c r="Q535">
        <v>333</v>
      </c>
      <c r="R535">
        <v>550</v>
      </c>
      <c r="S535">
        <v>217</v>
      </c>
      <c r="T535">
        <v>222.9</v>
      </c>
      <c r="U535">
        <v>390</v>
      </c>
      <c r="V535">
        <v>386</v>
      </c>
      <c r="W535">
        <v>500</v>
      </c>
      <c r="X535">
        <v>2.79</v>
      </c>
    </row>
    <row r="536" spans="1:24" hidden="1" outlineLevel="2" x14ac:dyDescent="0.25">
      <c r="A536" t="str">
        <f t="shared" si="82"/>
        <v>AK6 - 2001</v>
      </c>
      <c r="B536" t="s">
        <v>33</v>
      </c>
      <c r="C536">
        <v>14</v>
      </c>
      <c r="D536">
        <v>17</v>
      </c>
      <c r="E536">
        <v>2001</v>
      </c>
      <c r="F536">
        <v>237.9</v>
      </c>
      <c r="G536">
        <v>9.6</v>
      </c>
      <c r="H536">
        <v>7.5</v>
      </c>
      <c r="I536">
        <v>2.1</v>
      </c>
      <c r="J536">
        <v>21</v>
      </c>
      <c r="K536">
        <v>140.6</v>
      </c>
      <c r="L536">
        <v>1778</v>
      </c>
      <c r="M536">
        <v>378</v>
      </c>
      <c r="N536">
        <v>334</v>
      </c>
      <c r="O536">
        <v>536</v>
      </c>
      <c r="P536">
        <v>202</v>
      </c>
      <c r="Q536">
        <v>276</v>
      </c>
      <c r="R536">
        <v>557</v>
      </c>
      <c r="S536">
        <v>281</v>
      </c>
      <c r="T536">
        <v>292.2</v>
      </c>
      <c r="U536">
        <v>398</v>
      </c>
      <c r="V536">
        <v>397</v>
      </c>
      <c r="W536">
        <v>500</v>
      </c>
      <c r="X536">
        <v>2.79</v>
      </c>
    </row>
    <row r="537" spans="1:24" hidden="1" outlineLevel="2" x14ac:dyDescent="0.25">
      <c r="A537" t="str">
        <f t="shared" si="82"/>
        <v>AK6 - 2001</v>
      </c>
      <c r="B537" t="s">
        <v>33</v>
      </c>
      <c r="C537" t="s">
        <v>35</v>
      </c>
      <c r="D537">
        <v>16</v>
      </c>
      <c r="E537">
        <v>2001</v>
      </c>
      <c r="F537">
        <v>175.1</v>
      </c>
      <c r="G537">
        <v>5.4</v>
      </c>
      <c r="H537">
        <v>4.8</v>
      </c>
      <c r="I537">
        <v>0.6</v>
      </c>
      <c r="J537">
        <v>11</v>
      </c>
      <c r="K537">
        <v>58.5</v>
      </c>
      <c r="L537">
        <v>963.2</v>
      </c>
      <c r="M537">
        <v>447</v>
      </c>
      <c r="N537">
        <v>430</v>
      </c>
      <c r="O537">
        <v>588</v>
      </c>
      <c r="P537">
        <v>158</v>
      </c>
      <c r="Q537">
        <v>406</v>
      </c>
      <c r="R537">
        <v>616</v>
      </c>
      <c r="S537">
        <v>210</v>
      </c>
      <c r="T537">
        <v>205.5</v>
      </c>
      <c r="U537">
        <v>422</v>
      </c>
      <c r="V537">
        <v>415</v>
      </c>
      <c r="W537">
        <v>500</v>
      </c>
      <c r="X537">
        <v>2.79</v>
      </c>
    </row>
    <row r="538" spans="1:24" outlineLevel="1" collapsed="1" x14ac:dyDescent="0.25">
      <c r="A538" s="8" t="s">
        <v>77</v>
      </c>
      <c r="D538">
        <f t="shared" ref="D538:V538" si="83">SUBTOTAL(1,D524:D537)</f>
        <v>16.571428571428573</v>
      </c>
      <c r="E538">
        <f t="shared" si="83"/>
        <v>2001</v>
      </c>
      <c r="F538">
        <f t="shared" si="83"/>
        <v>186.1357142857143</v>
      </c>
      <c r="G538">
        <f t="shared" si="83"/>
        <v>6.45</v>
      </c>
      <c r="H538">
        <f t="shared" si="83"/>
        <v>5.3571428571428568</v>
      </c>
      <c r="I538">
        <f t="shared" si="83"/>
        <v>1.0928571428571427</v>
      </c>
      <c r="J538">
        <f t="shared" si="83"/>
        <v>15.714285714285714</v>
      </c>
      <c r="K538">
        <f t="shared" si="83"/>
        <v>76.850000000000009</v>
      </c>
      <c r="L538">
        <f t="shared" si="83"/>
        <v>1109.9000000000001</v>
      </c>
      <c r="M538">
        <f t="shared" si="83"/>
        <v>411.64285714285717</v>
      </c>
      <c r="N538">
        <f t="shared" si="83"/>
        <v>386.71428571428572</v>
      </c>
      <c r="O538">
        <f t="shared" si="83"/>
        <v>550</v>
      </c>
      <c r="P538">
        <f t="shared" si="83"/>
        <v>159.38461538461539</v>
      </c>
      <c r="Q538">
        <f t="shared" si="83"/>
        <v>341.92857142857144</v>
      </c>
      <c r="R538">
        <f t="shared" si="83"/>
        <v>574.07142857142856</v>
      </c>
      <c r="S538">
        <f t="shared" si="83"/>
        <v>232.14285714285714</v>
      </c>
      <c r="T538">
        <f t="shared" si="83"/>
        <v>221.6357142857143</v>
      </c>
      <c r="U538">
        <f t="shared" si="83"/>
        <v>404.92857142857144</v>
      </c>
      <c r="V538">
        <f t="shared" si="83"/>
        <v>402.14285714285717</v>
      </c>
    </row>
    <row r="539" spans="1:24" hidden="1" outlineLevel="2" x14ac:dyDescent="0.25">
      <c r="A539" t="str">
        <f t="shared" ref="A539:A552" si="84">CONCATENATE(B539," - ",E539)</f>
        <v>AK6 - 2002</v>
      </c>
      <c r="B539" t="s">
        <v>33</v>
      </c>
      <c r="C539">
        <v>1</v>
      </c>
      <c r="D539">
        <v>17</v>
      </c>
      <c r="E539">
        <v>2002</v>
      </c>
      <c r="F539">
        <v>181.5</v>
      </c>
      <c r="G539">
        <v>3.6</v>
      </c>
      <c r="H539">
        <v>3</v>
      </c>
      <c r="I539">
        <v>0.6</v>
      </c>
      <c r="J539">
        <v>16</v>
      </c>
      <c r="K539">
        <v>40.6</v>
      </c>
      <c r="L539">
        <v>1034.9000000000001</v>
      </c>
      <c r="M539">
        <v>420</v>
      </c>
      <c r="N539">
        <v>391</v>
      </c>
      <c r="O539">
        <v>566</v>
      </c>
      <c r="P539">
        <v>175</v>
      </c>
      <c r="Q539">
        <v>342</v>
      </c>
      <c r="R539">
        <v>582</v>
      </c>
      <c r="S539">
        <v>240</v>
      </c>
      <c r="T539">
        <v>211.8</v>
      </c>
      <c r="U539">
        <v>420</v>
      </c>
      <c r="V539">
        <v>413</v>
      </c>
      <c r="W539">
        <v>500</v>
      </c>
      <c r="X539">
        <v>2.79</v>
      </c>
    </row>
    <row r="540" spans="1:24" hidden="1" outlineLevel="2" x14ac:dyDescent="0.25">
      <c r="A540" t="str">
        <f t="shared" si="84"/>
        <v>AK6 - 2002</v>
      </c>
      <c r="B540" t="s">
        <v>33</v>
      </c>
      <c r="C540">
        <v>2</v>
      </c>
      <c r="D540">
        <v>18</v>
      </c>
      <c r="E540">
        <v>2002</v>
      </c>
      <c r="F540">
        <v>184</v>
      </c>
      <c r="G540">
        <v>2.1</v>
      </c>
      <c r="H540">
        <v>1.5</v>
      </c>
      <c r="I540">
        <v>0.6</v>
      </c>
      <c r="J540">
        <v>28</v>
      </c>
      <c r="K540">
        <v>24.1</v>
      </c>
      <c r="L540">
        <v>1063.5999999999999</v>
      </c>
      <c r="M540">
        <v>462</v>
      </c>
      <c r="N540">
        <v>416</v>
      </c>
      <c r="O540">
        <v>577</v>
      </c>
      <c r="P540">
        <v>161</v>
      </c>
      <c r="Q540">
        <v>370</v>
      </c>
      <c r="R540">
        <v>581</v>
      </c>
      <c r="S540">
        <v>211</v>
      </c>
      <c r="T540">
        <v>193.8</v>
      </c>
      <c r="U540">
        <v>412</v>
      </c>
      <c r="V540">
        <v>396</v>
      </c>
      <c r="W540">
        <v>500</v>
      </c>
      <c r="X540">
        <v>2.79</v>
      </c>
    </row>
    <row r="541" spans="1:24" hidden="1" outlineLevel="2" x14ac:dyDescent="0.25">
      <c r="A541" t="str">
        <f t="shared" si="84"/>
        <v>AK6 - 2002</v>
      </c>
      <c r="B541" t="s">
        <v>33</v>
      </c>
      <c r="C541">
        <v>3</v>
      </c>
      <c r="D541">
        <v>18</v>
      </c>
      <c r="E541">
        <v>2002</v>
      </c>
      <c r="F541">
        <v>212.2</v>
      </c>
      <c r="G541">
        <v>9.3000000000000007</v>
      </c>
      <c r="H541">
        <v>7.2</v>
      </c>
      <c r="I541">
        <v>2.1</v>
      </c>
      <c r="J541">
        <v>22</v>
      </c>
      <c r="K541">
        <v>121.3</v>
      </c>
      <c r="L541">
        <v>1414.6</v>
      </c>
      <c r="M541">
        <v>430</v>
      </c>
      <c r="N541">
        <v>394</v>
      </c>
      <c r="O541">
        <v>553</v>
      </c>
      <c r="P541">
        <v>159</v>
      </c>
      <c r="Q541">
        <v>319</v>
      </c>
      <c r="R541">
        <v>592</v>
      </c>
      <c r="S541">
        <v>273</v>
      </c>
      <c r="T541">
        <v>261.89999999999998</v>
      </c>
      <c r="U541">
        <v>404</v>
      </c>
      <c r="V541">
        <v>407</v>
      </c>
      <c r="W541">
        <v>500</v>
      </c>
      <c r="X541">
        <v>2.79</v>
      </c>
    </row>
    <row r="542" spans="1:24" hidden="1" outlineLevel="2" x14ac:dyDescent="0.25">
      <c r="A542" t="str">
        <f t="shared" si="84"/>
        <v>AK6 - 2002</v>
      </c>
      <c r="B542" t="s">
        <v>33</v>
      </c>
      <c r="C542">
        <v>4</v>
      </c>
      <c r="D542">
        <v>17</v>
      </c>
      <c r="E542">
        <v>2002</v>
      </c>
      <c r="F542">
        <v>144</v>
      </c>
      <c r="G542">
        <v>4.5</v>
      </c>
      <c r="H542">
        <v>3.6</v>
      </c>
      <c r="I542">
        <v>0.9</v>
      </c>
      <c r="J542">
        <v>20</v>
      </c>
      <c r="K542">
        <v>40.1</v>
      </c>
      <c r="L542">
        <v>651.4</v>
      </c>
      <c r="M542">
        <v>416</v>
      </c>
      <c r="N542">
        <v>381</v>
      </c>
      <c r="O542">
        <v>555</v>
      </c>
      <c r="P542">
        <v>174</v>
      </c>
      <c r="Q542">
        <v>311</v>
      </c>
      <c r="R542">
        <v>590</v>
      </c>
      <c r="S542">
        <v>279</v>
      </c>
      <c r="T542">
        <v>166.8</v>
      </c>
      <c r="U542">
        <v>412</v>
      </c>
      <c r="V542">
        <v>409</v>
      </c>
      <c r="W542">
        <v>500</v>
      </c>
      <c r="X542">
        <v>2.79</v>
      </c>
    </row>
    <row r="543" spans="1:24" hidden="1" outlineLevel="2" x14ac:dyDescent="0.25">
      <c r="A543" t="str">
        <f t="shared" si="84"/>
        <v>AK6 - 2002</v>
      </c>
      <c r="B543" t="s">
        <v>33</v>
      </c>
      <c r="C543">
        <v>5</v>
      </c>
      <c r="D543">
        <v>17</v>
      </c>
      <c r="E543">
        <v>2002</v>
      </c>
      <c r="F543">
        <v>205.3</v>
      </c>
      <c r="G543">
        <v>4.2</v>
      </c>
      <c r="H543">
        <v>3.9</v>
      </c>
      <c r="I543">
        <v>0.3</v>
      </c>
      <c r="J543">
        <v>7</v>
      </c>
      <c r="K543">
        <v>53.6</v>
      </c>
      <c r="L543">
        <v>1324.1</v>
      </c>
      <c r="M543">
        <v>403</v>
      </c>
      <c r="N543">
        <v>389</v>
      </c>
      <c r="O543">
        <v>593</v>
      </c>
      <c r="P543">
        <v>204</v>
      </c>
      <c r="Q543">
        <v>298</v>
      </c>
      <c r="R543">
        <v>593</v>
      </c>
      <c r="S543">
        <v>295</v>
      </c>
      <c r="T543">
        <v>224.7</v>
      </c>
      <c r="U543">
        <v>390</v>
      </c>
      <c r="V543">
        <v>376</v>
      </c>
      <c r="W543">
        <v>500</v>
      </c>
      <c r="X543">
        <v>2.79</v>
      </c>
    </row>
    <row r="544" spans="1:24" hidden="1" outlineLevel="2" x14ac:dyDescent="0.25">
      <c r="A544" t="str">
        <f t="shared" si="84"/>
        <v>AK6 - 2002</v>
      </c>
      <c r="B544" t="s">
        <v>33</v>
      </c>
      <c r="C544">
        <v>6</v>
      </c>
      <c r="D544">
        <v>18</v>
      </c>
      <c r="E544">
        <v>2002</v>
      </c>
      <c r="F544">
        <v>226.7</v>
      </c>
      <c r="G544">
        <v>6.9</v>
      </c>
      <c r="H544">
        <v>5.7</v>
      </c>
      <c r="I544">
        <v>1.2</v>
      </c>
      <c r="J544">
        <v>17</v>
      </c>
      <c r="K544">
        <v>96.8</v>
      </c>
      <c r="L544">
        <v>1614.6</v>
      </c>
      <c r="M544">
        <v>428</v>
      </c>
      <c r="N544">
        <v>398</v>
      </c>
      <c r="O544">
        <v>574</v>
      </c>
      <c r="P544">
        <v>176</v>
      </c>
      <c r="Q544">
        <v>315</v>
      </c>
      <c r="R544">
        <v>596</v>
      </c>
      <c r="S544">
        <v>281</v>
      </c>
      <c r="T544">
        <v>282</v>
      </c>
      <c r="U544">
        <v>406</v>
      </c>
      <c r="V544">
        <v>411</v>
      </c>
      <c r="W544">
        <v>500</v>
      </c>
      <c r="X544">
        <v>2.79</v>
      </c>
    </row>
    <row r="545" spans="1:24" hidden="1" outlineLevel="2" x14ac:dyDescent="0.25">
      <c r="A545" t="str">
        <f t="shared" si="84"/>
        <v>AK6 - 2002</v>
      </c>
      <c r="B545" t="s">
        <v>33</v>
      </c>
      <c r="C545">
        <v>7</v>
      </c>
      <c r="D545">
        <v>18</v>
      </c>
      <c r="E545">
        <v>2002</v>
      </c>
      <c r="F545">
        <v>178.3</v>
      </c>
      <c r="G545">
        <v>4.5</v>
      </c>
      <c r="H545">
        <v>3.3</v>
      </c>
      <c r="I545">
        <v>1.2</v>
      </c>
      <c r="J545">
        <v>26</v>
      </c>
      <c r="K545">
        <v>49.8</v>
      </c>
      <c r="L545">
        <v>998.7</v>
      </c>
      <c r="M545">
        <v>432</v>
      </c>
      <c r="N545">
        <v>386</v>
      </c>
      <c r="O545">
        <v>562</v>
      </c>
      <c r="P545">
        <v>176</v>
      </c>
      <c r="Q545">
        <v>335</v>
      </c>
      <c r="R545">
        <v>606</v>
      </c>
      <c r="S545">
        <v>271</v>
      </c>
      <c r="T545">
        <v>220.2</v>
      </c>
      <c r="U545">
        <v>418</v>
      </c>
      <c r="V545">
        <v>420</v>
      </c>
      <c r="W545">
        <v>500</v>
      </c>
      <c r="X545">
        <v>2.79</v>
      </c>
    </row>
    <row r="546" spans="1:24" hidden="1" outlineLevel="2" x14ac:dyDescent="0.25">
      <c r="A546" t="str">
        <f t="shared" si="84"/>
        <v>AK6 - 2002</v>
      </c>
      <c r="B546" t="s">
        <v>33</v>
      </c>
      <c r="C546">
        <v>8</v>
      </c>
      <c r="D546">
        <v>18</v>
      </c>
      <c r="E546">
        <v>2002</v>
      </c>
      <c r="F546">
        <v>193.2</v>
      </c>
      <c r="G546">
        <v>3.6</v>
      </c>
      <c r="H546">
        <v>3.3</v>
      </c>
      <c r="I546">
        <v>0.3</v>
      </c>
      <c r="J546">
        <v>8</v>
      </c>
      <c r="K546">
        <v>43.3</v>
      </c>
      <c r="L546">
        <v>1172.5999999999999</v>
      </c>
      <c r="M546">
        <v>357</v>
      </c>
      <c r="N546">
        <v>342</v>
      </c>
      <c r="O546">
        <v>525</v>
      </c>
      <c r="P546">
        <v>183</v>
      </c>
      <c r="Q546">
        <v>286</v>
      </c>
      <c r="R546">
        <v>525</v>
      </c>
      <c r="S546">
        <v>239</v>
      </c>
      <c r="T546">
        <v>222.3</v>
      </c>
      <c r="U546">
        <v>354</v>
      </c>
      <c r="V546">
        <v>355</v>
      </c>
      <c r="W546">
        <v>500</v>
      </c>
      <c r="X546">
        <v>2.79</v>
      </c>
    </row>
    <row r="547" spans="1:24" hidden="1" outlineLevel="2" x14ac:dyDescent="0.25">
      <c r="A547" t="str">
        <f t="shared" si="84"/>
        <v>AK6 - 2002</v>
      </c>
      <c r="B547" t="s">
        <v>33</v>
      </c>
      <c r="C547">
        <v>10</v>
      </c>
      <c r="D547">
        <v>18</v>
      </c>
      <c r="E547">
        <v>2002</v>
      </c>
      <c r="F547">
        <v>161.1</v>
      </c>
      <c r="G547">
        <v>3.6</v>
      </c>
      <c r="H547">
        <v>2.7</v>
      </c>
      <c r="I547">
        <v>0.9</v>
      </c>
      <c r="J547">
        <v>24</v>
      </c>
      <c r="K547">
        <v>36</v>
      </c>
      <c r="L547">
        <v>815.3</v>
      </c>
      <c r="M547">
        <v>471</v>
      </c>
      <c r="N547">
        <v>440</v>
      </c>
      <c r="O547">
        <v>563</v>
      </c>
      <c r="P547">
        <v>123</v>
      </c>
      <c r="Q547">
        <v>398</v>
      </c>
      <c r="R547">
        <v>591</v>
      </c>
      <c r="S547">
        <v>193</v>
      </c>
      <c r="T547">
        <v>188.1</v>
      </c>
      <c r="U547">
        <v>437</v>
      </c>
      <c r="V547">
        <v>439</v>
      </c>
      <c r="W547">
        <v>500</v>
      </c>
      <c r="X547">
        <v>2.79</v>
      </c>
    </row>
    <row r="548" spans="1:24" hidden="1" outlineLevel="2" x14ac:dyDescent="0.25">
      <c r="A548" t="str">
        <f t="shared" si="84"/>
        <v>AK6 - 2002</v>
      </c>
      <c r="B548" t="s">
        <v>33</v>
      </c>
      <c r="C548">
        <v>12</v>
      </c>
      <c r="D548">
        <v>18</v>
      </c>
      <c r="E548">
        <v>2002</v>
      </c>
      <c r="F548">
        <v>151.69999999999999</v>
      </c>
      <c r="G548">
        <v>3</v>
      </c>
      <c r="H548">
        <v>1.8</v>
      </c>
      <c r="I548">
        <v>1.2</v>
      </c>
      <c r="J548">
        <v>40</v>
      </c>
      <c r="K548">
        <v>28.3</v>
      </c>
      <c r="L548">
        <v>723</v>
      </c>
      <c r="M548">
        <v>470</v>
      </c>
      <c r="N548">
        <v>414</v>
      </c>
      <c r="O548">
        <v>556</v>
      </c>
      <c r="P548">
        <v>142</v>
      </c>
      <c r="Q548">
        <v>373</v>
      </c>
      <c r="R548">
        <v>592</v>
      </c>
      <c r="S548">
        <v>219</v>
      </c>
      <c r="T548">
        <v>189.3</v>
      </c>
      <c r="U548">
        <v>426</v>
      </c>
      <c r="V548">
        <v>428</v>
      </c>
      <c r="W548">
        <v>500</v>
      </c>
      <c r="X548">
        <v>2.79</v>
      </c>
    </row>
    <row r="549" spans="1:24" hidden="1" outlineLevel="2" x14ac:dyDescent="0.25">
      <c r="A549" t="str">
        <f t="shared" si="84"/>
        <v>AK6 - 2002</v>
      </c>
      <c r="B549" t="s">
        <v>33</v>
      </c>
      <c r="C549">
        <v>13</v>
      </c>
      <c r="D549">
        <v>17</v>
      </c>
      <c r="E549">
        <v>2002</v>
      </c>
      <c r="F549">
        <v>199.1</v>
      </c>
      <c r="G549">
        <v>5.4</v>
      </c>
      <c r="H549">
        <v>4.5</v>
      </c>
      <c r="I549">
        <v>0.9</v>
      </c>
      <c r="J549">
        <v>16</v>
      </c>
      <c r="K549">
        <v>66.599999999999994</v>
      </c>
      <c r="L549">
        <v>1245.4000000000001</v>
      </c>
      <c r="M549">
        <v>397</v>
      </c>
      <c r="N549">
        <v>361</v>
      </c>
      <c r="O549">
        <v>577</v>
      </c>
      <c r="P549">
        <v>216</v>
      </c>
      <c r="Q549">
        <v>315</v>
      </c>
      <c r="R549">
        <v>592</v>
      </c>
      <c r="S549">
        <v>277</v>
      </c>
      <c r="T549">
        <v>221.4</v>
      </c>
      <c r="U549">
        <v>380</v>
      </c>
      <c r="V549">
        <v>378</v>
      </c>
      <c r="W549">
        <v>500</v>
      </c>
      <c r="X549">
        <v>2.79</v>
      </c>
    </row>
    <row r="550" spans="1:24" hidden="1" outlineLevel="2" x14ac:dyDescent="0.25">
      <c r="A550" t="str">
        <f t="shared" si="84"/>
        <v>AK6 - 2002</v>
      </c>
      <c r="B550" t="s">
        <v>33</v>
      </c>
      <c r="C550">
        <v>15</v>
      </c>
      <c r="D550">
        <v>17</v>
      </c>
      <c r="E550">
        <v>2002</v>
      </c>
      <c r="F550">
        <v>212.5</v>
      </c>
      <c r="G550">
        <v>6</v>
      </c>
      <c r="H550">
        <v>4.8</v>
      </c>
      <c r="I550">
        <v>1.2</v>
      </c>
      <c r="J550">
        <v>20</v>
      </c>
      <c r="K550">
        <v>79</v>
      </c>
      <c r="L550">
        <v>1418.6</v>
      </c>
      <c r="M550">
        <v>416</v>
      </c>
      <c r="N550">
        <v>379</v>
      </c>
      <c r="O550">
        <v>562</v>
      </c>
      <c r="P550">
        <v>183</v>
      </c>
      <c r="Q550">
        <v>320</v>
      </c>
      <c r="R550">
        <v>591</v>
      </c>
      <c r="S550">
        <v>271</v>
      </c>
      <c r="T550">
        <v>222.9</v>
      </c>
      <c r="U550">
        <v>390</v>
      </c>
      <c r="V550">
        <v>386</v>
      </c>
      <c r="W550">
        <v>500</v>
      </c>
      <c r="X550">
        <v>2.79</v>
      </c>
    </row>
    <row r="551" spans="1:24" hidden="1" outlineLevel="2" x14ac:dyDescent="0.25">
      <c r="A551" t="str">
        <f t="shared" si="84"/>
        <v>AK6 - 2002</v>
      </c>
      <c r="B551" t="s">
        <v>33</v>
      </c>
      <c r="C551">
        <v>14</v>
      </c>
      <c r="D551">
        <v>18</v>
      </c>
      <c r="E551">
        <v>2002</v>
      </c>
      <c r="F551">
        <v>244.8</v>
      </c>
      <c r="G551">
        <v>6.9</v>
      </c>
      <c r="H551">
        <v>4.8</v>
      </c>
      <c r="I551">
        <v>2.1</v>
      </c>
      <c r="J551">
        <v>30</v>
      </c>
      <c r="K551">
        <v>104.6</v>
      </c>
      <c r="L551">
        <v>1882.7</v>
      </c>
      <c r="M551">
        <v>423</v>
      </c>
      <c r="N551">
        <v>359</v>
      </c>
      <c r="O551">
        <v>569</v>
      </c>
      <c r="P551">
        <v>210</v>
      </c>
      <c r="Q551">
        <v>305</v>
      </c>
      <c r="R551">
        <v>624</v>
      </c>
      <c r="S551">
        <v>319</v>
      </c>
      <c r="T551">
        <v>292.2</v>
      </c>
      <c r="U551">
        <v>398</v>
      </c>
      <c r="V551">
        <v>397</v>
      </c>
      <c r="W551">
        <v>500</v>
      </c>
      <c r="X551">
        <v>2.79</v>
      </c>
    </row>
    <row r="552" spans="1:24" hidden="1" outlineLevel="2" x14ac:dyDescent="0.25">
      <c r="A552" t="str">
        <f t="shared" si="84"/>
        <v>AK6 - 2002</v>
      </c>
      <c r="B552" t="s">
        <v>33</v>
      </c>
      <c r="C552" t="s">
        <v>35</v>
      </c>
      <c r="D552">
        <v>17</v>
      </c>
      <c r="E552">
        <v>2002</v>
      </c>
      <c r="F552">
        <v>179.9</v>
      </c>
      <c r="G552">
        <v>4.8</v>
      </c>
      <c r="H552">
        <v>2.7</v>
      </c>
      <c r="I552">
        <v>2.1</v>
      </c>
      <c r="J552">
        <v>43</v>
      </c>
      <c r="K552">
        <v>53.5</v>
      </c>
      <c r="L552">
        <v>1016.7</v>
      </c>
      <c r="M552">
        <v>481</v>
      </c>
      <c r="N552">
        <v>421</v>
      </c>
      <c r="O552">
        <v>558</v>
      </c>
      <c r="P552">
        <v>137</v>
      </c>
      <c r="Q552">
        <v>393</v>
      </c>
      <c r="R552">
        <v>652</v>
      </c>
      <c r="S552">
        <v>259</v>
      </c>
      <c r="T552">
        <v>205.5</v>
      </c>
      <c r="U552">
        <v>422</v>
      </c>
      <c r="V552">
        <v>415</v>
      </c>
      <c r="W552">
        <v>500</v>
      </c>
      <c r="X552">
        <v>2.79</v>
      </c>
    </row>
    <row r="553" spans="1:24" outlineLevel="1" collapsed="1" x14ac:dyDescent="0.25">
      <c r="A553" s="8" t="s">
        <v>78</v>
      </c>
      <c r="D553">
        <f t="shared" ref="D553:V553" si="85">SUBTOTAL(1,D539:D552)</f>
        <v>17.571428571428573</v>
      </c>
      <c r="E553">
        <f t="shared" si="85"/>
        <v>2002</v>
      </c>
      <c r="F553">
        <f t="shared" si="85"/>
        <v>191.02142857142857</v>
      </c>
      <c r="G553">
        <f t="shared" si="85"/>
        <v>4.8857142857142861</v>
      </c>
      <c r="H553">
        <f t="shared" si="85"/>
        <v>3.7714285714285714</v>
      </c>
      <c r="I553">
        <f t="shared" si="85"/>
        <v>1.1142857142857141</v>
      </c>
      <c r="J553">
        <f t="shared" si="85"/>
        <v>22.642857142857142</v>
      </c>
      <c r="K553">
        <f t="shared" si="85"/>
        <v>59.828571428571429</v>
      </c>
      <c r="L553">
        <f t="shared" si="85"/>
        <v>1169.7285714285715</v>
      </c>
      <c r="M553">
        <f t="shared" si="85"/>
        <v>429</v>
      </c>
      <c r="N553">
        <f t="shared" si="85"/>
        <v>390.78571428571428</v>
      </c>
      <c r="O553">
        <f t="shared" si="85"/>
        <v>563.57142857142856</v>
      </c>
      <c r="P553">
        <f t="shared" si="85"/>
        <v>172.78571428571428</v>
      </c>
      <c r="Q553">
        <f t="shared" si="85"/>
        <v>334.28571428571428</v>
      </c>
      <c r="R553">
        <f t="shared" si="85"/>
        <v>593.35714285714289</v>
      </c>
      <c r="S553">
        <f t="shared" si="85"/>
        <v>259.07142857142856</v>
      </c>
      <c r="T553">
        <f t="shared" si="85"/>
        <v>221.6357142857143</v>
      </c>
      <c r="U553">
        <f t="shared" si="85"/>
        <v>404.92857142857144</v>
      </c>
      <c r="V553">
        <f t="shared" si="85"/>
        <v>402.14285714285717</v>
      </c>
    </row>
    <row r="554" spans="1:24" hidden="1" outlineLevel="2" x14ac:dyDescent="0.25">
      <c r="A554" t="str">
        <f t="shared" ref="A554:A567" si="86">CONCATENATE(B554," - ",E554)</f>
        <v>AK6 - 2003</v>
      </c>
      <c r="B554" t="s">
        <v>33</v>
      </c>
      <c r="C554">
        <v>1</v>
      </c>
      <c r="D554">
        <v>18</v>
      </c>
      <c r="E554">
        <v>2003</v>
      </c>
      <c r="F554">
        <v>186</v>
      </c>
      <c r="G554">
        <v>4.5</v>
      </c>
      <c r="H554">
        <v>3.3</v>
      </c>
      <c r="I554">
        <v>1.2</v>
      </c>
      <c r="J554">
        <v>26</v>
      </c>
      <c r="K554">
        <v>52</v>
      </c>
      <c r="L554">
        <v>1086.9000000000001</v>
      </c>
      <c r="M554">
        <v>445</v>
      </c>
      <c r="N554">
        <v>406</v>
      </c>
      <c r="O554">
        <v>552</v>
      </c>
      <c r="P554">
        <v>146</v>
      </c>
      <c r="Q554">
        <v>356</v>
      </c>
      <c r="R554">
        <v>612</v>
      </c>
      <c r="S554">
        <v>256</v>
      </c>
      <c r="T554">
        <v>211.8</v>
      </c>
      <c r="U554">
        <v>420</v>
      </c>
      <c r="V554">
        <v>413</v>
      </c>
      <c r="W554">
        <v>500</v>
      </c>
      <c r="X554">
        <v>2.79</v>
      </c>
    </row>
    <row r="555" spans="1:24" hidden="1" outlineLevel="2" x14ac:dyDescent="0.25">
      <c r="A555" t="str">
        <f t="shared" si="86"/>
        <v>AK6 - 2003</v>
      </c>
      <c r="B555" t="s">
        <v>33</v>
      </c>
      <c r="C555">
        <v>2</v>
      </c>
      <c r="D555">
        <v>19</v>
      </c>
      <c r="E555">
        <v>2003</v>
      </c>
      <c r="F555">
        <v>187</v>
      </c>
      <c r="G555">
        <v>3</v>
      </c>
      <c r="H555">
        <v>2.7</v>
      </c>
      <c r="I555">
        <v>0.3</v>
      </c>
      <c r="J555">
        <v>10</v>
      </c>
      <c r="K555">
        <v>35</v>
      </c>
      <c r="L555">
        <v>1098.5999999999999</v>
      </c>
      <c r="M555">
        <v>444</v>
      </c>
      <c r="N555">
        <v>431</v>
      </c>
      <c r="O555">
        <v>554</v>
      </c>
      <c r="P555">
        <v>123</v>
      </c>
      <c r="Q555">
        <v>390</v>
      </c>
      <c r="R555">
        <v>554</v>
      </c>
      <c r="S555">
        <v>164</v>
      </c>
      <c r="T555">
        <v>193.8</v>
      </c>
      <c r="U555">
        <v>412</v>
      </c>
      <c r="V555">
        <v>396</v>
      </c>
      <c r="W555">
        <v>500</v>
      </c>
      <c r="X555">
        <v>2.79</v>
      </c>
    </row>
    <row r="556" spans="1:24" hidden="1" outlineLevel="2" x14ac:dyDescent="0.25">
      <c r="A556" t="str">
        <f t="shared" si="86"/>
        <v>AK6 - 2003</v>
      </c>
      <c r="B556" t="s">
        <v>33</v>
      </c>
      <c r="C556">
        <v>3</v>
      </c>
      <c r="D556">
        <v>19</v>
      </c>
      <c r="E556">
        <v>2003</v>
      </c>
      <c r="F556">
        <v>221.8</v>
      </c>
      <c r="G556">
        <v>9.6</v>
      </c>
      <c r="H556">
        <v>8.6999999999999993</v>
      </c>
      <c r="I556">
        <v>0.9</v>
      </c>
      <c r="J556">
        <v>9</v>
      </c>
      <c r="K556">
        <v>130.9</v>
      </c>
      <c r="L556">
        <v>1545.5</v>
      </c>
      <c r="M556">
        <v>416</v>
      </c>
      <c r="N556">
        <v>401</v>
      </c>
      <c r="O556">
        <v>555</v>
      </c>
      <c r="P556">
        <v>154</v>
      </c>
      <c r="Q556">
        <v>352</v>
      </c>
      <c r="R556">
        <v>570</v>
      </c>
      <c r="S556">
        <v>218</v>
      </c>
      <c r="T556">
        <v>261.89999999999998</v>
      </c>
      <c r="U556">
        <v>404</v>
      </c>
      <c r="V556">
        <v>407</v>
      </c>
      <c r="W556">
        <v>500</v>
      </c>
      <c r="X556">
        <v>2.79</v>
      </c>
    </row>
    <row r="557" spans="1:24" hidden="1" outlineLevel="2" x14ac:dyDescent="0.25">
      <c r="A557" t="str">
        <f t="shared" si="86"/>
        <v>AK6 - 2003</v>
      </c>
      <c r="B557" t="s">
        <v>33</v>
      </c>
      <c r="C557">
        <v>4</v>
      </c>
      <c r="D557">
        <v>18</v>
      </c>
      <c r="E557">
        <v>2003</v>
      </c>
      <c r="F557">
        <v>148.80000000000001</v>
      </c>
      <c r="G557">
        <v>4.8</v>
      </c>
      <c r="H557">
        <v>4.8</v>
      </c>
      <c r="I557">
        <v>0</v>
      </c>
      <c r="J557">
        <v>0</v>
      </c>
      <c r="K557">
        <v>44.2</v>
      </c>
      <c r="L557">
        <v>695.6</v>
      </c>
      <c r="M557">
        <v>412</v>
      </c>
      <c r="N557">
        <v>412</v>
      </c>
      <c r="Q557">
        <v>338</v>
      </c>
      <c r="R557">
        <v>498</v>
      </c>
      <c r="S557">
        <v>160</v>
      </c>
      <c r="T557">
        <v>166.8</v>
      </c>
      <c r="U557">
        <v>412</v>
      </c>
      <c r="V557">
        <v>409</v>
      </c>
      <c r="W557">
        <v>500</v>
      </c>
      <c r="X557">
        <v>2.79</v>
      </c>
    </row>
    <row r="558" spans="1:24" hidden="1" outlineLevel="2" x14ac:dyDescent="0.25">
      <c r="A558" t="str">
        <f t="shared" si="86"/>
        <v>AK6 - 2003</v>
      </c>
      <c r="B558" t="s">
        <v>33</v>
      </c>
      <c r="C558">
        <v>5</v>
      </c>
      <c r="D558">
        <v>18</v>
      </c>
      <c r="E558">
        <v>2003</v>
      </c>
      <c r="F558">
        <v>209.2</v>
      </c>
      <c r="G558">
        <v>3.9</v>
      </c>
      <c r="H558">
        <v>3.3</v>
      </c>
      <c r="I558">
        <v>0.6</v>
      </c>
      <c r="J558">
        <v>15</v>
      </c>
      <c r="K558">
        <v>50.8</v>
      </c>
      <c r="L558">
        <v>1374.9</v>
      </c>
      <c r="M558">
        <v>417</v>
      </c>
      <c r="N558">
        <v>392</v>
      </c>
      <c r="O558">
        <v>555</v>
      </c>
      <c r="P558">
        <v>163</v>
      </c>
      <c r="Q558">
        <v>346</v>
      </c>
      <c r="R558">
        <v>576</v>
      </c>
      <c r="S558">
        <v>230</v>
      </c>
      <c r="T558">
        <v>224.7</v>
      </c>
      <c r="U558">
        <v>390</v>
      </c>
      <c r="V558">
        <v>376</v>
      </c>
      <c r="W558">
        <v>500</v>
      </c>
      <c r="X558">
        <v>2.79</v>
      </c>
    </row>
    <row r="559" spans="1:24" hidden="1" outlineLevel="2" x14ac:dyDescent="0.25">
      <c r="A559" t="str">
        <f t="shared" si="86"/>
        <v>AK6 - 2003</v>
      </c>
      <c r="B559" t="s">
        <v>33</v>
      </c>
      <c r="C559">
        <v>6</v>
      </c>
      <c r="D559">
        <v>19</v>
      </c>
      <c r="E559">
        <v>2003</v>
      </c>
      <c r="F559">
        <v>236.3</v>
      </c>
      <c r="G559">
        <v>9.6</v>
      </c>
      <c r="H559">
        <v>8.1</v>
      </c>
      <c r="I559">
        <v>1.5</v>
      </c>
      <c r="J559">
        <v>15</v>
      </c>
      <c r="K559">
        <v>139.6</v>
      </c>
      <c r="L559">
        <v>1754.2</v>
      </c>
      <c r="M559">
        <v>435</v>
      </c>
      <c r="N559">
        <v>412</v>
      </c>
      <c r="O559">
        <v>559</v>
      </c>
      <c r="P559">
        <v>147</v>
      </c>
      <c r="Q559">
        <v>367</v>
      </c>
      <c r="R559">
        <v>578</v>
      </c>
      <c r="S559">
        <v>211</v>
      </c>
      <c r="T559">
        <v>282</v>
      </c>
      <c r="U559">
        <v>406</v>
      </c>
      <c r="V559">
        <v>411</v>
      </c>
      <c r="W559">
        <v>500</v>
      </c>
      <c r="X559">
        <v>2.79</v>
      </c>
    </row>
    <row r="560" spans="1:24" hidden="1" outlineLevel="2" x14ac:dyDescent="0.25">
      <c r="A560" t="str">
        <f t="shared" si="86"/>
        <v>AK6 - 2003</v>
      </c>
      <c r="B560" t="s">
        <v>33</v>
      </c>
      <c r="C560">
        <v>7</v>
      </c>
      <c r="D560">
        <v>19</v>
      </c>
      <c r="E560">
        <v>2003</v>
      </c>
      <c r="F560">
        <v>184.3</v>
      </c>
      <c r="G560">
        <v>6</v>
      </c>
      <c r="H560">
        <v>4.8</v>
      </c>
      <c r="I560">
        <v>1.2</v>
      </c>
      <c r="J560">
        <v>20</v>
      </c>
      <c r="K560">
        <v>68.3</v>
      </c>
      <c r="L560">
        <v>1067.0999999999999</v>
      </c>
      <c r="M560">
        <v>440</v>
      </c>
      <c r="N560">
        <v>415</v>
      </c>
      <c r="O560">
        <v>541</v>
      </c>
      <c r="P560">
        <v>126</v>
      </c>
      <c r="Q560">
        <v>377</v>
      </c>
      <c r="R560">
        <v>563</v>
      </c>
      <c r="S560">
        <v>186</v>
      </c>
      <c r="T560">
        <v>220.2</v>
      </c>
      <c r="U560">
        <v>418</v>
      </c>
      <c r="V560">
        <v>420</v>
      </c>
      <c r="W560">
        <v>500</v>
      </c>
      <c r="X560">
        <v>2.79</v>
      </c>
    </row>
    <row r="561" spans="1:24" hidden="1" outlineLevel="2" x14ac:dyDescent="0.25">
      <c r="A561" t="str">
        <f t="shared" si="86"/>
        <v>AK6 - 2003</v>
      </c>
      <c r="B561" t="s">
        <v>33</v>
      </c>
      <c r="C561">
        <v>8</v>
      </c>
      <c r="D561">
        <v>19</v>
      </c>
      <c r="E561">
        <v>2003</v>
      </c>
      <c r="F561">
        <v>196.8</v>
      </c>
      <c r="G561">
        <v>3.6</v>
      </c>
      <c r="H561">
        <v>3.6</v>
      </c>
      <c r="I561">
        <v>0</v>
      </c>
      <c r="J561">
        <v>0</v>
      </c>
      <c r="K561">
        <v>44.1</v>
      </c>
      <c r="L561">
        <v>1216.7</v>
      </c>
      <c r="M561">
        <v>329</v>
      </c>
      <c r="N561">
        <v>329</v>
      </c>
      <c r="Q561">
        <v>291</v>
      </c>
      <c r="R561">
        <v>429</v>
      </c>
      <c r="S561">
        <v>138</v>
      </c>
      <c r="T561">
        <v>222.3</v>
      </c>
      <c r="U561">
        <v>354</v>
      </c>
      <c r="V561">
        <v>355</v>
      </c>
      <c r="W561">
        <v>500</v>
      </c>
      <c r="X561">
        <v>2.79</v>
      </c>
    </row>
    <row r="562" spans="1:24" hidden="1" outlineLevel="2" x14ac:dyDescent="0.25">
      <c r="A562" t="str">
        <f t="shared" si="86"/>
        <v>AK6 - 2003</v>
      </c>
      <c r="B562" t="s">
        <v>33</v>
      </c>
      <c r="C562">
        <v>10</v>
      </c>
      <c r="D562">
        <v>19</v>
      </c>
      <c r="E562">
        <v>2003</v>
      </c>
      <c r="F562">
        <v>164.4</v>
      </c>
      <c r="G562">
        <v>3.3</v>
      </c>
      <c r="H562">
        <v>2.1</v>
      </c>
      <c r="I562">
        <v>1.2</v>
      </c>
      <c r="J562">
        <v>36</v>
      </c>
      <c r="K562">
        <v>33.700000000000003</v>
      </c>
      <c r="L562">
        <v>849.1</v>
      </c>
      <c r="M562">
        <v>470</v>
      </c>
      <c r="N562">
        <v>417</v>
      </c>
      <c r="O562">
        <v>561</v>
      </c>
      <c r="P562">
        <v>144</v>
      </c>
      <c r="Q562">
        <v>381</v>
      </c>
      <c r="R562">
        <v>597</v>
      </c>
      <c r="S562">
        <v>216</v>
      </c>
      <c r="T562">
        <v>188.1</v>
      </c>
      <c r="U562">
        <v>437</v>
      </c>
      <c r="V562">
        <v>439</v>
      </c>
      <c r="W562">
        <v>500</v>
      </c>
      <c r="X562">
        <v>2.79</v>
      </c>
    </row>
    <row r="563" spans="1:24" hidden="1" outlineLevel="2" x14ac:dyDescent="0.25">
      <c r="A563" t="str">
        <f t="shared" si="86"/>
        <v>AK6 - 2003</v>
      </c>
      <c r="B563" t="s">
        <v>33</v>
      </c>
      <c r="C563">
        <v>12</v>
      </c>
      <c r="D563">
        <v>19</v>
      </c>
      <c r="E563">
        <v>2003</v>
      </c>
      <c r="F563">
        <v>157.1</v>
      </c>
      <c r="G563">
        <v>5.4</v>
      </c>
      <c r="H563">
        <v>3.9</v>
      </c>
      <c r="I563">
        <v>1.5</v>
      </c>
      <c r="J563">
        <v>27</v>
      </c>
      <c r="K563">
        <v>52.4</v>
      </c>
      <c r="L563">
        <v>775.4</v>
      </c>
      <c r="M563">
        <v>447</v>
      </c>
      <c r="N563">
        <v>415</v>
      </c>
      <c r="O563">
        <v>531</v>
      </c>
      <c r="P563">
        <v>116</v>
      </c>
      <c r="Q563">
        <v>387</v>
      </c>
      <c r="R563">
        <v>573</v>
      </c>
      <c r="S563">
        <v>186</v>
      </c>
      <c r="T563">
        <v>189.3</v>
      </c>
      <c r="U563">
        <v>426</v>
      </c>
      <c r="V563">
        <v>428</v>
      </c>
      <c r="W563">
        <v>500</v>
      </c>
      <c r="X563">
        <v>2.79</v>
      </c>
    </row>
    <row r="564" spans="1:24" hidden="1" outlineLevel="2" x14ac:dyDescent="0.25">
      <c r="A564" t="str">
        <f t="shared" si="86"/>
        <v>AK6 - 2003</v>
      </c>
      <c r="B564" t="s">
        <v>33</v>
      </c>
      <c r="C564">
        <v>13</v>
      </c>
      <c r="D564">
        <v>18</v>
      </c>
      <c r="E564">
        <v>2003</v>
      </c>
      <c r="F564">
        <v>203.9</v>
      </c>
      <c r="G564">
        <v>4.8</v>
      </c>
      <c r="H564">
        <v>4.5</v>
      </c>
      <c r="I564">
        <v>0.3</v>
      </c>
      <c r="J564">
        <v>6</v>
      </c>
      <c r="K564">
        <v>60.8</v>
      </c>
      <c r="L564">
        <v>1306.0999999999999</v>
      </c>
      <c r="M564">
        <v>371</v>
      </c>
      <c r="N564">
        <v>361</v>
      </c>
      <c r="O564">
        <v>512</v>
      </c>
      <c r="P564">
        <v>151</v>
      </c>
      <c r="Q564">
        <v>342</v>
      </c>
      <c r="R564">
        <v>512</v>
      </c>
      <c r="S564">
        <v>170</v>
      </c>
      <c r="T564">
        <v>221.4</v>
      </c>
      <c r="U564">
        <v>380</v>
      </c>
      <c r="V564">
        <v>378</v>
      </c>
      <c r="W564">
        <v>500</v>
      </c>
      <c r="X564">
        <v>2.79</v>
      </c>
    </row>
    <row r="565" spans="1:24" hidden="1" outlineLevel="2" x14ac:dyDescent="0.25">
      <c r="A565" t="str">
        <f t="shared" si="86"/>
        <v>AK6 - 2003</v>
      </c>
      <c r="B565" t="s">
        <v>33</v>
      </c>
      <c r="C565">
        <v>15</v>
      </c>
      <c r="D565">
        <v>18</v>
      </c>
      <c r="E565">
        <v>2003</v>
      </c>
      <c r="F565">
        <v>219.4</v>
      </c>
      <c r="G565">
        <v>6.9</v>
      </c>
      <c r="H565">
        <v>6.3</v>
      </c>
      <c r="I565">
        <v>0.6</v>
      </c>
      <c r="J565">
        <v>8</v>
      </c>
      <c r="K565">
        <v>93.6</v>
      </c>
      <c r="L565">
        <v>1512.2</v>
      </c>
      <c r="M565">
        <v>404</v>
      </c>
      <c r="N565">
        <v>391</v>
      </c>
      <c r="O565">
        <v>538</v>
      </c>
      <c r="P565">
        <v>147</v>
      </c>
      <c r="Q565">
        <v>350</v>
      </c>
      <c r="R565">
        <v>540</v>
      </c>
      <c r="S565">
        <v>190</v>
      </c>
      <c r="T565">
        <v>222.9</v>
      </c>
      <c r="U565">
        <v>390</v>
      </c>
      <c r="V565">
        <v>386</v>
      </c>
      <c r="W565">
        <v>500</v>
      </c>
      <c r="X565">
        <v>2.79</v>
      </c>
    </row>
    <row r="566" spans="1:24" hidden="1" outlineLevel="2" x14ac:dyDescent="0.25">
      <c r="A566" t="str">
        <f t="shared" si="86"/>
        <v>AK6 - 2003</v>
      </c>
      <c r="B566" t="s">
        <v>33</v>
      </c>
      <c r="C566">
        <v>14</v>
      </c>
      <c r="D566">
        <v>19</v>
      </c>
      <c r="E566">
        <v>2003</v>
      </c>
      <c r="F566">
        <v>254.7</v>
      </c>
      <c r="G566">
        <v>9.9</v>
      </c>
      <c r="H566">
        <v>8.1</v>
      </c>
      <c r="I566">
        <v>1.8</v>
      </c>
      <c r="J566">
        <v>18</v>
      </c>
      <c r="K566">
        <v>155.4</v>
      </c>
      <c r="L566">
        <v>2038</v>
      </c>
      <c r="M566">
        <v>394</v>
      </c>
      <c r="N566">
        <v>363</v>
      </c>
      <c r="O566">
        <v>535</v>
      </c>
      <c r="P566">
        <v>172</v>
      </c>
      <c r="Q566">
        <v>332</v>
      </c>
      <c r="R566">
        <v>569</v>
      </c>
      <c r="S566">
        <v>237</v>
      </c>
      <c r="T566">
        <v>292.2</v>
      </c>
      <c r="U566">
        <v>398</v>
      </c>
      <c r="V566">
        <v>397</v>
      </c>
      <c r="W566">
        <v>500</v>
      </c>
      <c r="X566">
        <v>2.79</v>
      </c>
    </row>
    <row r="567" spans="1:24" hidden="1" outlineLevel="2" x14ac:dyDescent="0.25">
      <c r="A567" t="str">
        <f t="shared" si="86"/>
        <v>AK6 - 2003</v>
      </c>
      <c r="B567" t="s">
        <v>33</v>
      </c>
      <c r="C567" t="s">
        <v>35</v>
      </c>
      <c r="D567">
        <v>18</v>
      </c>
      <c r="E567">
        <v>2003</v>
      </c>
      <c r="F567">
        <v>184.4</v>
      </c>
      <c r="G567">
        <v>4.5</v>
      </c>
      <c r="H567">
        <v>2.7</v>
      </c>
      <c r="I567">
        <v>1.8</v>
      </c>
      <c r="J567">
        <v>40</v>
      </c>
      <c r="K567">
        <v>51.5</v>
      </c>
      <c r="L567">
        <v>1068.2</v>
      </c>
      <c r="M567">
        <v>479</v>
      </c>
      <c r="N567">
        <v>439</v>
      </c>
      <c r="O567">
        <v>539</v>
      </c>
      <c r="P567">
        <v>100</v>
      </c>
      <c r="Q567">
        <v>430</v>
      </c>
      <c r="R567">
        <v>580</v>
      </c>
      <c r="S567">
        <v>150</v>
      </c>
      <c r="T567">
        <v>205.5</v>
      </c>
      <c r="U567">
        <v>422</v>
      </c>
      <c r="V567">
        <v>415</v>
      </c>
      <c r="W567">
        <v>500</v>
      </c>
      <c r="X567">
        <v>2.79</v>
      </c>
    </row>
    <row r="568" spans="1:24" outlineLevel="1" collapsed="1" x14ac:dyDescent="0.25">
      <c r="A568" s="8" t="s">
        <v>79</v>
      </c>
      <c r="D568">
        <f t="shared" ref="D568:V568" si="87">SUBTOTAL(1,D554:D567)</f>
        <v>18.571428571428573</v>
      </c>
      <c r="E568">
        <f t="shared" si="87"/>
        <v>2003</v>
      </c>
      <c r="F568">
        <f t="shared" si="87"/>
        <v>196.72142857142856</v>
      </c>
      <c r="G568">
        <f t="shared" si="87"/>
        <v>5.7</v>
      </c>
      <c r="H568">
        <f t="shared" si="87"/>
        <v>4.7785714285714276</v>
      </c>
      <c r="I568">
        <f t="shared" si="87"/>
        <v>0.9214285714285716</v>
      </c>
      <c r="J568">
        <f t="shared" si="87"/>
        <v>16.428571428571427</v>
      </c>
      <c r="K568">
        <f t="shared" si="87"/>
        <v>72.30714285714285</v>
      </c>
      <c r="L568">
        <f t="shared" si="87"/>
        <v>1242.0357142857142</v>
      </c>
      <c r="M568">
        <f t="shared" si="87"/>
        <v>421.64285714285717</v>
      </c>
      <c r="N568">
        <f t="shared" si="87"/>
        <v>398.85714285714283</v>
      </c>
      <c r="O568">
        <f t="shared" si="87"/>
        <v>544.33333333333337</v>
      </c>
      <c r="P568">
        <f t="shared" si="87"/>
        <v>140.75</v>
      </c>
      <c r="Q568">
        <f t="shared" si="87"/>
        <v>359.92857142857144</v>
      </c>
      <c r="R568">
        <f t="shared" si="87"/>
        <v>553.64285714285711</v>
      </c>
      <c r="S568">
        <f t="shared" si="87"/>
        <v>193.71428571428572</v>
      </c>
      <c r="T568">
        <f t="shared" si="87"/>
        <v>221.6357142857143</v>
      </c>
      <c r="U568">
        <f t="shared" si="87"/>
        <v>404.92857142857144</v>
      </c>
      <c r="V568">
        <f t="shared" si="87"/>
        <v>402.14285714285717</v>
      </c>
    </row>
    <row r="569" spans="1:24" hidden="1" outlineLevel="2" x14ac:dyDescent="0.25">
      <c r="A569" t="str">
        <f t="shared" ref="A569:A582" si="88">CONCATENATE(B569," - ",E569)</f>
        <v>AK6 - 2004</v>
      </c>
      <c r="B569" t="s">
        <v>33</v>
      </c>
      <c r="C569">
        <v>1</v>
      </c>
      <c r="D569">
        <v>19</v>
      </c>
      <c r="E569">
        <v>2004</v>
      </c>
      <c r="F569">
        <v>190.5</v>
      </c>
      <c r="G569">
        <v>4.5</v>
      </c>
      <c r="H569">
        <v>3</v>
      </c>
      <c r="I569">
        <v>1.5</v>
      </c>
      <c r="J569">
        <v>33</v>
      </c>
      <c r="K569">
        <v>53.2</v>
      </c>
      <c r="L569">
        <v>1140.0999999999999</v>
      </c>
      <c r="M569">
        <v>473</v>
      </c>
      <c r="N569">
        <v>416</v>
      </c>
      <c r="O569">
        <v>585</v>
      </c>
      <c r="P569">
        <v>169</v>
      </c>
      <c r="Q569">
        <v>360</v>
      </c>
      <c r="R569">
        <v>623</v>
      </c>
      <c r="S569">
        <v>263</v>
      </c>
      <c r="T569">
        <v>211.8</v>
      </c>
      <c r="U569">
        <v>420</v>
      </c>
      <c r="V569">
        <v>413</v>
      </c>
      <c r="W569">
        <v>500</v>
      </c>
      <c r="X569">
        <v>2.79</v>
      </c>
    </row>
    <row r="570" spans="1:24" hidden="1" outlineLevel="2" x14ac:dyDescent="0.25">
      <c r="A570" t="str">
        <f t="shared" si="88"/>
        <v>AK6 - 2004</v>
      </c>
      <c r="B570" t="s">
        <v>33</v>
      </c>
      <c r="C570">
        <v>2</v>
      </c>
      <c r="D570">
        <v>20</v>
      </c>
      <c r="E570">
        <v>2004</v>
      </c>
      <c r="F570">
        <v>189.4</v>
      </c>
      <c r="G570">
        <v>2.4</v>
      </c>
      <c r="H570">
        <v>1.8</v>
      </c>
      <c r="I570">
        <v>0.6</v>
      </c>
      <c r="J570">
        <v>24</v>
      </c>
      <c r="K570">
        <v>28.4</v>
      </c>
      <c r="L570">
        <v>1127</v>
      </c>
      <c r="M570">
        <v>437</v>
      </c>
      <c r="N570">
        <v>400</v>
      </c>
      <c r="O570">
        <v>546</v>
      </c>
      <c r="P570">
        <v>146</v>
      </c>
      <c r="Q570">
        <v>372</v>
      </c>
      <c r="R570">
        <v>556</v>
      </c>
      <c r="S570">
        <v>184</v>
      </c>
      <c r="T570">
        <v>193.8</v>
      </c>
      <c r="U570">
        <v>412</v>
      </c>
      <c r="V570">
        <v>396</v>
      </c>
      <c r="W570">
        <v>500</v>
      </c>
      <c r="X570">
        <v>2.79</v>
      </c>
    </row>
    <row r="571" spans="1:24" hidden="1" outlineLevel="2" x14ac:dyDescent="0.25">
      <c r="A571" t="str">
        <f t="shared" si="88"/>
        <v>AK6 - 2004</v>
      </c>
      <c r="B571" t="s">
        <v>33</v>
      </c>
      <c r="C571">
        <v>3</v>
      </c>
      <c r="D571">
        <v>20</v>
      </c>
      <c r="E571">
        <v>2004</v>
      </c>
      <c r="F571">
        <v>228.4</v>
      </c>
      <c r="G571">
        <v>6.6</v>
      </c>
      <c r="H571">
        <v>5.0999999999999996</v>
      </c>
      <c r="I571">
        <v>1.5</v>
      </c>
      <c r="J571">
        <v>22</v>
      </c>
      <c r="K571">
        <v>93.3</v>
      </c>
      <c r="L571">
        <v>1638.9</v>
      </c>
      <c r="M571">
        <v>425</v>
      </c>
      <c r="N571">
        <v>393</v>
      </c>
      <c r="O571">
        <v>534</v>
      </c>
      <c r="P571">
        <v>141</v>
      </c>
      <c r="Q571">
        <v>338</v>
      </c>
      <c r="R571">
        <v>555</v>
      </c>
      <c r="S571">
        <v>217</v>
      </c>
      <c r="T571">
        <v>261.89999999999998</v>
      </c>
      <c r="U571">
        <v>404</v>
      </c>
      <c r="V571">
        <v>407</v>
      </c>
      <c r="W571">
        <v>500</v>
      </c>
      <c r="X571">
        <v>2.79</v>
      </c>
    </row>
    <row r="572" spans="1:24" hidden="1" outlineLevel="2" x14ac:dyDescent="0.25">
      <c r="A572" t="str">
        <f t="shared" si="88"/>
        <v>AK6 - 2004</v>
      </c>
      <c r="B572" t="s">
        <v>33</v>
      </c>
      <c r="C572">
        <v>4</v>
      </c>
      <c r="D572">
        <v>19</v>
      </c>
      <c r="E572">
        <v>2004</v>
      </c>
      <c r="F572">
        <v>152.1</v>
      </c>
      <c r="G572">
        <v>3.3</v>
      </c>
      <c r="H572">
        <v>3</v>
      </c>
      <c r="I572">
        <v>0.3</v>
      </c>
      <c r="J572">
        <v>9</v>
      </c>
      <c r="K572">
        <v>31.2</v>
      </c>
      <c r="L572">
        <v>726.8</v>
      </c>
      <c r="M572">
        <v>420</v>
      </c>
      <c r="N572">
        <v>402</v>
      </c>
      <c r="O572">
        <v>601</v>
      </c>
      <c r="P572">
        <v>199</v>
      </c>
      <c r="Q572">
        <v>359</v>
      </c>
      <c r="R572">
        <v>601</v>
      </c>
      <c r="S572">
        <v>242</v>
      </c>
      <c r="T572">
        <v>166.8</v>
      </c>
      <c r="U572">
        <v>412</v>
      </c>
      <c r="V572">
        <v>409</v>
      </c>
      <c r="W572">
        <v>500</v>
      </c>
      <c r="X572">
        <v>2.79</v>
      </c>
    </row>
    <row r="573" spans="1:24" hidden="1" outlineLevel="2" x14ac:dyDescent="0.25">
      <c r="A573" t="str">
        <f t="shared" si="88"/>
        <v>AK6 - 2004</v>
      </c>
      <c r="B573" t="s">
        <v>33</v>
      </c>
      <c r="C573">
        <v>5</v>
      </c>
      <c r="D573">
        <v>19</v>
      </c>
      <c r="E573">
        <v>2004</v>
      </c>
      <c r="F573">
        <v>212.2</v>
      </c>
      <c r="G573">
        <v>3</v>
      </c>
      <c r="H573">
        <v>2.1</v>
      </c>
      <c r="I573">
        <v>0.9</v>
      </c>
      <c r="J573">
        <v>30</v>
      </c>
      <c r="K573">
        <v>39.700000000000003</v>
      </c>
      <c r="L573">
        <v>1414.6</v>
      </c>
      <c r="M573">
        <v>452</v>
      </c>
      <c r="N573">
        <v>410</v>
      </c>
      <c r="O573">
        <v>549</v>
      </c>
      <c r="P573">
        <v>139</v>
      </c>
      <c r="Q573">
        <v>332</v>
      </c>
      <c r="R573">
        <v>587</v>
      </c>
      <c r="S573">
        <v>255</v>
      </c>
      <c r="T573">
        <v>224.7</v>
      </c>
      <c r="U573">
        <v>390</v>
      </c>
      <c r="V573">
        <v>376</v>
      </c>
      <c r="W573">
        <v>500</v>
      </c>
      <c r="X573">
        <v>2.79</v>
      </c>
    </row>
    <row r="574" spans="1:24" hidden="1" outlineLevel="2" x14ac:dyDescent="0.25">
      <c r="A574" t="str">
        <f t="shared" si="88"/>
        <v>AK6 - 2004</v>
      </c>
      <c r="B574" t="s">
        <v>33</v>
      </c>
      <c r="C574">
        <v>6</v>
      </c>
      <c r="D574">
        <v>20</v>
      </c>
      <c r="E574">
        <v>2004</v>
      </c>
      <c r="F574">
        <v>245</v>
      </c>
      <c r="G574">
        <v>8.6999999999999993</v>
      </c>
      <c r="H574">
        <v>6.3</v>
      </c>
      <c r="I574">
        <v>2.4</v>
      </c>
      <c r="J574">
        <v>27</v>
      </c>
      <c r="K574">
        <v>131.5</v>
      </c>
      <c r="L574">
        <v>1885.7</v>
      </c>
      <c r="M574">
        <v>444</v>
      </c>
      <c r="N574">
        <v>401</v>
      </c>
      <c r="O574">
        <v>556</v>
      </c>
      <c r="P574">
        <v>155</v>
      </c>
      <c r="Q574">
        <v>356</v>
      </c>
      <c r="R574">
        <v>594</v>
      </c>
      <c r="S574">
        <v>238</v>
      </c>
      <c r="T574">
        <v>282</v>
      </c>
      <c r="U574">
        <v>406</v>
      </c>
      <c r="V574">
        <v>411</v>
      </c>
      <c r="W574">
        <v>500</v>
      </c>
      <c r="X574">
        <v>2.79</v>
      </c>
    </row>
    <row r="575" spans="1:24" hidden="1" outlineLevel="2" x14ac:dyDescent="0.25">
      <c r="A575" t="str">
        <f t="shared" si="88"/>
        <v>AK6 - 2004</v>
      </c>
      <c r="B575" t="s">
        <v>33</v>
      </c>
      <c r="C575">
        <v>7</v>
      </c>
      <c r="D575">
        <v>20</v>
      </c>
      <c r="E575">
        <v>2004</v>
      </c>
      <c r="F575">
        <v>191.5</v>
      </c>
      <c r="G575">
        <v>7.2</v>
      </c>
      <c r="H575">
        <v>6</v>
      </c>
      <c r="I575">
        <v>1.2</v>
      </c>
      <c r="J575">
        <v>16</v>
      </c>
      <c r="K575">
        <v>85</v>
      </c>
      <c r="L575">
        <v>1152.0999999999999</v>
      </c>
      <c r="M575">
        <v>433</v>
      </c>
      <c r="N575">
        <v>407</v>
      </c>
      <c r="O575">
        <v>562</v>
      </c>
      <c r="P575">
        <v>155</v>
      </c>
      <c r="Q575">
        <v>342</v>
      </c>
      <c r="R575">
        <v>597</v>
      </c>
      <c r="S575">
        <v>255</v>
      </c>
      <c r="T575">
        <v>220.2</v>
      </c>
      <c r="U575">
        <v>418</v>
      </c>
      <c r="V575">
        <v>420</v>
      </c>
      <c r="W575">
        <v>500</v>
      </c>
      <c r="X575">
        <v>2.79</v>
      </c>
    </row>
    <row r="576" spans="1:24" hidden="1" outlineLevel="2" x14ac:dyDescent="0.25">
      <c r="A576" t="str">
        <f t="shared" si="88"/>
        <v>AK6 - 2004</v>
      </c>
      <c r="B576" t="s">
        <v>33</v>
      </c>
      <c r="C576">
        <v>8</v>
      </c>
      <c r="D576">
        <v>20</v>
      </c>
      <c r="E576">
        <v>2004</v>
      </c>
      <c r="F576">
        <v>200.1</v>
      </c>
      <c r="G576">
        <v>3.3</v>
      </c>
      <c r="H576">
        <v>3.3</v>
      </c>
      <c r="I576">
        <v>0</v>
      </c>
      <c r="J576">
        <v>0</v>
      </c>
      <c r="K576">
        <v>41.1</v>
      </c>
      <c r="L576">
        <v>1257.9000000000001</v>
      </c>
      <c r="M576">
        <v>329</v>
      </c>
      <c r="N576">
        <v>329</v>
      </c>
      <c r="Q576">
        <v>286</v>
      </c>
      <c r="R576">
        <v>496</v>
      </c>
      <c r="S576">
        <v>210</v>
      </c>
      <c r="T576">
        <v>222.3</v>
      </c>
      <c r="U576">
        <v>354</v>
      </c>
      <c r="V576">
        <v>355</v>
      </c>
      <c r="W576">
        <v>500</v>
      </c>
      <c r="X576">
        <v>2.79</v>
      </c>
    </row>
    <row r="577" spans="1:24" hidden="1" outlineLevel="2" x14ac:dyDescent="0.25">
      <c r="A577" t="str">
        <f t="shared" si="88"/>
        <v>AK6 - 2004</v>
      </c>
      <c r="B577" t="s">
        <v>33</v>
      </c>
      <c r="C577">
        <v>10</v>
      </c>
      <c r="D577">
        <v>20</v>
      </c>
      <c r="E577">
        <v>2004</v>
      </c>
      <c r="F577">
        <v>169.2</v>
      </c>
      <c r="G577">
        <v>4.8</v>
      </c>
      <c r="H577">
        <v>3.6</v>
      </c>
      <c r="I577">
        <v>1.2</v>
      </c>
      <c r="J577">
        <v>24</v>
      </c>
      <c r="K577">
        <v>50.3</v>
      </c>
      <c r="L577">
        <v>899.4</v>
      </c>
      <c r="M577">
        <v>447</v>
      </c>
      <c r="N577">
        <v>416</v>
      </c>
      <c r="O577">
        <v>541</v>
      </c>
      <c r="P577">
        <v>125</v>
      </c>
      <c r="Q577">
        <v>371</v>
      </c>
      <c r="R577">
        <v>572</v>
      </c>
      <c r="S577">
        <v>201</v>
      </c>
      <c r="T577">
        <v>188.1</v>
      </c>
      <c r="U577">
        <v>437</v>
      </c>
      <c r="V577">
        <v>439</v>
      </c>
      <c r="W577">
        <v>500</v>
      </c>
      <c r="X577">
        <v>2.79</v>
      </c>
    </row>
    <row r="578" spans="1:24" hidden="1" outlineLevel="2" x14ac:dyDescent="0.25">
      <c r="A578" t="str">
        <f t="shared" si="88"/>
        <v>AK6 - 2004</v>
      </c>
      <c r="B578" t="s">
        <v>33</v>
      </c>
      <c r="C578">
        <v>12</v>
      </c>
      <c r="D578">
        <v>20</v>
      </c>
      <c r="E578">
        <v>2004</v>
      </c>
      <c r="F578">
        <v>161.9</v>
      </c>
      <c r="G578">
        <v>4.8</v>
      </c>
      <c r="H578">
        <v>3.9</v>
      </c>
      <c r="I578">
        <v>0.9</v>
      </c>
      <c r="J578">
        <v>18</v>
      </c>
      <c r="K578">
        <v>48.1</v>
      </c>
      <c r="L578">
        <v>823.5</v>
      </c>
      <c r="M578">
        <v>457</v>
      </c>
      <c r="N578">
        <v>427</v>
      </c>
      <c r="O578">
        <v>591</v>
      </c>
      <c r="P578">
        <v>164</v>
      </c>
      <c r="Q578">
        <v>377</v>
      </c>
      <c r="R578">
        <v>609</v>
      </c>
      <c r="S578">
        <v>232</v>
      </c>
      <c r="T578">
        <v>189.3</v>
      </c>
      <c r="U578">
        <v>426</v>
      </c>
      <c r="V578">
        <v>428</v>
      </c>
      <c r="W578">
        <v>500</v>
      </c>
      <c r="X578">
        <v>2.79</v>
      </c>
    </row>
    <row r="579" spans="1:24" hidden="1" outlineLevel="2" x14ac:dyDescent="0.25">
      <c r="A579" t="str">
        <f t="shared" si="88"/>
        <v>AK6 - 2004</v>
      </c>
      <c r="B579" t="s">
        <v>33</v>
      </c>
      <c r="C579">
        <v>13</v>
      </c>
      <c r="D579">
        <v>19</v>
      </c>
      <c r="E579">
        <v>2004</v>
      </c>
      <c r="F579">
        <v>206.6</v>
      </c>
      <c r="G579">
        <v>2.7</v>
      </c>
      <c r="H579">
        <v>2.1</v>
      </c>
      <c r="I579">
        <v>0.6</v>
      </c>
      <c r="J579">
        <v>22</v>
      </c>
      <c r="K579">
        <v>34.799999999999997</v>
      </c>
      <c r="L579">
        <v>1340.9</v>
      </c>
      <c r="M579">
        <v>416</v>
      </c>
      <c r="N579">
        <v>381</v>
      </c>
      <c r="O579">
        <v>538</v>
      </c>
      <c r="P579">
        <v>157</v>
      </c>
      <c r="Q579">
        <v>338</v>
      </c>
      <c r="R579">
        <v>577</v>
      </c>
      <c r="S579">
        <v>239</v>
      </c>
      <c r="T579">
        <v>221.4</v>
      </c>
      <c r="U579">
        <v>380</v>
      </c>
      <c r="V579">
        <v>378</v>
      </c>
      <c r="W579">
        <v>500</v>
      </c>
      <c r="X579">
        <v>2.79</v>
      </c>
    </row>
    <row r="580" spans="1:24" hidden="1" outlineLevel="2" x14ac:dyDescent="0.25">
      <c r="A580" t="str">
        <f t="shared" si="88"/>
        <v>AK6 - 2004</v>
      </c>
      <c r="B580" t="s">
        <v>33</v>
      </c>
      <c r="C580">
        <v>15</v>
      </c>
      <c r="D580">
        <v>19</v>
      </c>
      <c r="E580">
        <v>2004</v>
      </c>
      <c r="F580">
        <v>224.5</v>
      </c>
      <c r="G580">
        <v>5.0999999999999996</v>
      </c>
      <c r="H580">
        <v>4.5</v>
      </c>
      <c r="I580">
        <v>0.6</v>
      </c>
      <c r="J580">
        <v>11</v>
      </c>
      <c r="K580">
        <v>71.099999999999994</v>
      </c>
      <c r="L580">
        <v>1583.4</v>
      </c>
      <c r="M580">
        <v>409</v>
      </c>
      <c r="N580">
        <v>394</v>
      </c>
      <c r="O580">
        <v>523</v>
      </c>
      <c r="P580">
        <v>129</v>
      </c>
      <c r="Q580">
        <v>346</v>
      </c>
      <c r="R580">
        <v>524</v>
      </c>
      <c r="S580">
        <v>178</v>
      </c>
      <c r="T580">
        <v>222.9</v>
      </c>
      <c r="U580">
        <v>390</v>
      </c>
      <c r="V580">
        <v>386</v>
      </c>
      <c r="W580">
        <v>500</v>
      </c>
      <c r="X580">
        <v>2.79</v>
      </c>
    </row>
    <row r="581" spans="1:24" hidden="1" outlineLevel="2" x14ac:dyDescent="0.25">
      <c r="A581" t="str">
        <f t="shared" si="88"/>
        <v>AK6 - 2004</v>
      </c>
      <c r="B581" t="s">
        <v>33</v>
      </c>
      <c r="C581">
        <v>14</v>
      </c>
      <c r="D581">
        <v>20</v>
      </c>
      <c r="E581">
        <v>2004</v>
      </c>
      <c r="F581">
        <v>264</v>
      </c>
      <c r="G581">
        <v>9.3000000000000007</v>
      </c>
      <c r="H581">
        <v>7.8</v>
      </c>
      <c r="I581">
        <v>1.5</v>
      </c>
      <c r="J581">
        <v>16</v>
      </c>
      <c r="K581">
        <v>151.5</v>
      </c>
      <c r="L581">
        <v>2189.6</v>
      </c>
      <c r="M581">
        <v>421</v>
      </c>
      <c r="N581">
        <v>400</v>
      </c>
      <c r="O581">
        <v>530</v>
      </c>
      <c r="P581">
        <v>130</v>
      </c>
      <c r="Q581">
        <v>320</v>
      </c>
      <c r="R581">
        <v>570</v>
      </c>
      <c r="S581">
        <v>250</v>
      </c>
      <c r="T581">
        <v>292.2</v>
      </c>
      <c r="U581">
        <v>398</v>
      </c>
      <c r="V581">
        <v>397</v>
      </c>
      <c r="W581">
        <v>500</v>
      </c>
      <c r="X581">
        <v>2.79</v>
      </c>
    </row>
    <row r="582" spans="1:24" hidden="1" outlineLevel="2" x14ac:dyDescent="0.25">
      <c r="A582" t="str">
        <f t="shared" si="88"/>
        <v>AK6 - 2004</v>
      </c>
      <c r="B582" t="s">
        <v>33</v>
      </c>
      <c r="C582" t="s">
        <v>35</v>
      </c>
      <c r="D582">
        <v>19</v>
      </c>
      <c r="E582">
        <v>2004</v>
      </c>
      <c r="F582">
        <v>188</v>
      </c>
      <c r="G582">
        <v>3.6</v>
      </c>
      <c r="H582">
        <v>2.1</v>
      </c>
      <c r="I582">
        <v>1.5</v>
      </c>
      <c r="J582">
        <v>41</v>
      </c>
      <c r="K582">
        <v>42.1</v>
      </c>
      <c r="L582">
        <v>1110.4000000000001</v>
      </c>
      <c r="M582">
        <v>487</v>
      </c>
      <c r="N582">
        <v>439</v>
      </c>
      <c r="O582">
        <v>555</v>
      </c>
      <c r="P582">
        <v>116</v>
      </c>
      <c r="Q582">
        <v>425</v>
      </c>
      <c r="R582">
        <v>598</v>
      </c>
      <c r="S582">
        <v>173</v>
      </c>
      <c r="T582">
        <v>205.5</v>
      </c>
      <c r="U582">
        <v>422</v>
      </c>
      <c r="V582">
        <v>415</v>
      </c>
      <c r="W582">
        <v>500</v>
      </c>
      <c r="X582">
        <v>2.79</v>
      </c>
    </row>
    <row r="583" spans="1:24" outlineLevel="1" collapsed="1" x14ac:dyDescent="0.25">
      <c r="A583" s="8" t="s">
        <v>80</v>
      </c>
      <c r="D583">
        <f t="shared" ref="D583:V583" si="89">SUBTOTAL(1,D569:D582)</f>
        <v>19.571428571428573</v>
      </c>
      <c r="E583">
        <f t="shared" si="89"/>
        <v>2004</v>
      </c>
      <c r="F583">
        <f t="shared" si="89"/>
        <v>201.67142857142858</v>
      </c>
      <c r="G583">
        <f t="shared" si="89"/>
        <v>4.95</v>
      </c>
      <c r="H583">
        <f t="shared" si="89"/>
        <v>3.8999999999999995</v>
      </c>
      <c r="I583">
        <f t="shared" si="89"/>
        <v>1.0499999999999998</v>
      </c>
      <c r="J583">
        <f t="shared" si="89"/>
        <v>20.928571428571427</v>
      </c>
      <c r="K583">
        <f t="shared" si="89"/>
        <v>64.378571428571419</v>
      </c>
      <c r="L583">
        <f t="shared" si="89"/>
        <v>1306.45</v>
      </c>
      <c r="M583">
        <f t="shared" si="89"/>
        <v>432.14285714285717</v>
      </c>
      <c r="N583">
        <f t="shared" si="89"/>
        <v>401.07142857142856</v>
      </c>
      <c r="O583">
        <f t="shared" si="89"/>
        <v>554.69230769230774</v>
      </c>
      <c r="P583">
        <f t="shared" si="89"/>
        <v>148.07692307692307</v>
      </c>
      <c r="Q583">
        <f t="shared" si="89"/>
        <v>351.57142857142856</v>
      </c>
      <c r="R583">
        <f t="shared" si="89"/>
        <v>575.64285714285711</v>
      </c>
      <c r="S583">
        <f t="shared" si="89"/>
        <v>224.07142857142858</v>
      </c>
      <c r="T583">
        <f t="shared" si="89"/>
        <v>221.6357142857143</v>
      </c>
      <c r="U583">
        <f t="shared" si="89"/>
        <v>404.92857142857144</v>
      </c>
      <c r="V583">
        <f t="shared" si="89"/>
        <v>402.14285714285717</v>
      </c>
    </row>
    <row r="584" spans="1:24" hidden="1" outlineLevel="2" x14ac:dyDescent="0.25">
      <c r="A584" t="str">
        <f t="shared" ref="A584:A597" si="90">CONCATENATE(B584," - ",E584)</f>
        <v>AK6 - 2005</v>
      </c>
      <c r="B584" t="s">
        <v>33</v>
      </c>
      <c r="C584">
        <v>1</v>
      </c>
      <c r="D584">
        <v>20</v>
      </c>
      <c r="E584">
        <v>2005</v>
      </c>
      <c r="F584">
        <v>195.3</v>
      </c>
      <c r="G584">
        <v>4.8</v>
      </c>
      <c r="H584">
        <v>3.3</v>
      </c>
      <c r="I584">
        <v>1.5</v>
      </c>
      <c r="J584">
        <v>31</v>
      </c>
      <c r="K584">
        <v>58.2</v>
      </c>
      <c r="L584">
        <v>1198.3</v>
      </c>
      <c r="M584">
        <v>471</v>
      </c>
      <c r="N584">
        <v>441</v>
      </c>
      <c r="O584">
        <v>537</v>
      </c>
      <c r="P584">
        <v>96</v>
      </c>
      <c r="Q584">
        <v>405</v>
      </c>
      <c r="R584">
        <v>569</v>
      </c>
      <c r="S584">
        <v>164</v>
      </c>
      <c r="T584">
        <v>211.8</v>
      </c>
      <c r="U584">
        <v>420</v>
      </c>
      <c r="V584">
        <v>413</v>
      </c>
      <c r="W584">
        <v>500</v>
      </c>
      <c r="X584">
        <v>2.79</v>
      </c>
    </row>
    <row r="585" spans="1:24" hidden="1" outlineLevel="2" x14ac:dyDescent="0.25">
      <c r="A585" t="str">
        <f t="shared" si="90"/>
        <v>AK6 - 2005</v>
      </c>
      <c r="B585" t="s">
        <v>33</v>
      </c>
      <c r="C585">
        <v>2</v>
      </c>
      <c r="D585">
        <v>21</v>
      </c>
      <c r="E585">
        <v>2005</v>
      </c>
      <c r="F585">
        <v>191.5</v>
      </c>
      <c r="G585">
        <v>2.1</v>
      </c>
      <c r="H585">
        <v>1.8</v>
      </c>
      <c r="I585">
        <v>0.3</v>
      </c>
      <c r="J585">
        <v>14</v>
      </c>
      <c r="K585">
        <v>25.1</v>
      </c>
      <c r="L585">
        <v>1152.0999999999999</v>
      </c>
      <c r="M585">
        <v>460</v>
      </c>
      <c r="N585">
        <v>445</v>
      </c>
      <c r="O585">
        <v>552</v>
      </c>
      <c r="P585">
        <v>107</v>
      </c>
      <c r="Q585">
        <v>418</v>
      </c>
      <c r="R585">
        <v>552</v>
      </c>
      <c r="S585">
        <v>134</v>
      </c>
      <c r="T585">
        <v>193.8</v>
      </c>
      <c r="U585">
        <v>412</v>
      </c>
      <c r="V585">
        <v>396</v>
      </c>
      <c r="W585">
        <v>500</v>
      </c>
      <c r="X585">
        <v>2.79</v>
      </c>
    </row>
    <row r="586" spans="1:24" hidden="1" outlineLevel="2" x14ac:dyDescent="0.25">
      <c r="A586" t="str">
        <f t="shared" si="90"/>
        <v>AK6 - 2005</v>
      </c>
      <c r="B586" t="s">
        <v>33</v>
      </c>
      <c r="C586">
        <v>3</v>
      </c>
      <c r="D586">
        <v>21</v>
      </c>
      <c r="E586">
        <v>2005</v>
      </c>
      <c r="F586">
        <v>235.3</v>
      </c>
      <c r="G586">
        <v>6.9</v>
      </c>
      <c r="H586">
        <v>6.9</v>
      </c>
      <c r="I586">
        <v>0</v>
      </c>
      <c r="J586">
        <v>0</v>
      </c>
      <c r="K586">
        <v>100.5</v>
      </c>
      <c r="L586">
        <v>1739.4</v>
      </c>
      <c r="M586">
        <v>401</v>
      </c>
      <c r="N586">
        <v>401</v>
      </c>
      <c r="Q586">
        <v>333</v>
      </c>
      <c r="R586">
        <v>492</v>
      </c>
      <c r="S586">
        <v>159</v>
      </c>
      <c r="T586">
        <v>261.89999999999998</v>
      </c>
      <c r="U586">
        <v>404</v>
      </c>
      <c r="V586">
        <v>407</v>
      </c>
      <c r="W586">
        <v>500</v>
      </c>
      <c r="X586">
        <v>2.79</v>
      </c>
    </row>
    <row r="587" spans="1:24" hidden="1" outlineLevel="2" x14ac:dyDescent="0.25">
      <c r="A587" t="str">
        <f t="shared" si="90"/>
        <v>AK6 - 2005</v>
      </c>
      <c r="B587" t="s">
        <v>33</v>
      </c>
      <c r="C587">
        <v>4</v>
      </c>
      <c r="D587">
        <v>20</v>
      </c>
      <c r="E587">
        <v>2005</v>
      </c>
      <c r="F587">
        <v>155.4</v>
      </c>
      <c r="G587">
        <v>3.3</v>
      </c>
      <c r="H587">
        <v>2.4</v>
      </c>
      <c r="I587">
        <v>0.9</v>
      </c>
      <c r="J587">
        <v>27</v>
      </c>
      <c r="K587">
        <v>31.9</v>
      </c>
      <c r="L587">
        <v>758.7</v>
      </c>
      <c r="M587">
        <v>443</v>
      </c>
      <c r="N587">
        <v>417</v>
      </c>
      <c r="O587">
        <v>514</v>
      </c>
      <c r="P587">
        <v>97</v>
      </c>
      <c r="Q587">
        <v>379</v>
      </c>
      <c r="R587">
        <v>533</v>
      </c>
      <c r="S587">
        <v>154</v>
      </c>
      <c r="T587">
        <v>166.8</v>
      </c>
      <c r="U587">
        <v>412</v>
      </c>
      <c r="V587">
        <v>409</v>
      </c>
      <c r="W587">
        <v>500</v>
      </c>
      <c r="X587">
        <v>2.79</v>
      </c>
    </row>
    <row r="588" spans="1:24" hidden="1" outlineLevel="2" x14ac:dyDescent="0.25">
      <c r="A588" t="str">
        <f t="shared" si="90"/>
        <v>AK6 - 2005</v>
      </c>
      <c r="B588" t="s">
        <v>33</v>
      </c>
      <c r="C588">
        <v>5</v>
      </c>
      <c r="D588">
        <v>20</v>
      </c>
      <c r="E588">
        <v>2005</v>
      </c>
      <c r="F588">
        <v>215.2</v>
      </c>
      <c r="G588">
        <v>3</v>
      </c>
      <c r="H588">
        <v>2.7</v>
      </c>
      <c r="I588">
        <v>0.3</v>
      </c>
      <c r="J588">
        <v>10</v>
      </c>
      <c r="K588">
        <v>40.299999999999997</v>
      </c>
      <c r="L588">
        <v>1454.9</v>
      </c>
      <c r="M588">
        <v>434</v>
      </c>
      <c r="N588">
        <v>424</v>
      </c>
      <c r="O588">
        <v>527</v>
      </c>
      <c r="P588">
        <v>103</v>
      </c>
      <c r="Q588">
        <v>381</v>
      </c>
      <c r="R588">
        <v>527</v>
      </c>
      <c r="S588">
        <v>146</v>
      </c>
      <c r="T588">
        <v>224.7</v>
      </c>
      <c r="U588">
        <v>390</v>
      </c>
      <c r="V588">
        <v>376</v>
      </c>
      <c r="W588">
        <v>500</v>
      </c>
      <c r="X588">
        <v>2.79</v>
      </c>
    </row>
    <row r="589" spans="1:24" hidden="1" outlineLevel="2" x14ac:dyDescent="0.25">
      <c r="A589" t="str">
        <f t="shared" si="90"/>
        <v>AK6 - 2005</v>
      </c>
      <c r="B589" t="s">
        <v>33</v>
      </c>
      <c r="C589">
        <v>6</v>
      </c>
      <c r="D589">
        <v>21</v>
      </c>
      <c r="E589">
        <v>2005</v>
      </c>
      <c r="F589">
        <v>251</v>
      </c>
      <c r="G589">
        <v>6</v>
      </c>
      <c r="H589">
        <v>4.8</v>
      </c>
      <c r="I589">
        <v>1.2</v>
      </c>
      <c r="J589">
        <v>20</v>
      </c>
      <c r="K589">
        <v>93.5</v>
      </c>
      <c r="L589">
        <v>1979.2</v>
      </c>
      <c r="M589">
        <v>446</v>
      </c>
      <c r="N589">
        <v>420</v>
      </c>
      <c r="O589">
        <v>553</v>
      </c>
      <c r="P589">
        <v>133</v>
      </c>
      <c r="Q589">
        <v>376</v>
      </c>
      <c r="R589">
        <v>601</v>
      </c>
      <c r="S589">
        <v>225</v>
      </c>
      <c r="T589">
        <v>282</v>
      </c>
      <c r="U589">
        <v>406</v>
      </c>
      <c r="V589">
        <v>411</v>
      </c>
      <c r="W589">
        <v>500</v>
      </c>
      <c r="X589">
        <v>2.79</v>
      </c>
    </row>
    <row r="590" spans="1:24" hidden="1" outlineLevel="2" x14ac:dyDescent="0.25">
      <c r="A590" t="str">
        <f t="shared" si="90"/>
        <v>AK6 - 2005</v>
      </c>
      <c r="B590" t="s">
        <v>33</v>
      </c>
      <c r="C590">
        <v>7</v>
      </c>
      <c r="D590">
        <v>21</v>
      </c>
      <c r="E590">
        <v>2005</v>
      </c>
      <c r="F590">
        <v>195.4</v>
      </c>
      <c r="G590">
        <v>3.9</v>
      </c>
      <c r="H590">
        <v>3.3</v>
      </c>
      <c r="I590">
        <v>0.6</v>
      </c>
      <c r="J590">
        <v>15</v>
      </c>
      <c r="K590">
        <v>47.4</v>
      </c>
      <c r="L590">
        <v>1199.5</v>
      </c>
      <c r="M590">
        <v>447</v>
      </c>
      <c r="N590">
        <v>433</v>
      </c>
      <c r="O590">
        <v>526</v>
      </c>
      <c r="P590">
        <v>93</v>
      </c>
      <c r="Q590">
        <v>378</v>
      </c>
      <c r="R590">
        <v>540</v>
      </c>
      <c r="S590">
        <v>162</v>
      </c>
      <c r="T590">
        <v>220.2</v>
      </c>
      <c r="U590">
        <v>418</v>
      </c>
      <c r="V590">
        <v>420</v>
      </c>
      <c r="W590">
        <v>500</v>
      </c>
      <c r="X590">
        <v>2.79</v>
      </c>
    </row>
    <row r="591" spans="1:24" hidden="1" outlineLevel="2" x14ac:dyDescent="0.25">
      <c r="A591" t="str">
        <f t="shared" si="90"/>
        <v>AK6 - 2005</v>
      </c>
      <c r="B591" t="s">
        <v>33</v>
      </c>
      <c r="C591">
        <v>8</v>
      </c>
      <c r="D591">
        <v>21</v>
      </c>
      <c r="E591">
        <v>2005</v>
      </c>
      <c r="F591">
        <v>203.4</v>
      </c>
      <c r="G591">
        <v>3.3</v>
      </c>
      <c r="H591">
        <v>3.3</v>
      </c>
      <c r="I591">
        <v>0</v>
      </c>
      <c r="J591">
        <v>0</v>
      </c>
      <c r="K591">
        <v>41.8</v>
      </c>
      <c r="L591">
        <v>1299.7</v>
      </c>
      <c r="M591">
        <v>324</v>
      </c>
      <c r="N591">
        <v>324</v>
      </c>
      <c r="Q591">
        <v>275</v>
      </c>
      <c r="R591">
        <v>417</v>
      </c>
      <c r="S591">
        <v>142</v>
      </c>
      <c r="T591">
        <v>222.3</v>
      </c>
      <c r="U591">
        <v>354</v>
      </c>
      <c r="V591">
        <v>355</v>
      </c>
      <c r="W591">
        <v>500</v>
      </c>
      <c r="X591">
        <v>2.79</v>
      </c>
    </row>
    <row r="592" spans="1:24" hidden="1" outlineLevel="2" x14ac:dyDescent="0.25">
      <c r="A592" t="str">
        <f t="shared" si="90"/>
        <v>AK6 - 2005</v>
      </c>
      <c r="B592" t="s">
        <v>33</v>
      </c>
      <c r="C592">
        <v>10</v>
      </c>
      <c r="D592">
        <v>21</v>
      </c>
      <c r="E592">
        <v>2005</v>
      </c>
      <c r="F592">
        <v>173.7</v>
      </c>
      <c r="G592">
        <v>4.5</v>
      </c>
      <c r="H592">
        <v>3.3</v>
      </c>
      <c r="I592">
        <v>1.2</v>
      </c>
      <c r="J592">
        <v>26</v>
      </c>
      <c r="K592">
        <v>48.5</v>
      </c>
      <c r="L592">
        <v>947.9</v>
      </c>
      <c r="M592">
        <v>476</v>
      </c>
      <c r="N592">
        <v>450</v>
      </c>
      <c r="O592">
        <v>548</v>
      </c>
      <c r="P592">
        <v>98</v>
      </c>
      <c r="Q592">
        <v>413</v>
      </c>
      <c r="R592">
        <v>564</v>
      </c>
      <c r="S592">
        <v>151</v>
      </c>
      <c r="T592">
        <v>188.1</v>
      </c>
      <c r="U592">
        <v>437</v>
      </c>
      <c r="V592">
        <v>439</v>
      </c>
      <c r="W592">
        <v>500</v>
      </c>
      <c r="X592">
        <v>2.79</v>
      </c>
    </row>
    <row r="593" spans="1:24" hidden="1" outlineLevel="2" x14ac:dyDescent="0.25">
      <c r="A593" t="str">
        <f t="shared" si="90"/>
        <v>AK6 - 2005</v>
      </c>
      <c r="B593" t="s">
        <v>33</v>
      </c>
      <c r="C593">
        <v>12</v>
      </c>
      <c r="D593">
        <v>21</v>
      </c>
      <c r="E593">
        <v>2005</v>
      </c>
      <c r="F593">
        <v>166.4</v>
      </c>
      <c r="G593">
        <v>4.5</v>
      </c>
      <c r="H593">
        <v>4.2</v>
      </c>
      <c r="I593">
        <v>0.3</v>
      </c>
      <c r="J593">
        <v>6</v>
      </c>
      <c r="K593">
        <v>46.4</v>
      </c>
      <c r="L593">
        <v>869.9</v>
      </c>
      <c r="M593">
        <v>440</v>
      </c>
      <c r="N593">
        <v>432</v>
      </c>
      <c r="O593">
        <v>550</v>
      </c>
      <c r="P593">
        <v>118</v>
      </c>
      <c r="Q593">
        <v>387</v>
      </c>
      <c r="R593">
        <v>550</v>
      </c>
      <c r="S593">
        <v>163</v>
      </c>
      <c r="T593">
        <v>189.3</v>
      </c>
      <c r="U593">
        <v>426</v>
      </c>
      <c r="V593">
        <v>428</v>
      </c>
      <c r="W593">
        <v>500</v>
      </c>
      <c r="X593">
        <v>2.79</v>
      </c>
    </row>
    <row r="594" spans="1:24" hidden="1" outlineLevel="2" x14ac:dyDescent="0.25">
      <c r="A594" t="str">
        <f t="shared" si="90"/>
        <v>AK6 - 2005</v>
      </c>
      <c r="B594" t="s">
        <v>33</v>
      </c>
      <c r="C594">
        <v>13</v>
      </c>
      <c r="D594">
        <v>20</v>
      </c>
      <c r="E594">
        <v>2005</v>
      </c>
      <c r="F594">
        <v>210.2</v>
      </c>
      <c r="G594">
        <v>3.6</v>
      </c>
      <c r="H594">
        <v>3</v>
      </c>
      <c r="I594">
        <v>0.6</v>
      </c>
      <c r="J594">
        <v>16</v>
      </c>
      <c r="K594">
        <v>47.1</v>
      </c>
      <c r="L594">
        <v>1388.1</v>
      </c>
      <c r="M594">
        <v>421</v>
      </c>
      <c r="N594">
        <v>399</v>
      </c>
      <c r="O594">
        <v>528</v>
      </c>
      <c r="P594">
        <v>129</v>
      </c>
      <c r="Q594">
        <v>343</v>
      </c>
      <c r="R594">
        <v>547</v>
      </c>
      <c r="S594">
        <v>204</v>
      </c>
      <c r="T594">
        <v>221.4</v>
      </c>
      <c r="U594">
        <v>380</v>
      </c>
      <c r="V594">
        <v>378</v>
      </c>
      <c r="W594">
        <v>500</v>
      </c>
      <c r="X594">
        <v>2.79</v>
      </c>
    </row>
    <row r="595" spans="1:24" hidden="1" outlineLevel="2" x14ac:dyDescent="0.25">
      <c r="A595" t="str">
        <f t="shared" si="90"/>
        <v>AK6 - 2005</v>
      </c>
      <c r="B595" t="s">
        <v>33</v>
      </c>
      <c r="C595">
        <v>15</v>
      </c>
      <c r="D595">
        <v>20</v>
      </c>
      <c r="E595">
        <v>2005</v>
      </c>
      <c r="F595">
        <v>229</v>
      </c>
      <c r="G595">
        <v>4.5</v>
      </c>
      <c r="H595">
        <v>4.2</v>
      </c>
      <c r="I595">
        <v>0.3</v>
      </c>
      <c r="J595">
        <v>6</v>
      </c>
      <c r="K595">
        <v>64.099999999999994</v>
      </c>
      <c r="L595">
        <v>1647.5</v>
      </c>
      <c r="M595">
        <v>412</v>
      </c>
      <c r="N595">
        <v>405</v>
      </c>
      <c r="O595">
        <v>517</v>
      </c>
      <c r="P595">
        <v>112</v>
      </c>
      <c r="Q595">
        <v>334</v>
      </c>
      <c r="R595">
        <v>517</v>
      </c>
      <c r="S595">
        <v>183</v>
      </c>
      <c r="T595">
        <v>222.9</v>
      </c>
      <c r="U595">
        <v>390</v>
      </c>
      <c r="V595">
        <v>386</v>
      </c>
      <c r="W595">
        <v>500</v>
      </c>
      <c r="X595">
        <v>2.79</v>
      </c>
    </row>
    <row r="596" spans="1:24" hidden="1" outlineLevel="2" x14ac:dyDescent="0.25">
      <c r="A596" t="str">
        <f t="shared" si="90"/>
        <v>AK6 - 2005</v>
      </c>
      <c r="B596" t="s">
        <v>33</v>
      </c>
      <c r="C596">
        <v>14</v>
      </c>
      <c r="D596">
        <v>21</v>
      </c>
      <c r="E596">
        <v>2005</v>
      </c>
      <c r="F596">
        <v>272.39999999999998</v>
      </c>
      <c r="G596">
        <v>8.4</v>
      </c>
      <c r="H596">
        <v>6.9</v>
      </c>
      <c r="I596">
        <v>1.5</v>
      </c>
      <c r="J596">
        <v>17</v>
      </c>
      <c r="K596">
        <v>141.6</v>
      </c>
      <c r="L596">
        <v>2331.1</v>
      </c>
      <c r="M596">
        <v>422</v>
      </c>
      <c r="N596">
        <v>393</v>
      </c>
      <c r="O596">
        <v>556</v>
      </c>
      <c r="P596">
        <v>163</v>
      </c>
      <c r="Q596">
        <v>342</v>
      </c>
      <c r="R596">
        <v>589</v>
      </c>
      <c r="S596">
        <v>247</v>
      </c>
      <c r="T596">
        <v>292.2</v>
      </c>
      <c r="U596">
        <v>398</v>
      </c>
      <c r="V596">
        <v>397</v>
      </c>
      <c r="W596">
        <v>500</v>
      </c>
      <c r="X596">
        <v>2.79</v>
      </c>
    </row>
    <row r="597" spans="1:24" hidden="1" outlineLevel="2" x14ac:dyDescent="0.25">
      <c r="A597" t="str">
        <f t="shared" si="90"/>
        <v>AK6 - 2005</v>
      </c>
      <c r="B597" t="s">
        <v>33</v>
      </c>
      <c r="C597" t="s">
        <v>35</v>
      </c>
      <c r="D597">
        <v>20</v>
      </c>
      <c r="E597">
        <v>2005</v>
      </c>
      <c r="F597">
        <v>191.3</v>
      </c>
      <c r="G597">
        <v>3.3</v>
      </c>
      <c r="H597">
        <v>1.8</v>
      </c>
      <c r="I597">
        <v>1.5</v>
      </c>
      <c r="J597">
        <v>45</v>
      </c>
      <c r="K597">
        <v>39.299999999999997</v>
      </c>
      <c r="L597">
        <v>1149.7</v>
      </c>
      <c r="M597">
        <v>476</v>
      </c>
      <c r="N597">
        <v>439</v>
      </c>
      <c r="O597">
        <v>521</v>
      </c>
      <c r="P597">
        <v>82</v>
      </c>
      <c r="Q597">
        <v>398</v>
      </c>
      <c r="R597">
        <v>546</v>
      </c>
      <c r="S597">
        <v>148</v>
      </c>
      <c r="T597">
        <v>205.5</v>
      </c>
      <c r="U597">
        <v>422</v>
      </c>
      <c r="V597">
        <v>415</v>
      </c>
      <c r="W597">
        <v>500</v>
      </c>
      <c r="X597">
        <v>2.79</v>
      </c>
    </row>
    <row r="598" spans="1:24" outlineLevel="1" collapsed="1" x14ac:dyDescent="0.25">
      <c r="A598" s="8" t="s">
        <v>81</v>
      </c>
      <c r="D598">
        <f t="shared" ref="D598:V598" si="91">SUBTOTAL(1,D584:D597)</f>
        <v>20.571428571428573</v>
      </c>
      <c r="E598">
        <f t="shared" si="91"/>
        <v>2005</v>
      </c>
      <c r="F598">
        <f t="shared" si="91"/>
        <v>206.10714285714289</v>
      </c>
      <c r="G598">
        <f t="shared" si="91"/>
        <v>4.4357142857142851</v>
      </c>
      <c r="H598">
        <f t="shared" si="91"/>
        <v>3.7071428571428577</v>
      </c>
      <c r="I598">
        <f t="shared" si="91"/>
        <v>0.72857142857142854</v>
      </c>
      <c r="J598">
        <f t="shared" si="91"/>
        <v>16.642857142857142</v>
      </c>
      <c r="K598">
        <f t="shared" si="91"/>
        <v>58.978571428571435</v>
      </c>
      <c r="L598">
        <f t="shared" si="91"/>
        <v>1365.4285714285713</v>
      </c>
      <c r="M598">
        <f t="shared" si="91"/>
        <v>433.78571428571428</v>
      </c>
      <c r="N598">
        <f t="shared" si="91"/>
        <v>415.92857142857144</v>
      </c>
      <c r="O598">
        <f t="shared" si="91"/>
        <v>535.75</v>
      </c>
      <c r="P598">
        <f t="shared" si="91"/>
        <v>110.91666666666667</v>
      </c>
      <c r="Q598">
        <f t="shared" si="91"/>
        <v>368.71428571428572</v>
      </c>
      <c r="R598">
        <f t="shared" si="91"/>
        <v>538.85714285714289</v>
      </c>
      <c r="S598">
        <f t="shared" si="91"/>
        <v>170.14285714285714</v>
      </c>
      <c r="T598">
        <f t="shared" si="91"/>
        <v>221.6357142857143</v>
      </c>
      <c r="U598">
        <f t="shared" si="91"/>
        <v>404.92857142857144</v>
      </c>
      <c r="V598">
        <f t="shared" si="91"/>
        <v>402.14285714285717</v>
      </c>
    </row>
    <row r="599" spans="1:24" hidden="1" outlineLevel="2" x14ac:dyDescent="0.25">
      <c r="A599" t="str">
        <f t="shared" ref="A599:A612" si="92">CONCATENATE(B599," - ",E599)</f>
        <v>AK6 - 2006</v>
      </c>
      <c r="B599" t="s">
        <v>33</v>
      </c>
      <c r="C599">
        <v>1</v>
      </c>
      <c r="D599">
        <v>21</v>
      </c>
      <c r="E599">
        <v>2006</v>
      </c>
      <c r="F599">
        <v>199.5</v>
      </c>
      <c r="G599">
        <v>4.2</v>
      </c>
      <c r="H599">
        <v>2.7</v>
      </c>
      <c r="I599">
        <v>1.5</v>
      </c>
      <c r="J599">
        <v>35</v>
      </c>
      <c r="K599">
        <v>52.1</v>
      </c>
      <c r="L599">
        <v>1250.4000000000001</v>
      </c>
      <c r="M599">
        <v>440</v>
      </c>
      <c r="N599">
        <v>390</v>
      </c>
      <c r="O599">
        <v>531</v>
      </c>
      <c r="P599">
        <v>141</v>
      </c>
      <c r="Q599">
        <v>355</v>
      </c>
      <c r="R599">
        <v>552</v>
      </c>
      <c r="S599">
        <v>197</v>
      </c>
      <c r="T599">
        <v>211.8</v>
      </c>
      <c r="U599">
        <v>420</v>
      </c>
      <c r="V599">
        <v>413</v>
      </c>
      <c r="W599">
        <v>500</v>
      </c>
      <c r="X599">
        <v>2.79</v>
      </c>
    </row>
    <row r="600" spans="1:24" hidden="1" outlineLevel="2" x14ac:dyDescent="0.25">
      <c r="A600" t="str">
        <f t="shared" si="92"/>
        <v>AK6 - 2006</v>
      </c>
      <c r="B600" t="s">
        <v>33</v>
      </c>
      <c r="C600">
        <v>2</v>
      </c>
      <c r="D600">
        <v>22</v>
      </c>
      <c r="E600">
        <v>2006</v>
      </c>
      <c r="F600">
        <v>193.9</v>
      </c>
      <c r="G600">
        <v>2.4</v>
      </c>
      <c r="H600">
        <v>1.8</v>
      </c>
      <c r="I600">
        <v>0.6</v>
      </c>
      <c r="J600">
        <v>24</v>
      </c>
      <c r="K600">
        <v>29.1</v>
      </c>
      <c r="L600">
        <v>1181.2</v>
      </c>
      <c r="M600">
        <v>452</v>
      </c>
      <c r="N600">
        <v>425</v>
      </c>
      <c r="O600">
        <v>535</v>
      </c>
      <c r="P600">
        <v>110</v>
      </c>
      <c r="Q600">
        <v>352</v>
      </c>
      <c r="R600">
        <v>546</v>
      </c>
      <c r="S600">
        <v>194</v>
      </c>
      <c r="T600">
        <v>193.8</v>
      </c>
      <c r="U600">
        <v>412</v>
      </c>
      <c r="V600">
        <v>396</v>
      </c>
      <c r="W600">
        <v>500</v>
      </c>
      <c r="X600">
        <v>2.79</v>
      </c>
    </row>
    <row r="601" spans="1:24" hidden="1" outlineLevel="2" x14ac:dyDescent="0.25">
      <c r="A601" t="str">
        <f t="shared" si="92"/>
        <v>AK6 - 2006</v>
      </c>
      <c r="B601" t="s">
        <v>33</v>
      </c>
      <c r="C601">
        <v>3</v>
      </c>
      <c r="D601">
        <v>22</v>
      </c>
      <c r="E601">
        <v>2006</v>
      </c>
      <c r="F601">
        <v>239.8</v>
      </c>
      <c r="G601">
        <v>4.5</v>
      </c>
      <c r="H601">
        <v>4.5</v>
      </c>
      <c r="I601">
        <v>0</v>
      </c>
      <c r="J601">
        <v>0</v>
      </c>
      <c r="K601">
        <v>67.2</v>
      </c>
      <c r="L601">
        <v>1806.5</v>
      </c>
      <c r="M601">
        <v>398</v>
      </c>
      <c r="N601">
        <v>398</v>
      </c>
      <c r="Q601">
        <v>300</v>
      </c>
      <c r="R601">
        <v>462</v>
      </c>
      <c r="S601">
        <v>162</v>
      </c>
      <c r="T601">
        <v>261.89999999999998</v>
      </c>
      <c r="U601">
        <v>404</v>
      </c>
      <c r="V601">
        <v>407</v>
      </c>
      <c r="W601">
        <v>500</v>
      </c>
      <c r="X601">
        <v>2.79</v>
      </c>
    </row>
    <row r="602" spans="1:24" hidden="1" outlineLevel="2" x14ac:dyDescent="0.25">
      <c r="A602" t="str">
        <f t="shared" si="92"/>
        <v>AK6 - 2006</v>
      </c>
      <c r="B602" t="s">
        <v>33</v>
      </c>
      <c r="C602">
        <v>4</v>
      </c>
      <c r="D602">
        <v>21</v>
      </c>
      <c r="E602">
        <v>2006</v>
      </c>
      <c r="F602">
        <v>157.5</v>
      </c>
      <c r="G602">
        <v>2.1</v>
      </c>
      <c r="H602">
        <v>1.5</v>
      </c>
      <c r="I602">
        <v>0.6</v>
      </c>
      <c r="J602">
        <v>28</v>
      </c>
      <c r="K602">
        <v>20.6</v>
      </c>
      <c r="L602">
        <v>779.3</v>
      </c>
      <c r="M602">
        <v>461</v>
      </c>
      <c r="N602">
        <v>427</v>
      </c>
      <c r="O602">
        <v>544</v>
      </c>
      <c r="P602">
        <v>117</v>
      </c>
      <c r="Q602">
        <v>388</v>
      </c>
      <c r="R602">
        <v>582</v>
      </c>
      <c r="S602">
        <v>194</v>
      </c>
      <c r="T602">
        <v>166.8</v>
      </c>
      <c r="U602">
        <v>412</v>
      </c>
      <c r="V602">
        <v>409</v>
      </c>
      <c r="W602">
        <v>500</v>
      </c>
      <c r="X602">
        <v>2.79</v>
      </c>
    </row>
    <row r="603" spans="1:24" hidden="1" outlineLevel="2" x14ac:dyDescent="0.25">
      <c r="A603" t="str">
        <f t="shared" si="92"/>
        <v>AK6 - 2006</v>
      </c>
      <c r="B603" t="s">
        <v>33</v>
      </c>
      <c r="C603">
        <v>5</v>
      </c>
      <c r="D603">
        <v>21</v>
      </c>
      <c r="E603">
        <v>2006</v>
      </c>
      <c r="F603">
        <v>217.9</v>
      </c>
      <c r="G603">
        <v>2.7</v>
      </c>
      <c r="H603">
        <v>1.8</v>
      </c>
      <c r="I603">
        <v>0.9</v>
      </c>
      <c r="J603">
        <v>33</v>
      </c>
      <c r="K603">
        <v>36.700000000000003</v>
      </c>
      <c r="L603">
        <v>1491.6</v>
      </c>
      <c r="M603">
        <v>457</v>
      </c>
      <c r="N603">
        <v>425</v>
      </c>
      <c r="O603">
        <v>521</v>
      </c>
      <c r="P603">
        <v>96</v>
      </c>
      <c r="Q603">
        <v>371</v>
      </c>
      <c r="R603">
        <v>544</v>
      </c>
      <c r="S603">
        <v>173</v>
      </c>
      <c r="T603">
        <v>224.7</v>
      </c>
      <c r="U603">
        <v>390</v>
      </c>
      <c r="V603">
        <v>376</v>
      </c>
      <c r="W603">
        <v>500</v>
      </c>
      <c r="X603">
        <v>2.79</v>
      </c>
    </row>
    <row r="604" spans="1:24" hidden="1" outlineLevel="2" x14ac:dyDescent="0.25">
      <c r="A604" t="str">
        <f t="shared" si="92"/>
        <v>AK6 - 2006</v>
      </c>
      <c r="B604" t="s">
        <v>33</v>
      </c>
      <c r="C604">
        <v>6</v>
      </c>
      <c r="D604">
        <v>22</v>
      </c>
      <c r="E604">
        <v>2006</v>
      </c>
      <c r="F604">
        <v>255.5</v>
      </c>
      <c r="G604">
        <v>4.5</v>
      </c>
      <c r="H604">
        <v>3</v>
      </c>
      <c r="I604">
        <v>1.5</v>
      </c>
      <c r="J604">
        <v>33</v>
      </c>
      <c r="K604">
        <v>71.599999999999994</v>
      </c>
      <c r="L604">
        <v>2050.8000000000002</v>
      </c>
      <c r="M604">
        <v>459</v>
      </c>
      <c r="N604">
        <v>417</v>
      </c>
      <c r="O604">
        <v>542</v>
      </c>
      <c r="P604">
        <v>125</v>
      </c>
      <c r="Q604">
        <v>375</v>
      </c>
      <c r="R604">
        <v>588</v>
      </c>
      <c r="S604">
        <v>213</v>
      </c>
      <c r="T604">
        <v>282</v>
      </c>
      <c r="U604">
        <v>406</v>
      </c>
      <c r="V604">
        <v>411</v>
      </c>
      <c r="W604">
        <v>500</v>
      </c>
      <c r="X604">
        <v>2.79</v>
      </c>
    </row>
    <row r="605" spans="1:24" hidden="1" outlineLevel="2" x14ac:dyDescent="0.25">
      <c r="A605" t="str">
        <f t="shared" si="92"/>
        <v>AK6 - 2006</v>
      </c>
      <c r="B605" t="s">
        <v>33</v>
      </c>
      <c r="C605">
        <v>7</v>
      </c>
      <c r="D605">
        <v>22</v>
      </c>
      <c r="E605">
        <v>2006</v>
      </c>
      <c r="F605">
        <v>199.6</v>
      </c>
      <c r="G605">
        <v>4.2</v>
      </c>
      <c r="H605">
        <v>2.4</v>
      </c>
      <c r="I605">
        <v>1.8</v>
      </c>
      <c r="J605">
        <v>42</v>
      </c>
      <c r="K605">
        <v>52.1</v>
      </c>
      <c r="L605">
        <v>1251.5999999999999</v>
      </c>
      <c r="M605">
        <v>469</v>
      </c>
      <c r="N605">
        <v>411</v>
      </c>
      <c r="O605">
        <v>546</v>
      </c>
      <c r="P605">
        <v>135</v>
      </c>
      <c r="Q605">
        <v>355</v>
      </c>
      <c r="R605">
        <v>571</v>
      </c>
      <c r="S605">
        <v>216</v>
      </c>
      <c r="T605">
        <v>220.2</v>
      </c>
      <c r="U605">
        <v>418</v>
      </c>
      <c r="V605">
        <v>420</v>
      </c>
      <c r="W605">
        <v>500</v>
      </c>
      <c r="X605">
        <v>2.79</v>
      </c>
    </row>
    <row r="606" spans="1:24" hidden="1" outlineLevel="2" x14ac:dyDescent="0.25">
      <c r="A606" t="str">
        <f t="shared" si="92"/>
        <v>AK6 - 2006</v>
      </c>
      <c r="B606" t="s">
        <v>33</v>
      </c>
      <c r="C606">
        <v>8</v>
      </c>
      <c r="D606">
        <v>22</v>
      </c>
      <c r="E606">
        <v>2006</v>
      </c>
      <c r="F606">
        <v>205.5</v>
      </c>
      <c r="G606">
        <v>2.1</v>
      </c>
      <c r="H606">
        <v>2.1</v>
      </c>
      <c r="I606">
        <v>0</v>
      </c>
      <c r="J606">
        <v>0</v>
      </c>
      <c r="K606">
        <v>27</v>
      </c>
      <c r="L606">
        <v>1326.7</v>
      </c>
      <c r="M606">
        <v>357</v>
      </c>
      <c r="N606">
        <v>357</v>
      </c>
      <c r="Q606">
        <v>277</v>
      </c>
      <c r="R606">
        <v>462</v>
      </c>
      <c r="S606">
        <v>185</v>
      </c>
      <c r="T606">
        <v>222.3</v>
      </c>
      <c r="U606">
        <v>354</v>
      </c>
      <c r="V606">
        <v>355</v>
      </c>
      <c r="W606">
        <v>500</v>
      </c>
      <c r="X606">
        <v>2.79</v>
      </c>
    </row>
    <row r="607" spans="1:24" hidden="1" outlineLevel="2" x14ac:dyDescent="0.25">
      <c r="A607" t="str">
        <f t="shared" si="92"/>
        <v>AK6 - 2006</v>
      </c>
      <c r="B607" t="s">
        <v>33</v>
      </c>
      <c r="C607">
        <v>10</v>
      </c>
      <c r="D607">
        <v>22</v>
      </c>
      <c r="E607">
        <v>2006</v>
      </c>
      <c r="F607">
        <v>176.4</v>
      </c>
      <c r="G607">
        <v>2.7</v>
      </c>
      <c r="H607">
        <v>1.8</v>
      </c>
      <c r="I607">
        <v>0.9</v>
      </c>
      <c r="J607">
        <v>33</v>
      </c>
      <c r="K607">
        <v>29.7</v>
      </c>
      <c r="L607">
        <v>977.6</v>
      </c>
      <c r="M607">
        <v>482</v>
      </c>
      <c r="N607">
        <v>440</v>
      </c>
      <c r="O607">
        <v>566</v>
      </c>
      <c r="P607">
        <v>126</v>
      </c>
      <c r="Q607">
        <v>396</v>
      </c>
      <c r="R607">
        <v>605</v>
      </c>
      <c r="S607">
        <v>209</v>
      </c>
      <c r="T607">
        <v>188.1</v>
      </c>
      <c r="U607">
        <v>437</v>
      </c>
      <c r="V607">
        <v>439</v>
      </c>
      <c r="W607">
        <v>500</v>
      </c>
      <c r="X607">
        <v>2.79</v>
      </c>
    </row>
    <row r="608" spans="1:24" hidden="1" outlineLevel="2" x14ac:dyDescent="0.25">
      <c r="A608" t="str">
        <f t="shared" si="92"/>
        <v>AK6 - 2006</v>
      </c>
      <c r="B608" t="s">
        <v>33</v>
      </c>
      <c r="C608">
        <v>12</v>
      </c>
      <c r="D608">
        <v>22</v>
      </c>
      <c r="E608">
        <v>2006</v>
      </c>
      <c r="F608">
        <v>170</v>
      </c>
      <c r="G608">
        <v>3.6</v>
      </c>
      <c r="H608">
        <v>2.1</v>
      </c>
      <c r="I608">
        <v>1.5</v>
      </c>
      <c r="J608">
        <v>41</v>
      </c>
      <c r="K608">
        <v>38</v>
      </c>
      <c r="L608">
        <v>907.9</v>
      </c>
      <c r="M608">
        <v>471</v>
      </c>
      <c r="N608">
        <v>420</v>
      </c>
      <c r="O608">
        <v>542</v>
      </c>
      <c r="P608">
        <v>122</v>
      </c>
      <c r="Q608">
        <v>386</v>
      </c>
      <c r="R608">
        <v>588</v>
      </c>
      <c r="S608">
        <v>202</v>
      </c>
      <c r="T608">
        <v>189.3</v>
      </c>
      <c r="U608">
        <v>426</v>
      </c>
      <c r="V608">
        <v>428</v>
      </c>
      <c r="W608">
        <v>500</v>
      </c>
      <c r="X608">
        <v>2.79</v>
      </c>
    </row>
    <row r="609" spans="1:24" hidden="1" outlineLevel="2" x14ac:dyDescent="0.25">
      <c r="A609" t="str">
        <f t="shared" si="92"/>
        <v>AK6 - 2006</v>
      </c>
      <c r="B609" t="s">
        <v>33</v>
      </c>
      <c r="C609">
        <v>13</v>
      </c>
      <c r="D609">
        <v>21</v>
      </c>
      <c r="E609">
        <v>2006</v>
      </c>
      <c r="F609">
        <v>214.1</v>
      </c>
      <c r="G609">
        <v>3.9</v>
      </c>
      <c r="H609">
        <v>3.3</v>
      </c>
      <c r="I609">
        <v>0.6</v>
      </c>
      <c r="J609">
        <v>15</v>
      </c>
      <c r="K609">
        <v>52</v>
      </c>
      <c r="L609">
        <v>1440.1</v>
      </c>
      <c r="M609">
        <v>421</v>
      </c>
      <c r="N609">
        <v>396</v>
      </c>
      <c r="O609">
        <v>558</v>
      </c>
      <c r="P609">
        <v>162</v>
      </c>
      <c r="Q609">
        <v>327</v>
      </c>
      <c r="R609">
        <v>565</v>
      </c>
      <c r="S609">
        <v>238</v>
      </c>
      <c r="T609">
        <v>221.4</v>
      </c>
      <c r="U609">
        <v>380</v>
      </c>
      <c r="V609">
        <v>378</v>
      </c>
      <c r="W609">
        <v>500</v>
      </c>
      <c r="X609">
        <v>2.79</v>
      </c>
    </row>
    <row r="610" spans="1:24" hidden="1" outlineLevel="2" x14ac:dyDescent="0.25">
      <c r="A610" t="str">
        <f t="shared" si="92"/>
        <v>AK6 - 2006</v>
      </c>
      <c r="B610" t="s">
        <v>33</v>
      </c>
      <c r="C610">
        <v>15</v>
      </c>
      <c r="D610">
        <v>21</v>
      </c>
      <c r="E610">
        <v>2006</v>
      </c>
      <c r="F610">
        <v>232.6</v>
      </c>
      <c r="G610">
        <v>3.6</v>
      </c>
      <c r="H610">
        <v>3.6</v>
      </c>
      <c r="I610">
        <v>0</v>
      </c>
      <c r="J610">
        <v>0</v>
      </c>
      <c r="K610">
        <v>52.2</v>
      </c>
      <c r="L610">
        <v>1699.7</v>
      </c>
      <c r="M610">
        <v>388</v>
      </c>
      <c r="N610">
        <v>388</v>
      </c>
      <c r="Q610">
        <v>311</v>
      </c>
      <c r="R610">
        <v>429</v>
      </c>
      <c r="S610">
        <v>118</v>
      </c>
      <c r="T610">
        <v>222.9</v>
      </c>
      <c r="U610">
        <v>390</v>
      </c>
      <c r="V610">
        <v>386</v>
      </c>
      <c r="W610">
        <v>500</v>
      </c>
      <c r="X610">
        <v>2.79</v>
      </c>
    </row>
    <row r="611" spans="1:24" hidden="1" outlineLevel="2" x14ac:dyDescent="0.25">
      <c r="A611" t="str">
        <f t="shared" si="92"/>
        <v>AK6 - 2006</v>
      </c>
      <c r="B611" t="s">
        <v>33</v>
      </c>
      <c r="C611">
        <v>14</v>
      </c>
      <c r="D611">
        <v>22</v>
      </c>
      <c r="E611">
        <v>2006</v>
      </c>
      <c r="F611">
        <v>279</v>
      </c>
      <c r="G611">
        <v>6.6</v>
      </c>
      <c r="H611">
        <v>4.5</v>
      </c>
      <c r="I611">
        <v>2.1</v>
      </c>
      <c r="J611">
        <v>31</v>
      </c>
      <c r="K611">
        <v>114.3</v>
      </c>
      <c r="L611">
        <v>2445.4</v>
      </c>
      <c r="M611">
        <v>454</v>
      </c>
      <c r="N611">
        <v>408</v>
      </c>
      <c r="O611">
        <v>553</v>
      </c>
      <c r="P611">
        <v>145</v>
      </c>
      <c r="Q611">
        <v>360</v>
      </c>
      <c r="R611">
        <v>583</v>
      </c>
      <c r="S611">
        <v>223</v>
      </c>
      <c r="T611">
        <v>292.2</v>
      </c>
      <c r="U611">
        <v>398</v>
      </c>
      <c r="V611">
        <v>397</v>
      </c>
      <c r="W611">
        <v>500</v>
      </c>
      <c r="X611">
        <v>2.79</v>
      </c>
    </row>
    <row r="612" spans="1:24" hidden="1" outlineLevel="2" x14ac:dyDescent="0.25">
      <c r="A612" t="str">
        <f t="shared" si="92"/>
        <v>AK6 - 2006</v>
      </c>
      <c r="B612" t="s">
        <v>33</v>
      </c>
      <c r="C612" t="s">
        <v>35</v>
      </c>
      <c r="D612">
        <v>21</v>
      </c>
      <c r="E612">
        <v>2006</v>
      </c>
      <c r="F612">
        <v>194.9</v>
      </c>
      <c r="G612">
        <v>3.6</v>
      </c>
      <c r="H612">
        <v>3.3</v>
      </c>
      <c r="I612">
        <v>0.3</v>
      </c>
      <c r="J612">
        <v>8</v>
      </c>
      <c r="K612">
        <v>43.7</v>
      </c>
      <c r="L612">
        <v>1193.4000000000001</v>
      </c>
      <c r="M612">
        <v>449</v>
      </c>
      <c r="N612">
        <v>442</v>
      </c>
      <c r="O612">
        <v>525</v>
      </c>
      <c r="P612">
        <v>83</v>
      </c>
      <c r="Q612">
        <v>360</v>
      </c>
      <c r="R612">
        <v>525</v>
      </c>
      <c r="S612">
        <v>165</v>
      </c>
      <c r="T612">
        <v>205.5</v>
      </c>
      <c r="U612">
        <v>422</v>
      </c>
      <c r="V612">
        <v>415</v>
      </c>
      <c r="W612">
        <v>500</v>
      </c>
      <c r="X612">
        <v>2.79</v>
      </c>
    </row>
    <row r="613" spans="1:24" outlineLevel="1" collapsed="1" x14ac:dyDescent="0.25">
      <c r="A613" s="8" t="s">
        <v>82</v>
      </c>
      <c r="D613">
        <f t="shared" ref="D613:V613" si="93">SUBTOTAL(1,D599:D612)</f>
        <v>21.571428571428573</v>
      </c>
      <c r="E613">
        <f t="shared" si="93"/>
        <v>2006</v>
      </c>
      <c r="F613">
        <f t="shared" si="93"/>
        <v>209.72857142857143</v>
      </c>
      <c r="G613">
        <f t="shared" si="93"/>
        <v>3.6214285714285714</v>
      </c>
      <c r="H613">
        <f t="shared" si="93"/>
        <v>2.7428571428571433</v>
      </c>
      <c r="I613">
        <f t="shared" si="93"/>
        <v>0.87857142857142867</v>
      </c>
      <c r="J613">
        <f t="shared" si="93"/>
        <v>23.071428571428573</v>
      </c>
      <c r="K613">
        <f t="shared" si="93"/>
        <v>49.021428571428565</v>
      </c>
      <c r="L613">
        <f t="shared" si="93"/>
        <v>1414.4428571428575</v>
      </c>
      <c r="M613">
        <f t="shared" si="93"/>
        <v>439.85714285714283</v>
      </c>
      <c r="N613">
        <f t="shared" si="93"/>
        <v>410.28571428571428</v>
      </c>
      <c r="O613">
        <f t="shared" si="93"/>
        <v>542.09090909090912</v>
      </c>
      <c r="P613">
        <f t="shared" si="93"/>
        <v>123.81818181818181</v>
      </c>
      <c r="Q613">
        <f t="shared" si="93"/>
        <v>350.92857142857144</v>
      </c>
      <c r="R613">
        <f t="shared" si="93"/>
        <v>543</v>
      </c>
      <c r="S613">
        <f t="shared" si="93"/>
        <v>192.07142857142858</v>
      </c>
      <c r="T613">
        <f t="shared" si="93"/>
        <v>221.6357142857143</v>
      </c>
      <c r="U613">
        <f t="shared" si="93"/>
        <v>404.92857142857144</v>
      </c>
      <c r="V613">
        <f t="shared" si="93"/>
        <v>402.14285714285717</v>
      </c>
    </row>
    <row r="614" spans="1:24" hidden="1" outlineLevel="2" x14ac:dyDescent="0.25">
      <c r="A614" t="str">
        <f t="shared" ref="A614:A627" si="94">CONCATENATE(B614," - ",E614)</f>
        <v>AK6 - 2007</v>
      </c>
      <c r="B614" t="s">
        <v>33</v>
      </c>
      <c r="C614">
        <v>1</v>
      </c>
      <c r="D614">
        <v>22</v>
      </c>
      <c r="E614">
        <v>2007</v>
      </c>
      <c r="F614">
        <v>202.8</v>
      </c>
      <c r="G614">
        <v>3.3</v>
      </c>
      <c r="H614">
        <v>1.2</v>
      </c>
      <c r="I614">
        <v>2.1</v>
      </c>
      <c r="J614">
        <v>63</v>
      </c>
      <c r="K614">
        <v>41.7</v>
      </c>
      <c r="L614">
        <v>1292.0999999999999</v>
      </c>
      <c r="M614">
        <v>501</v>
      </c>
      <c r="N614">
        <v>406</v>
      </c>
      <c r="O614">
        <v>555</v>
      </c>
      <c r="P614">
        <v>149</v>
      </c>
      <c r="Q614">
        <v>374</v>
      </c>
      <c r="R614">
        <v>627</v>
      </c>
      <c r="S614">
        <v>253</v>
      </c>
      <c r="T614">
        <v>211.8</v>
      </c>
      <c r="U614">
        <v>420</v>
      </c>
      <c r="V614">
        <v>413</v>
      </c>
      <c r="W614">
        <v>500</v>
      </c>
      <c r="X614">
        <v>2.79</v>
      </c>
    </row>
    <row r="615" spans="1:24" hidden="1" outlineLevel="2" x14ac:dyDescent="0.25">
      <c r="A615" t="str">
        <f t="shared" si="94"/>
        <v>AK6 - 2007</v>
      </c>
      <c r="B615" t="s">
        <v>33</v>
      </c>
      <c r="C615">
        <v>2</v>
      </c>
      <c r="D615">
        <v>23</v>
      </c>
      <c r="E615">
        <v>2007</v>
      </c>
      <c r="F615">
        <v>196</v>
      </c>
      <c r="G615">
        <v>2.1</v>
      </c>
      <c r="H615">
        <v>1.2</v>
      </c>
      <c r="I615">
        <v>0.9</v>
      </c>
      <c r="J615">
        <v>42</v>
      </c>
      <c r="K615">
        <v>25.7</v>
      </c>
      <c r="L615">
        <v>1206.9000000000001</v>
      </c>
      <c r="M615">
        <v>467</v>
      </c>
      <c r="N615">
        <v>413</v>
      </c>
      <c r="O615">
        <v>541</v>
      </c>
      <c r="P615">
        <v>128</v>
      </c>
      <c r="Q615">
        <v>390</v>
      </c>
      <c r="R615">
        <v>575</v>
      </c>
      <c r="S615">
        <v>185</v>
      </c>
      <c r="T615">
        <v>193.8</v>
      </c>
      <c r="U615">
        <v>412</v>
      </c>
      <c r="V615">
        <v>396</v>
      </c>
      <c r="W615">
        <v>500</v>
      </c>
      <c r="X615">
        <v>2.79</v>
      </c>
    </row>
    <row r="616" spans="1:24" hidden="1" outlineLevel="2" x14ac:dyDescent="0.25">
      <c r="A616" t="str">
        <f t="shared" si="94"/>
        <v>AK6 - 2007</v>
      </c>
      <c r="B616" t="s">
        <v>33</v>
      </c>
      <c r="C616">
        <v>3</v>
      </c>
      <c r="D616">
        <v>23</v>
      </c>
      <c r="E616">
        <v>2007</v>
      </c>
      <c r="F616">
        <v>244</v>
      </c>
      <c r="G616">
        <v>4.2</v>
      </c>
      <c r="H616">
        <v>2.4</v>
      </c>
      <c r="I616">
        <v>1.8</v>
      </c>
      <c r="J616">
        <v>42</v>
      </c>
      <c r="K616">
        <v>63.8</v>
      </c>
      <c r="L616">
        <v>1870.4</v>
      </c>
      <c r="M616">
        <v>475</v>
      </c>
      <c r="N616">
        <v>423</v>
      </c>
      <c r="O616">
        <v>544</v>
      </c>
      <c r="P616">
        <v>121</v>
      </c>
      <c r="Q616">
        <v>360</v>
      </c>
      <c r="R616">
        <v>604</v>
      </c>
      <c r="S616">
        <v>244</v>
      </c>
      <c r="T616">
        <v>261.89999999999998</v>
      </c>
      <c r="U616">
        <v>404</v>
      </c>
      <c r="V616">
        <v>407</v>
      </c>
      <c r="W616">
        <v>500</v>
      </c>
      <c r="X616">
        <v>2.79</v>
      </c>
    </row>
    <row r="617" spans="1:24" hidden="1" outlineLevel="2" x14ac:dyDescent="0.25">
      <c r="A617" t="str">
        <f t="shared" si="94"/>
        <v>AK6 - 2007</v>
      </c>
      <c r="B617" t="s">
        <v>33</v>
      </c>
      <c r="C617">
        <v>4</v>
      </c>
      <c r="D617">
        <v>22</v>
      </c>
      <c r="E617">
        <v>2007</v>
      </c>
      <c r="F617">
        <v>160.19999999999999</v>
      </c>
      <c r="G617">
        <v>2.7</v>
      </c>
      <c r="H617">
        <v>1.2</v>
      </c>
      <c r="I617">
        <v>1.5</v>
      </c>
      <c r="J617">
        <v>55</v>
      </c>
      <c r="K617">
        <v>26.9</v>
      </c>
      <c r="L617">
        <v>806.3</v>
      </c>
      <c r="M617">
        <v>496</v>
      </c>
      <c r="N617">
        <v>425</v>
      </c>
      <c r="O617">
        <v>553</v>
      </c>
      <c r="P617">
        <v>128</v>
      </c>
      <c r="Q617">
        <v>397</v>
      </c>
      <c r="R617">
        <v>621</v>
      </c>
      <c r="S617">
        <v>224</v>
      </c>
      <c r="T617">
        <v>166.8</v>
      </c>
      <c r="U617">
        <v>412</v>
      </c>
      <c r="V617">
        <v>409</v>
      </c>
      <c r="W617">
        <v>500</v>
      </c>
      <c r="X617">
        <v>2.79</v>
      </c>
    </row>
    <row r="618" spans="1:24" hidden="1" outlineLevel="2" x14ac:dyDescent="0.25">
      <c r="A618" t="str">
        <f t="shared" si="94"/>
        <v>AK6 - 2007</v>
      </c>
      <c r="B618" t="s">
        <v>33</v>
      </c>
      <c r="C618">
        <v>5</v>
      </c>
      <c r="D618">
        <v>22</v>
      </c>
      <c r="E618">
        <v>2007</v>
      </c>
      <c r="F618">
        <v>220.9</v>
      </c>
      <c r="G618">
        <v>3</v>
      </c>
      <c r="H618">
        <v>2.1</v>
      </c>
      <c r="I618">
        <v>0.9</v>
      </c>
      <c r="J618">
        <v>30</v>
      </c>
      <c r="K618">
        <v>41.4</v>
      </c>
      <c r="L618">
        <v>1533</v>
      </c>
      <c r="M618">
        <v>449</v>
      </c>
      <c r="N618">
        <v>405</v>
      </c>
      <c r="O618">
        <v>553</v>
      </c>
      <c r="P618">
        <v>148</v>
      </c>
      <c r="Q618">
        <v>335</v>
      </c>
      <c r="R618">
        <v>591</v>
      </c>
      <c r="S618">
        <v>256</v>
      </c>
      <c r="T618">
        <v>224.7</v>
      </c>
      <c r="U618">
        <v>390</v>
      </c>
      <c r="V618">
        <v>376</v>
      </c>
      <c r="W618">
        <v>500</v>
      </c>
      <c r="X618">
        <v>2.79</v>
      </c>
    </row>
    <row r="619" spans="1:24" hidden="1" outlineLevel="2" x14ac:dyDescent="0.25">
      <c r="A619" t="str">
        <f t="shared" si="94"/>
        <v>AK6 - 2007</v>
      </c>
      <c r="B619" t="s">
        <v>33</v>
      </c>
      <c r="C619">
        <v>6</v>
      </c>
      <c r="D619">
        <v>23</v>
      </c>
      <c r="E619">
        <v>2007</v>
      </c>
      <c r="F619">
        <v>259.10000000000002</v>
      </c>
      <c r="G619">
        <v>3.6</v>
      </c>
      <c r="H619">
        <v>1.8</v>
      </c>
      <c r="I619">
        <v>1.8</v>
      </c>
      <c r="J619">
        <v>50</v>
      </c>
      <c r="K619">
        <v>58.2</v>
      </c>
      <c r="L619">
        <v>2109</v>
      </c>
      <c r="M619">
        <v>488</v>
      </c>
      <c r="N619">
        <v>433</v>
      </c>
      <c r="O619">
        <v>542</v>
      </c>
      <c r="P619">
        <v>109</v>
      </c>
      <c r="Q619">
        <v>384</v>
      </c>
      <c r="R619">
        <v>579</v>
      </c>
      <c r="S619">
        <v>195</v>
      </c>
      <c r="T619">
        <v>282</v>
      </c>
      <c r="U619">
        <v>406</v>
      </c>
      <c r="V619">
        <v>411</v>
      </c>
      <c r="W619">
        <v>500</v>
      </c>
      <c r="X619">
        <v>2.79</v>
      </c>
    </row>
    <row r="620" spans="1:24" hidden="1" outlineLevel="2" x14ac:dyDescent="0.25">
      <c r="A620" t="str">
        <f t="shared" si="94"/>
        <v>AK6 - 2007</v>
      </c>
      <c r="B620" t="s">
        <v>33</v>
      </c>
      <c r="C620">
        <v>7</v>
      </c>
      <c r="D620">
        <v>23</v>
      </c>
      <c r="E620">
        <v>2007</v>
      </c>
      <c r="F620">
        <v>207.7</v>
      </c>
      <c r="G620">
        <v>8.1</v>
      </c>
      <c r="H620">
        <v>2.1</v>
      </c>
      <c r="I620">
        <v>6</v>
      </c>
      <c r="J620">
        <v>74</v>
      </c>
      <c r="K620">
        <v>103.6</v>
      </c>
      <c r="L620">
        <v>1355.3</v>
      </c>
      <c r="M620">
        <v>512</v>
      </c>
      <c r="N620">
        <v>445</v>
      </c>
      <c r="O620">
        <v>536</v>
      </c>
      <c r="P620">
        <v>91</v>
      </c>
      <c r="Q620">
        <v>391</v>
      </c>
      <c r="R620">
        <v>586</v>
      </c>
      <c r="S620">
        <v>195</v>
      </c>
      <c r="T620">
        <v>220.2</v>
      </c>
      <c r="U620">
        <v>418</v>
      </c>
      <c r="V620">
        <v>420</v>
      </c>
      <c r="W620">
        <v>500</v>
      </c>
      <c r="X620">
        <v>2.79</v>
      </c>
    </row>
    <row r="621" spans="1:24" hidden="1" outlineLevel="2" x14ac:dyDescent="0.25">
      <c r="A621" t="str">
        <f t="shared" si="94"/>
        <v>AK6 - 2007</v>
      </c>
      <c r="B621" t="s">
        <v>33</v>
      </c>
      <c r="C621">
        <v>8</v>
      </c>
      <c r="D621">
        <v>23</v>
      </c>
      <c r="E621">
        <v>2007</v>
      </c>
      <c r="F621">
        <v>207.3</v>
      </c>
      <c r="G621">
        <v>1.8</v>
      </c>
      <c r="H621">
        <v>1.8</v>
      </c>
      <c r="I621">
        <v>0</v>
      </c>
      <c r="J621">
        <v>0</v>
      </c>
      <c r="K621">
        <v>23.3</v>
      </c>
      <c r="L621">
        <v>1350</v>
      </c>
      <c r="M621">
        <v>355</v>
      </c>
      <c r="N621">
        <v>355</v>
      </c>
      <c r="Q621">
        <v>306</v>
      </c>
      <c r="R621">
        <v>445</v>
      </c>
      <c r="S621">
        <v>139</v>
      </c>
      <c r="T621">
        <v>222.3</v>
      </c>
      <c r="U621">
        <v>354</v>
      </c>
      <c r="V621">
        <v>355</v>
      </c>
      <c r="W621">
        <v>500</v>
      </c>
      <c r="X621">
        <v>2.79</v>
      </c>
    </row>
    <row r="622" spans="1:24" hidden="1" outlineLevel="2" x14ac:dyDescent="0.25">
      <c r="A622" t="str">
        <f t="shared" si="94"/>
        <v>AK6 - 2007</v>
      </c>
      <c r="B622" t="s">
        <v>33</v>
      </c>
      <c r="C622">
        <v>10</v>
      </c>
      <c r="D622">
        <v>23</v>
      </c>
      <c r="E622">
        <v>2007</v>
      </c>
      <c r="F622">
        <v>179.1</v>
      </c>
      <c r="G622">
        <v>2.7</v>
      </c>
      <c r="H622">
        <v>1.5</v>
      </c>
      <c r="I622">
        <v>1.2</v>
      </c>
      <c r="J622">
        <v>44</v>
      </c>
      <c r="K622">
        <v>30.2</v>
      </c>
      <c r="L622">
        <v>1007.7</v>
      </c>
      <c r="M622">
        <v>505</v>
      </c>
      <c r="N622">
        <v>460</v>
      </c>
      <c r="O622">
        <v>563</v>
      </c>
      <c r="P622">
        <v>103</v>
      </c>
      <c r="Q622">
        <v>411</v>
      </c>
      <c r="R622">
        <v>601</v>
      </c>
      <c r="S622">
        <v>190</v>
      </c>
      <c r="T622">
        <v>188.1</v>
      </c>
      <c r="U622">
        <v>437</v>
      </c>
      <c r="V622">
        <v>439</v>
      </c>
      <c r="W622">
        <v>500</v>
      </c>
      <c r="X622">
        <v>2.79</v>
      </c>
    </row>
    <row r="623" spans="1:24" hidden="1" outlineLevel="2" x14ac:dyDescent="0.25">
      <c r="A623" t="str">
        <f t="shared" si="94"/>
        <v>AK6 - 2007</v>
      </c>
      <c r="B623" t="s">
        <v>33</v>
      </c>
      <c r="C623">
        <v>12</v>
      </c>
      <c r="D623">
        <v>23</v>
      </c>
      <c r="E623">
        <v>2007</v>
      </c>
      <c r="F623">
        <v>172.4</v>
      </c>
      <c r="G623">
        <v>2.4</v>
      </c>
      <c r="H623">
        <v>1.8</v>
      </c>
      <c r="I623">
        <v>0.6</v>
      </c>
      <c r="J623">
        <v>24</v>
      </c>
      <c r="K623">
        <v>25.8</v>
      </c>
      <c r="L623">
        <v>933.7</v>
      </c>
      <c r="M623">
        <v>461</v>
      </c>
      <c r="N623">
        <v>429</v>
      </c>
      <c r="O623">
        <v>558</v>
      </c>
      <c r="P623">
        <v>129</v>
      </c>
      <c r="Q623">
        <v>412</v>
      </c>
      <c r="R623">
        <v>576</v>
      </c>
      <c r="S623">
        <v>164</v>
      </c>
      <c r="T623">
        <v>189.3</v>
      </c>
      <c r="U623">
        <v>426</v>
      </c>
      <c r="V623">
        <v>428</v>
      </c>
      <c r="W623">
        <v>500</v>
      </c>
      <c r="X623">
        <v>2.79</v>
      </c>
    </row>
    <row r="624" spans="1:24" hidden="1" outlineLevel="2" x14ac:dyDescent="0.25">
      <c r="A624" t="str">
        <f t="shared" si="94"/>
        <v>AK6 - 2007</v>
      </c>
      <c r="B624" t="s">
        <v>33</v>
      </c>
      <c r="C624">
        <v>13</v>
      </c>
      <c r="D624">
        <v>22</v>
      </c>
      <c r="E624">
        <v>2007</v>
      </c>
      <c r="F624">
        <v>217.7</v>
      </c>
      <c r="G624">
        <v>3.6</v>
      </c>
      <c r="H624">
        <v>2.7</v>
      </c>
      <c r="I624">
        <v>0.9</v>
      </c>
      <c r="J624">
        <v>24</v>
      </c>
      <c r="K624">
        <v>48.8</v>
      </c>
      <c r="L624">
        <v>1488.9</v>
      </c>
      <c r="M624">
        <v>444</v>
      </c>
      <c r="N624">
        <v>395</v>
      </c>
      <c r="O624">
        <v>589</v>
      </c>
      <c r="P624">
        <v>194</v>
      </c>
      <c r="Q624">
        <v>313</v>
      </c>
      <c r="R624">
        <v>615</v>
      </c>
      <c r="S624">
        <v>302</v>
      </c>
      <c r="T624">
        <v>221.4</v>
      </c>
      <c r="U624">
        <v>380</v>
      </c>
      <c r="V624">
        <v>378</v>
      </c>
      <c r="W624">
        <v>500</v>
      </c>
      <c r="X624">
        <v>2.79</v>
      </c>
    </row>
    <row r="625" spans="1:24" hidden="1" outlineLevel="2" x14ac:dyDescent="0.25">
      <c r="A625" t="str">
        <f t="shared" si="94"/>
        <v>AK6 - 2007</v>
      </c>
      <c r="B625" t="s">
        <v>33</v>
      </c>
      <c r="C625">
        <v>15</v>
      </c>
      <c r="D625">
        <v>22</v>
      </c>
      <c r="E625">
        <v>2007</v>
      </c>
      <c r="F625">
        <v>235</v>
      </c>
      <c r="G625">
        <v>2.4</v>
      </c>
      <c r="H625">
        <v>1.5</v>
      </c>
      <c r="I625">
        <v>0.9</v>
      </c>
      <c r="J625">
        <v>37</v>
      </c>
      <c r="K625">
        <v>35.299999999999997</v>
      </c>
      <c r="L625">
        <v>1734.9</v>
      </c>
      <c r="M625">
        <v>461</v>
      </c>
      <c r="N625">
        <v>404</v>
      </c>
      <c r="O625">
        <v>556</v>
      </c>
      <c r="P625">
        <v>152</v>
      </c>
      <c r="Q625">
        <v>349</v>
      </c>
      <c r="R625">
        <v>605</v>
      </c>
      <c r="S625">
        <v>256</v>
      </c>
      <c r="T625">
        <v>222.9</v>
      </c>
      <c r="U625">
        <v>390</v>
      </c>
      <c r="V625">
        <v>386</v>
      </c>
      <c r="W625">
        <v>500</v>
      </c>
      <c r="X625">
        <v>2.79</v>
      </c>
    </row>
    <row r="626" spans="1:24" hidden="1" outlineLevel="2" x14ac:dyDescent="0.25">
      <c r="A626" t="str">
        <f t="shared" si="94"/>
        <v>AK6 - 2007</v>
      </c>
      <c r="B626" t="s">
        <v>33</v>
      </c>
      <c r="C626">
        <v>14</v>
      </c>
      <c r="D626">
        <v>23</v>
      </c>
      <c r="E626">
        <v>2007</v>
      </c>
      <c r="F626">
        <v>283.5</v>
      </c>
      <c r="G626">
        <v>4.5</v>
      </c>
      <c r="H626">
        <v>2.4</v>
      </c>
      <c r="I626">
        <v>2.1</v>
      </c>
      <c r="J626">
        <v>46</v>
      </c>
      <c r="K626">
        <v>79.5</v>
      </c>
      <c r="L626">
        <v>2525</v>
      </c>
      <c r="M626">
        <v>475</v>
      </c>
      <c r="N626">
        <v>401</v>
      </c>
      <c r="O626">
        <v>560</v>
      </c>
      <c r="P626">
        <v>159</v>
      </c>
      <c r="Q626">
        <v>361</v>
      </c>
      <c r="R626">
        <v>606</v>
      </c>
      <c r="S626">
        <v>245</v>
      </c>
      <c r="T626">
        <v>292.2</v>
      </c>
      <c r="U626">
        <v>398</v>
      </c>
      <c r="V626">
        <v>397</v>
      </c>
      <c r="W626">
        <v>500</v>
      </c>
      <c r="X626">
        <v>2.79</v>
      </c>
    </row>
    <row r="627" spans="1:24" hidden="1" outlineLevel="2" x14ac:dyDescent="0.25">
      <c r="A627" t="str">
        <f t="shared" si="94"/>
        <v>AK6 - 2007</v>
      </c>
      <c r="B627" t="s">
        <v>33</v>
      </c>
      <c r="C627" t="s">
        <v>35</v>
      </c>
      <c r="D627">
        <v>22</v>
      </c>
      <c r="E627">
        <v>2007</v>
      </c>
      <c r="F627">
        <v>197.9</v>
      </c>
      <c r="G627">
        <v>3</v>
      </c>
      <c r="H627">
        <v>1.5</v>
      </c>
      <c r="I627">
        <v>1.5</v>
      </c>
      <c r="J627">
        <v>50</v>
      </c>
      <c r="K627">
        <v>37</v>
      </c>
      <c r="L627">
        <v>1230.4000000000001</v>
      </c>
      <c r="M627">
        <v>503</v>
      </c>
      <c r="N627">
        <v>449</v>
      </c>
      <c r="O627">
        <v>556</v>
      </c>
      <c r="P627">
        <v>107</v>
      </c>
      <c r="Q627">
        <v>388</v>
      </c>
      <c r="R627">
        <v>597</v>
      </c>
      <c r="S627">
        <v>209</v>
      </c>
      <c r="T627">
        <v>205.5</v>
      </c>
      <c r="U627">
        <v>422</v>
      </c>
      <c r="V627">
        <v>415</v>
      </c>
      <c r="W627">
        <v>500</v>
      </c>
      <c r="X627">
        <v>2.79</v>
      </c>
    </row>
    <row r="628" spans="1:24" outlineLevel="1" collapsed="1" x14ac:dyDescent="0.25">
      <c r="A628" s="8" t="s">
        <v>83</v>
      </c>
      <c r="D628">
        <f t="shared" ref="D628:V628" si="95">SUBTOTAL(1,D614:D627)</f>
        <v>22.571428571428573</v>
      </c>
      <c r="E628">
        <f t="shared" si="95"/>
        <v>2007</v>
      </c>
      <c r="F628">
        <f t="shared" si="95"/>
        <v>213.1142857142857</v>
      </c>
      <c r="G628">
        <f t="shared" si="95"/>
        <v>3.3857142857142857</v>
      </c>
      <c r="H628">
        <f t="shared" si="95"/>
        <v>1.8</v>
      </c>
      <c r="I628">
        <f t="shared" si="95"/>
        <v>1.5857142857142856</v>
      </c>
      <c r="J628">
        <f t="shared" si="95"/>
        <v>41.5</v>
      </c>
      <c r="K628">
        <f t="shared" si="95"/>
        <v>45.8</v>
      </c>
      <c r="L628">
        <f t="shared" si="95"/>
        <v>1460.257142857143</v>
      </c>
      <c r="M628">
        <f t="shared" si="95"/>
        <v>470.85714285714283</v>
      </c>
      <c r="N628">
        <f t="shared" si="95"/>
        <v>417.35714285714283</v>
      </c>
      <c r="O628">
        <f t="shared" si="95"/>
        <v>554.30769230769226</v>
      </c>
      <c r="P628">
        <f t="shared" si="95"/>
        <v>132.15384615384616</v>
      </c>
      <c r="Q628">
        <f t="shared" si="95"/>
        <v>369.35714285714283</v>
      </c>
      <c r="R628">
        <f t="shared" si="95"/>
        <v>587.71428571428567</v>
      </c>
      <c r="S628">
        <f t="shared" si="95"/>
        <v>218.35714285714286</v>
      </c>
      <c r="T628">
        <f t="shared" si="95"/>
        <v>221.6357142857143</v>
      </c>
      <c r="U628">
        <f t="shared" si="95"/>
        <v>404.92857142857144</v>
      </c>
      <c r="V628">
        <f t="shared" si="95"/>
        <v>402.14285714285717</v>
      </c>
    </row>
    <row r="629" spans="1:24" hidden="1" outlineLevel="2" x14ac:dyDescent="0.25">
      <c r="A629" t="str">
        <f t="shared" ref="A629:A642" si="96">CONCATENATE(B629," - ",E629)</f>
        <v>AK6 - 2008</v>
      </c>
      <c r="B629" t="s">
        <v>33</v>
      </c>
      <c r="C629">
        <v>1</v>
      </c>
      <c r="D629">
        <v>23</v>
      </c>
      <c r="E629">
        <v>2008</v>
      </c>
      <c r="F629">
        <v>207</v>
      </c>
      <c r="G629">
        <v>4.2</v>
      </c>
      <c r="H629">
        <v>2.7</v>
      </c>
      <c r="I629">
        <v>1.5</v>
      </c>
      <c r="J629">
        <v>35</v>
      </c>
      <c r="K629">
        <v>54.1</v>
      </c>
      <c r="L629">
        <v>1346.1</v>
      </c>
      <c r="M629">
        <v>478</v>
      </c>
      <c r="N629">
        <v>424</v>
      </c>
      <c r="O629">
        <v>576</v>
      </c>
      <c r="P629">
        <v>152</v>
      </c>
      <c r="Q629">
        <v>373</v>
      </c>
      <c r="R629">
        <v>598</v>
      </c>
      <c r="S629">
        <v>225</v>
      </c>
      <c r="T629">
        <v>211.8</v>
      </c>
      <c r="U629">
        <v>420</v>
      </c>
      <c r="V629">
        <v>413</v>
      </c>
      <c r="W629">
        <v>500</v>
      </c>
      <c r="X629">
        <v>2.79</v>
      </c>
    </row>
    <row r="630" spans="1:24" hidden="1" outlineLevel="2" x14ac:dyDescent="0.25">
      <c r="A630" t="str">
        <f t="shared" si="96"/>
        <v>AK6 - 2008</v>
      </c>
      <c r="B630" t="s">
        <v>33</v>
      </c>
      <c r="C630">
        <v>2</v>
      </c>
      <c r="D630">
        <v>24</v>
      </c>
      <c r="E630">
        <v>2008</v>
      </c>
      <c r="F630">
        <v>197.5</v>
      </c>
      <c r="G630">
        <v>1.5</v>
      </c>
      <c r="H630">
        <v>1.2</v>
      </c>
      <c r="I630">
        <v>0.3</v>
      </c>
      <c r="J630">
        <v>20</v>
      </c>
      <c r="K630">
        <v>18.5</v>
      </c>
      <c r="L630">
        <v>1225.4000000000001</v>
      </c>
      <c r="M630">
        <v>472</v>
      </c>
      <c r="N630">
        <v>444</v>
      </c>
      <c r="O630">
        <v>584</v>
      </c>
      <c r="P630">
        <v>140</v>
      </c>
      <c r="Q630">
        <v>412</v>
      </c>
      <c r="R630">
        <v>584</v>
      </c>
      <c r="S630">
        <v>172</v>
      </c>
      <c r="T630">
        <v>193.8</v>
      </c>
      <c r="U630">
        <v>412</v>
      </c>
      <c r="V630">
        <v>396</v>
      </c>
      <c r="W630">
        <v>500</v>
      </c>
      <c r="X630">
        <v>2.79</v>
      </c>
    </row>
    <row r="631" spans="1:24" hidden="1" outlineLevel="2" x14ac:dyDescent="0.25">
      <c r="A631" t="str">
        <f t="shared" si="96"/>
        <v>AK6 - 2008</v>
      </c>
      <c r="B631" t="s">
        <v>33</v>
      </c>
      <c r="C631">
        <v>3</v>
      </c>
      <c r="D631">
        <v>24</v>
      </c>
      <c r="E631">
        <v>2008</v>
      </c>
      <c r="F631">
        <v>249.1</v>
      </c>
      <c r="G631">
        <v>5.0999999999999996</v>
      </c>
      <c r="H631">
        <v>5.0999999999999996</v>
      </c>
      <c r="I631">
        <v>0</v>
      </c>
      <c r="J631">
        <v>0</v>
      </c>
      <c r="K631">
        <v>79</v>
      </c>
      <c r="L631">
        <v>1949.4</v>
      </c>
      <c r="M631">
        <v>425</v>
      </c>
      <c r="N631">
        <v>425</v>
      </c>
      <c r="Q631">
        <v>353</v>
      </c>
      <c r="R631">
        <v>497</v>
      </c>
      <c r="S631">
        <v>144</v>
      </c>
      <c r="T631">
        <v>261.89999999999998</v>
      </c>
      <c r="U631">
        <v>404</v>
      </c>
      <c r="V631">
        <v>407</v>
      </c>
      <c r="W631">
        <v>500</v>
      </c>
      <c r="X631">
        <v>2.79</v>
      </c>
    </row>
    <row r="632" spans="1:24" hidden="1" outlineLevel="2" x14ac:dyDescent="0.25">
      <c r="A632" t="str">
        <f t="shared" si="96"/>
        <v>AK6 - 2008</v>
      </c>
      <c r="B632" t="s">
        <v>33</v>
      </c>
      <c r="C632">
        <v>4</v>
      </c>
      <c r="D632">
        <v>23</v>
      </c>
      <c r="E632">
        <v>2008</v>
      </c>
      <c r="F632">
        <v>163.80000000000001</v>
      </c>
      <c r="G632">
        <v>3.6</v>
      </c>
      <c r="H632">
        <v>2.4</v>
      </c>
      <c r="I632">
        <v>1.2</v>
      </c>
      <c r="J632">
        <v>33</v>
      </c>
      <c r="K632">
        <v>36.6</v>
      </c>
      <c r="L632">
        <v>842.9</v>
      </c>
      <c r="M632">
        <v>476</v>
      </c>
      <c r="N632">
        <v>431</v>
      </c>
      <c r="O632">
        <v>567</v>
      </c>
      <c r="P632">
        <v>136</v>
      </c>
      <c r="Q632">
        <v>380</v>
      </c>
      <c r="R632">
        <v>605</v>
      </c>
      <c r="S632">
        <v>225</v>
      </c>
      <c r="T632">
        <v>166.8</v>
      </c>
      <c r="U632">
        <v>412</v>
      </c>
      <c r="V632">
        <v>409</v>
      </c>
      <c r="W632">
        <v>500</v>
      </c>
      <c r="X632">
        <v>2.79</v>
      </c>
    </row>
    <row r="633" spans="1:24" hidden="1" outlineLevel="2" x14ac:dyDescent="0.25">
      <c r="A633" t="str">
        <f t="shared" si="96"/>
        <v>AK6 - 2008</v>
      </c>
      <c r="B633" t="s">
        <v>33</v>
      </c>
      <c r="C633">
        <v>5</v>
      </c>
      <c r="D633">
        <v>23</v>
      </c>
      <c r="E633">
        <v>2008</v>
      </c>
      <c r="F633">
        <v>224.8</v>
      </c>
      <c r="G633">
        <v>3.9</v>
      </c>
      <c r="H633">
        <v>3</v>
      </c>
      <c r="I633">
        <v>0.9</v>
      </c>
      <c r="J633">
        <v>23</v>
      </c>
      <c r="K633">
        <v>54.6</v>
      </c>
      <c r="L633">
        <v>1587.6</v>
      </c>
      <c r="M633">
        <v>419</v>
      </c>
      <c r="N633">
        <v>389</v>
      </c>
      <c r="O633">
        <v>520</v>
      </c>
      <c r="P633">
        <v>131</v>
      </c>
      <c r="Q633">
        <v>315</v>
      </c>
      <c r="R633">
        <v>534</v>
      </c>
      <c r="S633">
        <v>219</v>
      </c>
      <c r="T633">
        <v>224.7</v>
      </c>
      <c r="U633">
        <v>390</v>
      </c>
      <c r="V633">
        <v>376</v>
      </c>
      <c r="W633">
        <v>500</v>
      </c>
      <c r="X633">
        <v>2.79</v>
      </c>
    </row>
    <row r="634" spans="1:24" hidden="1" outlineLevel="2" x14ac:dyDescent="0.25">
      <c r="A634" t="str">
        <f t="shared" si="96"/>
        <v>AK6 - 2008</v>
      </c>
      <c r="B634" t="s">
        <v>33</v>
      </c>
      <c r="C634">
        <v>6</v>
      </c>
      <c r="D634">
        <v>24</v>
      </c>
      <c r="E634">
        <v>2008</v>
      </c>
      <c r="F634">
        <v>264.8</v>
      </c>
      <c r="G634">
        <v>5.7</v>
      </c>
      <c r="H634">
        <v>4.8</v>
      </c>
      <c r="I634">
        <v>0.9</v>
      </c>
      <c r="J634">
        <v>15</v>
      </c>
      <c r="K634">
        <v>93.8</v>
      </c>
      <c r="L634">
        <v>2202.9</v>
      </c>
      <c r="M634">
        <v>424</v>
      </c>
      <c r="N634">
        <v>407</v>
      </c>
      <c r="O634">
        <v>511</v>
      </c>
      <c r="P634">
        <v>104</v>
      </c>
      <c r="Q634">
        <v>346</v>
      </c>
      <c r="R634">
        <v>522</v>
      </c>
      <c r="S634">
        <v>176</v>
      </c>
      <c r="T634">
        <v>282</v>
      </c>
      <c r="U634">
        <v>406</v>
      </c>
      <c r="V634">
        <v>411</v>
      </c>
      <c r="W634">
        <v>500</v>
      </c>
      <c r="X634">
        <v>2.79</v>
      </c>
    </row>
    <row r="635" spans="1:24" hidden="1" outlineLevel="2" x14ac:dyDescent="0.25">
      <c r="A635" t="str">
        <f t="shared" si="96"/>
        <v>AK6 - 2008</v>
      </c>
      <c r="B635" t="s">
        <v>33</v>
      </c>
      <c r="C635">
        <v>7</v>
      </c>
      <c r="D635">
        <v>24</v>
      </c>
      <c r="E635">
        <v>2008</v>
      </c>
      <c r="F635">
        <v>216.1</v>
      </c>
      <c r="G635">
        <v>8.4</v>
      </c>
      <c r="H635">
        <v>6.6</v>
      </c>
      <c r="I635">
        <v>1.8</v>
      </c>
      <c r="J635">
        <v>21</v>
      </c>
      <c r="K635">
        <v>111.8</v>
      </c>
      <c r="L635">
        <v>1467.1</v>
      </c>
      <c r="M635">
        <v>445</v>
      </c>
      <c r="N635">
        <v>420</v>
      </c>
      <c r="O635">
        <v>537</v>
      </c>
      <c r="P635">
        <v>117</v>
      </c>
      <c r="Q635">
        <v>379</v>
      </c>
      <c r="R635">
        <v>574</v>
      </c>
      <c r="S635">
        <v>195</v>
      </c>
      <c r="T635">
        <v>220.2</v>
      </c>
      <c r="U635">
        <v>418</v>
      </c>
      <c r="V635">
        <v>420</v>
      </c>
      <c r="W635">
        <v>500</v>
      </c>
      <c r="X635">
        <v>2.79</v>
      </c>
    </row>
    <row r="636" spans="1:24" hidden="1" outlineLevel="2" x14ac:dyDescent="0.25">
      <c r="A636" t="str">
        <f t="shared" si="96"/>
        <v>AK6 - 2008</v>
      </c>
      <c r="B636" t="s">
        <v>33</v>
      </c>
      <c r="C636">
        <v>8</v>
      </c>
      <c r="D636">
        <v>24</v>
      </c>
      <c r="E636">
        <v>2008</v>
      </c>
      <c r="F636">
        <v>208.8</v>
      </c>
      <c r="G636">
        <v>1.5</v>
      </c>
      <c r="H636">
        <v>1.5</v>
      </c>
      <c r="I636">
        <v>0</v>
      </c>
      <c r="J636">
        <v>0</v>
      </c>
      <c r="K636">
        <v>19.600000000000001</v>
      </c>
      <c r="L636">
        <v>1369.7</v>
      </c>
      <c r="M636">
        <v>374</v>
      </c>
      <c r="N636">
        <v>374</v>
      </c>
      <c r="Q636">
        <v>318</v>
      </c>
      <c r="R636">
        <v>497</v>
      </c>
      <c r="S636">
        <v>179</v>
      </c>
      <c r="T636">
        <v>222.3</v>
      </c>
      <c r="U636">
        <v>354</v>
      </c>
      <c r="V636">
        <v>355</v>
      </c>
      <c r="W636">
        <v>500</v>
      </c>
      <c r="X636">
        <v>2.79</v>
      </c>
    </row>
    <row r="637" spans="1:24" hidden="1" outlineLevel="2" x14ac:dyDescent="0.25">
      <c r="A637" t="str">
        <f t="shared" si="96"/>
        <v>AK6 - 2008</v>
      </c>
      <c r="B637" t="s">
        <v>33</v>
      </c>
      <c r="C637">
        <v>10</v>
      </c>
      <c r="D637">
        <v>24</v>
      </c>
      <c r="E637">
        <v>2008</v>
      </c>
      <c r="F637">
        <v>182.1</v>
      </c>
      <c r="G637">
        <v>3</v>
      </c>
      <c r="H637">
        <v>1.8</v>
      </c>
      <c r="I637">
        <v>1.2</v>
      </c>
      <c r="J637">
        <v>40</v>
      </c>
      <c r="K637">
        <v>34</v>
      </c>
      <c r="L637">
        <v>1041.8</v>
      </c>
      <c r="M637">
        <v>491</v>
      </c>
      <c r="N637">
        <v>453</v>
      </c>
      <c r="O637">
        <v>547</v>
      </c>
      <c r="P637">
        <v>94</v>
      </c>
      <c r="Q637">
        <v>423</v>
      </c>
      <c r="R637">
        <v>584</v>
      </c>
      <c r="S637">
        <v>161</v>
      </c>
      <c r="T637">
        <v>188.1</v>
      </c>
      <c r="U637">
        <v>437</v>
      </c>
      <c r="V637">
        <v>439</v>
      </c>
      <c r="W637">
        <v>500</v>
      </c>
      <c r="X637">
        <v>2.79</v>
      </c>
    </row>
    <row r="638" spans="1:24" hidden="1" outlineLevel="2" x14ac:dyDescent="0.25">
      <c r="A638" t="str">
        <f t="shared" si="96"/>
        <v>AK6 - 2008</v>
      </c>
      <c r="B638" t="s">
        <v>33</v>
      </c>
      <c r="C638">
        <v>12</v>
      </c>
      <c r="D638">
        <v>24</v>
      </c>
      <c r="E638">
        <v>2008</v>
      </c>
      <c r="F638">
        <v>175.4</v>
      </c>
      <c r="G638">
        <v>3</v>
      </c>
      <c r="H638">
        <v>1.8</v>
      </c>
      <c r="I638">
        <v>1.2</v>
      </c>
      <c r="J638">
        <v>40</v>
      </c>
      <c r="K638">
        <v>32.799999999999997</v>
      </c>
      <c r="L638">
        <v>966.5</v>
      </c>
      <c r="M638">
        <v>481</v>
      </c>
      <c r="N638">
        <v>432</v>
      </c>
      <c r="O638">
        <v>554</v>
      </c>
      <c r="P638">
        <v>122</v>
      </c>
      <c r="Q638">
        <v>393</v>
      </c>
      <c r="R638">
        <v>597</v>
      </c>
      <c r="S638">
        <v>204</v>
      </c>
      <c r="T638">
        <v>189.3</v>
      </c>
      <c r="U638">
        <v>426</v>
      </c>
      <c r="V638">
        <v>428</v>
      </c>
      <c r="W638">
        <v>500</v>
      </c>
      <c r="X638">
        <v>2.79</v>
      </c>
    </row>
    <row r="639" spans="1:24" hidden="1" outlineLevel="2" x14ac:dyDescent="0.25">
      <c r="A639" t="str">
        <f t="shared" si="96"/>
        <v>AK6 - 2008</v>
      </c>
      <c r="B639" t="s">
        <v>33</v>
      </c>
      <c r="C639">
        <v>13</v>
      </c>
      <c r="D639">
        <v>23</v>
      </c>
      <c r="E639">
        <v>2008</v>
      </c>
      <c r="F639">
        <v>222.5</v>
      </c>
      <c r="G639">
        <v>4.8</v>
      </c>
      <c r="H639">
        <v>4.5</v>
      </c>
      <c r="I639">
        <v>0.3</v>
      </c>
      <c r="J639">
        <v>6</v>
      </c>
      <c r="K639">
        <v>66.400000000000006</v>
      </c>
      <c r="L639">
        <v>1555.3</v>
      </c>
      <c r="M639">
        <v>371</v>
      </c>
      <c r="N639">
        <v>358</v>
      </c>
      <c r="O639">
        <v>568</v>
      </c>
      <c r="P639">
        <v>210</v>
      </c>
      <c r="Q639">
        <v>293</v>
      </c>
      <c r="R639">
        <v>568</v>
      </c>
      <c r="S639">
        <v>275</v>
      </c>
      <c r="T639">
        <v>221.4</v>
      </c>
      <c r="U639">
        <v>380</v>
      </c>
      <c r="V639">
        <v>378</v>
      </c>
      <c r="W639">
        <v>500</v>
      </c>
      <c r="X639">
        <v>2.79</v>
      </c>
    </row>
    <row r="640" spans="1:24" hidden="1" outlineLevel="2" x14ac:dyDescent="0.25">
      <c r="A640" t="str">
        <f t="shared" si="96"/>
        <v>AK6 - 2008</v>
      </c>
      <c r="B640" t="s">
        <v>33</v>
      </c>
      <c r="C640">
        <v>15</v>
      </c>
      <c r="D640">
        <v>23</v>
      </c>
      <c r="E640">
        <v>2008</v>
      </c>
      <c r="F640">
        <v>238.6</v>
      </c>
      <c r="G640">
        <v>3.6</v>
      </c>
      <c r="H640">
        <v>3.3</v>
      </c>
      <c r="I640">
        <v>0.3</v>
      </c>
      <c r="J640">
        <v>8</v>
      </c>
      <c r="K640">
        <v>53.6</v>
      </c>
      <c r="L640">
        <v>1788.5</v>
      </c>
      <c r="M640">
        <v>407</v>
      </c>
      <c r="N640">
        <v>395</v>
      </c>
      <c r="O640">
        <v>546</v>
      </c>
      <c r="P640">
        <v>151</v>
      </c>
      <c r="Q640">
        <v>327</v>
      </c>
      <c r="R640">
        <v>546</v>
      </c>
      <c r="S640">
        <v>219</v>
      </c>
      <c r="T640">
        <v>222.9</v>
      </c>
      <c r="U640">
        <v>390</v>
      </c>
      <c r="V640">
        <v>386</v>
      </c>
      <c r="W640">
        <v>500</v>
      </c>
      <c r="X640">
        <v>2.79</v>
      </c>
    </row>
    <row r="641" spans="1:24" hidden="1" outlineLevel="2" x14ac:dyDescent="0.25">
      <c r="A641" t="str">
        <f t="shared" si="96"/>
        <v>AK6 - 2008</v>
      </c>
      <c r="B641" t="s">
        <v>33</v>
      </c>
      <c r="C641">
        <v>14</v>
      </c>
      <c r="D641">
        <v>24</v>
      </c>
      <c r="E641">
        <v>2008</v>
      </c>
      <c r="F641">
        <v>288.89999999999998</v>
      </c>
      <c r="G641">
        <v>5.4</v>
      </c>
      <c r="H641">
        <v>3.6</v>
      </c>
      <c r="I641">
        <v>1.8</v>
      </c>
      <c r="J641">
        <v>33</v>
      </c>
      <c r="K641">
        <v>97.1</v>
      </c>
      <c r="L641">
        <v>2622.1</v>
      </c>
      <c r="M641">
        <v>459</v>
      </c>
      <c r="N641">
        <v>410</v>
      </c>
      <c r="O641">
        <v>556</v>
      </c>
      <c r="P641">
        <v>146</v>
      </c>
      <c r="Q641">
        <v>352</v>
      </c>
      <c r="R641">
        <v>592</v>
      </c>
      <c r="S641">
        <v>240</v>
      </c>
      <c r="T641">
        <v>292.2</v>
      </c>
      <c r="U641">
        <v>398</v>
      </c>
      <c r="V641">
        <v>397</v>
      </c>
      <c r="W641">
        <v>500</v>
      </c>
      <c r="X641">
        <v>2.79</v>
      </c>
    </row>
    <row r="642" spans="1:24" hidden="1" outlineLevel="2" x14ac:dyDescent="0.25">
      <c r="A642" t="str">
        <f t="shared" si="96"/>
        <v>AK6 - 2008</v>
      </c>
      <c r="B642" t="s">
        <v>33</v>
      </c>
      <c r="C642" t="s">
        <v>35</v>
      </c>
      <c r="D642">
        <v>23</v>
      </c>
      <c r="E642">
        <v>2008</v>
      </c>
      <c r="F642">
        <v>201.5</v>
      </c>
      <c r="G642">
        <v>3.6</v>
      </c>
      <c r="H642">
        <v>2.4</v>
      </c>
      <c r="I642">
        <v>1.2</v>
      </c>
      <c r="J642">
        <v>33</v>
      </c>
      <c r="K642">
        <v>45.2</v>
      </c>
      <c r="L642">
        <v>1275.5999999999999</v>
      </c>
      <c r="M642">
        <v>465</v>
      </c>
      <c r="N642">
        <v>437</v>
      </c>
      <c r="O642">
        <v>521</v>
      </c>
      <c r="P642">
        <v>84</v>
      </c>
      <c r="Q642">
        <v>385</v>
      </c>
      <c r="R642">
        <v>548</v>
      </c>
      <c r="S642">
        <v>163</v>
      </c>
      <c r="T642">
        <v>205.5</v>
      </c>
      <c r="U642">
        <v>422</v>
      </c>
      <c r="V642">
        <v>415</v>
      </c>
      <c r="W642">
        <v>500</v>
      </c>
      <c r="X642">
        <v>2.79</v>
      </c>
    </row>
    <row r="643" spans="1:24" outlineLevel="1" collapsed="1" x14ac:dyDescent="0.25">
      <c r="A643" s="8" t="s">
        <v>84</v>
      </c>
      <c r="D643">
        <f t="shared" ref="D643:V643" si="97">SUBTOTAL(1,D629:D642)</f>
        <v>23.571428571428573</v>
      </c>
      <c r="E643">
        <f t="shared" si="97"/>
        <v>2008</v>
      </c>
      <c r="F643">
        <f t="shared" si="97"/>
        <v>217.20714285714283</v>
      </c>
      <c r="G643">
        <f t="shared" si="97"/>
        <v>4.0928571428571425</v>
      </c>
      <c r="H643">
        <f t="shared" si="97"/>
        <v>3.1928571428571426</v>
      </c>
      <c r="I643">
        <f t="shared" si="97"/>
        <v>0.90000000000000013</v>
      </c>
      <c r="J643">
        <f t="shared" si="97"/>
        <v>21.928571428571427</v>
      </c>
      <c r="K643">
        <f t="shared" si="97"/>
        <v>56.93571428571429</v>
      </c>
      <c r="L643">
        <f t="shared" si="97"/>
        <v>1517.2071428571423</v>
      </c>
      <c r="M643">
        <f t="shared" si="97"/>
        <v>441.92857142857144</v>
      </c>
      <c r="N643">
        <f t="shared" si="97"/>
        <v>414.21428571428572</v>
      </c>
      <c r="O643">
        <f t="shared" si="97"/>
        <v>548.91666666666663</v>
      </c>
      <c r="P643">
        <f t="shared" si="97"/>
        <v>132.25</v>
      </c>
      <c r="Q643">
        <f t="shared" si="97"/>
        <v>360.64285714285717</v>
      </c>
      <c r="R643">
        <f t="shared" si="97"/>
        <v>560.42857142857144</v>
      </c>
      <c r="S643">
        <f t="shared" si="97"/>
        <v>199.78571428571428</v>
      </c>
      <c r="T643">
        <f t="shared" si="97"/>
        <v>221.6357142857143</v>
      </c>
      <c r="U643">
        <f t="shared" si="97"/>
        <v>404.92857142857144</v>
      </c>
      <c r="V643">
        <f t="shared" si="97"/>
        <v>402.14285714285717</v>
      </c>
    </row>
    <row r="644" spans="1:24" hidden="1" outlineLevel="2" x14ac:dyDescent="0.25">
      <c r="A644" t="str">
        <f t="shared" ref="A644:A657" si="98">CONCATENATE(B644," - ",E644)</f>
        <v>AK6 - 2009</v>
      </c>
      <c r="B644" t="s">
        <v>33</v>
      </c>
      <c r="C644">
        <v>1</v>
      </c>
      <c r="D644">
        <v>24</v>
      </c>
      <c r="E644">
        <v>2009</v>
      </c>
      <c r="F644">
        <v>211.8</v>
      </c>
      <c r="G644">
        <v>4.8</v>
      </c>
      <c r="H644">
        <v>1.8</v>
      </c>
      <c r="I644">
        <v>3</v>
      </c>
      <c r="J644">
        <v>62</v>
      </c>
      <c r="K644">
        <v>63.2</v>
      </c>
      <c r="L644">
        <v>1409.3</v>
      </c>
      <c r="M644">
        <v>511</v>
      </c>
      <c r="N644">
        <v>433</v>
      </c>
      <c r="O644">
        <v>557</v>
      </c>
      <c r="P644">
        <v>124</v>
      </c>
      <c r="Q644">
        <v>400</v>
      </c>
      <c r="R644">
        <v>628</v>
      </c>
      <c r="S644">
        <v>228</v>
      </c>
      <c r="T644">
        <v>211.8</v>
      </c>
      <c r="U644">
        <v>420</v>
      </c>
      <c r="V644">
        <v>413</v>
      </c>
      <c r="W644">
        <v>500</v>
      </c>
      <c r="X644">
        <v>2.79</v>
      </c>
    </row>
    <row r="645" spans="1:24" hidden="1" outlineLevel="2" x14ac:dyDescent="0.25">
      <c r="A645" t="str">
        <f t="shared" si="98"/>
        <v>AK6 - 2009</v>
      </c>
      <c r="B645" t="s">
        <v>33</v>
      </c>
      <c r="C645">
        <v>2</v>
      </c>
      <c r="D645">
        <v>25</v>
      </c>
      <c r="E645">
        <v>2009</v>
      </c>
      <c r="F645">
        <v>199.3</v>
      </c>
      <c r="G645">
        <v>1.8</v>
      </c>
      <c r="H645">
        <v>1.2</v>
      </c>
      <c r="I645">
        <v>0.6</v>
      </c>
      <c r="J645">
        <v>33</v>
      </c>
      <c r="K645">
        <v>22.4</v>
      </c>
      <c r="L645">
        <v>1247.9000000000001</v>
      </c>
      <c r="M645">
        <v>493</v>
      </c>
      <c r="N645">
        <v>450</v>
      </c>
      <c r="O645">
        <v>580</v>
      </c>
      <c r="P645">
        <v>130</v>
      </c>
      <c r="Q645">
        <v>436</v>
      </c>
      <c r="R645">
        <v>622</v>
      </c>
      <c r="S645">
        <v>186</v>
      </c>
      <c r="T645">
        <v>193.8</v>
      </c>
      <c r="U645">
        <v>412</v>
      </c>
      <c r="V645">
        <v>396</v>
      </c>
      <c r="W645">
        <v>500</v>
      </c>
      <c r="X645">
        <v>2.79</v>
      </c>
    </row>
    <row r="646" spans="1:24" hidden="1" outlineLevel="2" x14ac:dyDescent="0.25">
      <c r="A646" t="str">
        <f t="shared" si="98"/>
        <v>AK6 - 2009</v>
      </c>
      <c r="B646" t="s">
        <v>33</v>
      </c>
      <c r="C646">
        <v>3</v>
      </c>
      <c r="D646">
        <v>25</v>
      </c>
      <c r="E646">
        <v>2009</v>
      </c>
      <c r="F646">
        <v>253.6</v>
      </c>
      <c r="G646">
        <v>4.5</v>
      </c>
      <c r="H646">
        <v>3</v>
      </c>
      <c r="I646">
        <v>1.5</v>
      </c>
      <c r="J646">
        <v>33</v>
      </c>
      <c r="K646">
        <v>71.099999999999994</v>
      </c>
      <c r="L646">
        <v>2020.5</v>
      </c>
      <c r="M646">
        <v>472</v>
      </c>
      <c r="N646">
        <v>442</v>
      </c>
      <c r="O646">
        <v>531</v>
      </c>
      <c r="P646">
        <v>89</v>
      </c>
      <c r="Q646">
        <v>370</v>
      </c>
      <c r="R646">
        <v>551</v>
      </c>
      <c r="S646">
        <v>181</v>
      </c>
      <c r="T646">
        <v>261.89999999999998</v>
      </c>
      <c r="U646">
        <v>404</v>
      </c>
      <c r="V646">
        <v>407</v>
      </c>
      <c r="W646">
        <v>500</v>
      </c>
      <c r="X646">
        <v>2.79</v>
      </c>
    </row>
    <row r="647" spans="1:24" hidden="1" outlineLevel="2" x14ac:dyDescent="0.25">
      <c r="A647" t="str">
        <f t="shared" si="98"/>
        <v>AK6 - 2009</v>
      </c>
      <c r="B647" t="s">
        <v>33</v>
      </c>
      <c r="C647">
        <v>4</v>
      </c>
      <c r="D647">
        <v>24</v>
      </c>
      <c r="E647">
        <v>2009</v>
      </c>
      <c r="F647">
        <v>168.9</v>
      </c>
      <c r="G647">
        <v>5.0999999999999996</v>
      </c>
      <c r="H647">
        <v>3.9</v>
      </c>
      <c r="I647">
        <v>1.2</v>
      </c>
      <c r="J647">
        <v>23</v>
      </c>
      <c r="K647">
        <v>53.3</v>
      </c>
      <c r="L647">
        <v>896.2</v>
      </c>
      <c r="M647">
        <v>437</v>
      </c>
      <c r="N647">
        <v>402</v>
      </c>
      <c r="O647">
        <v>551</v>
      </c>
      <c r="P647">
        <v>149</v>
      </c>
      <c r="Q647">
        <v>370</v>
      </c>
      <c r="R647">
        <v>565</v>
      </c>
      <c r="S647">
        <v>195</v>
      </c>
      <c r="T647">
        <v>166.8</v>
      </c>
      <c r="U647">
        <v>412</v>
      </c>
      <c r="V647">
        <v>409</v>
      </c>
      <c r="W647">
        <v>500</v>
      </c>
      <c r="X647">
        <v>2.79</v>
      </c>
    </row>
    <row r="648" spans="1:24" hidden="1" outlineLevel="2" x14ac:dyDescent="0.25">
      <c r="A648" t="str">
        <f t="shared" si="98"/>
        <v>AK6 - 2009</v>
      </c>
      <c r="B648" t="s">
        <v>33</v>
      </c>
      <c r="C648">
        <v>5</v>
      </c>
      <c r="D648">
        <v>24</v>
      </c>
      <c r="E648">
        <v>2009</v>
      </c>
      <c r="F648">
        <v>229.3</v>
      </c>
      <c r="G648">
        <v>4.5</v>
      </c>
      <c r="H648">
        <v>3.9</v>
      </c>
      <c r="I648">
        <v>0.6</v>
      </c>
      <c r="J648">
        <v>13</v>
      </c>
      <c r="K648">
        <v>64.2</v>
      </c>
      <c r="L648">
        <v>1651.8</v>
      </c>
      <c r="M648">
        <v>423</v>
      </c>
      <c r="N648">
        <v>406</v>
      </c>
      <c r="O648">
        <v>536</v>
      </c>
      <c r="P648">
        <v>130</v>
      </c>
      <c r="Q648">
        <v>304</v>
      </c>
      <c r="R648">
        <v>550</v>
      </c>
      <c r="S648">
        <v>246</v>
      </c>
      <c r="T648">
        <v>224.7</v>
      </c>
      <c r="U648">
        <v>390</v>
      </c>
      <c r="V648">
        <v>376</v>
      </c>
      <c r="W648">
        <v>500</v>
      </c>
      <c r="X648">
        <v>2.79</v>
      </c>
    </row>
    <row r="649" spans="1:24" hidden="1" outlineLevel="2" x14ac:dyDescent="0.25">
      <c r="A649" t="str">
        <f t="shared" si="98"/>
        <v>AK6 - 2009</v>
      </c>
      <c r="B649" t="s">
        <v>33</v>
      </c>
      <c r="C649">
        <v>6</v>
      </c>
      <c r="D649">
        <v>25</v>
      </c>
      <c r="E649">
        <v>2009</v>
      </c>
      <c r="F649">
        <v>273.8</v>
      </c>
      <c r="G649">
        <v>9</v>
      </c>
      <c r="H649">
        <v>7.2</v>
      </c>
      <c r="I649">
        <v>1.8</v>
      </c>
      <c r="J649">
        <v>20</v>
      </c>
      <c r="K649">
        <v>152.30000000000001</v>
      </c>
      <c r="L649">
        <v>2355.1</v>
      </c>
      <c r="M649">
        <v>431</v>
      </c>
      <c r="N649">
        <v>408</v>
      </c>
      <c r="O649">
        <v>521</v>
      </c>
      <c r="P649">
        <v>113</v>
      </c>
      <c r="Q649">
        <v>323</v>
      </c>
      <c r="R649">
        <v>554</v>
      </c>
      <c r="S649">
        <v>231</v>
      </c>
      <c r="T649">
        <v>282</v>
      </c>
      <c r="U649">
        <v>406</v>
      </c>
      <c r="V649">
        <v>411</v>
      </c>
      <c r="W649">
        <v>500</v>
      </c>
      <c r="X649">
        <v>2.79</v>
      </c>
    </row>
    <row r="650" spans="1:24" hidden="1" outlineLevel="2" x14ac:dyDescent="0.25">
      <c r="A650" t="str">
        <f t="shared" si="98"/>
        <v>AK6 - 2009</v>
      </c>
      <c r="B650" t="s">
        <v>33</v>
      </c>
      <c r="C650">
        <v>7</v>
      </c>
      <c r="D650">
        <v>25</v>
      </c>
      <c r="E650">
        <v>2009</v>
      </c>
      <c r="F650">
        <v>220.6</v>
      </c>
      <c r="G650">
        <v>4.5</v>
      </c>
      <c r="H650">
        <v>3</v>
      </c>
      <c r="I650">
        <v>1.5</v>
      </c>
      <c r="J650">
        <v>33</v>
      </c>
      <c r="K650">
        <v>61.7</v>
      </c>
      <c r="L650">
        <v>1528.8</v>
      </c>
      <c r="M650">
        <v>452</v>
      </c>
      <c r="N650">
        <v>404</v>
      </c>
      <c r="O650">
        <v>548</v>
      </c>
      <c r="P650">
        <v>144</v>
      </c>
      <c r="Q650">
        <v>335</v>
      </c>
      <c r="R650">
        <v>591</v>
      </c>
      <c r="S650">
        <v>256</v>
      </c>
      <c r="T650">
        <v>220.2</v>
      </c>
      <c r="U650">
        <v>418</v>
      </c>
      <c r="V650">
        <v>420</v>
      </c>
      <c r="W650">
        <v>500</v>
      </c>
      <c r="X650">
        <v>2.79</v>
      </c>
    </row>
    <row r="651" spans="1:24" hidden="1" outlineLevel="2" x14ac:dyDescent="0.25">
      <c r="A651" t="str">
        <f t="shared" si="98"/>
        <v>AK6 - 2009</v>
      </c>
      <c r="B651" t="s">
        <v>33</v>
      </c>
      <c r="C651">
        <v>8</v>
      </c>
      <c r="D651">
        <v>25</v>
      </c>
      <c r="E651">
        <v>2009</v>
      </c>
      <c r="F651">
        <v>210.9</v>
      </c>
      <c r="G651">
        <v>2.1</v>
      </c>
      <c r="H651">
        <v>1.8</v>
      </c>
      <c r="I651">
        <v>0.3</v>
      </c>
      <c r="J651">
        <v>14</v>
      </c>
      <c r="K651">
        <v>27.7</v>
      </c>
      <c r="L651">
        <v>1397.3</v>
      </c>
      <c r="M651">
        <v>416</v>
      </c>
      <c r="N651">
        <v>398</v>
      </c>
      <c r="O651">
        <v>523</v>
      </c>
      <c r="P651">
        <v>125</v>
      </c>
      <c r="Q651">
        <v>319</v>
      </c>
      <c r="R651">
        <v>523</v>
      </c>
      <c r="S651">
        <v>204</v>
      </c>
      <c r="T651">
        <v>222.3</v>
      </c>
      <c r="U651">
        <v>354</v>
      </c>
      <c r="V651">
        <v>355</v>
      </c>
      <c r="W651">
        <v>500</v>
      </c>
      <c r="X651">
        <v>2.79</v>
      </c>
    </row>
    <row r="652" spans="1:24" hidden="1" outlineLevel="2" x14ac:dyDescent="0.25">
      <c r="A652" t="str">
        <f t="shared" si="98"/>
        <v>AK6 - 2009</v>
      </c>
      <c r="B652" t="s">
        <v>33</v>
      </c>
      <c r="C652">
        <v>10</v>
      </c>
      <c r="D652">
        <v>25</v>
      </c>
      <c r="E652">
        <v>2009</v>
      </c>
      <c r="F652">
        <v>184.2</v>
      </c>
      <c r="G652">
        <v>2.1</v>
      </c>
      <c r="H652">
        <v>0.3</v>
      </c>
      <c r="I652">
        <v>1.8</v>
      </c>
      <c r="J652">
        <v>85</v>
      </c>
      <c r="K652">
        <v>24.2</v>
      </c>
      <c r="L652">
        <v>1065.9000000000001</v>
      </c>
      <c r="M652">
        <v>536</v>
      </c>
      <c r="N652">
        <v>455</v>
      </c>
      <c r="O652">
        <v>550</v>
      </c>
      <c r="P652">
        <v>95</v>
      </c>
      <c r="Q652">
        <v>455</v>
      </c>
      <c r="R652">
        <v>605</v>
      </c>
      <c r="S652">
        <v>150</v>
      </c>
      <c r="T652">
        <v>188.1</v>
      </c>
      <c r="U652">
        <v>437</v>
      </c>
      <c r="V652">
        <v>439</v>
      </c>
      <c r="W652">
        <v>500</v>
      </c>
      <c r="X652">
        <v>2.79</v>
      </c>
    </row>
    <row r="653" spans="1:24" hidden="1" outlineLevel="2" x14ac:dyDescent="0.25">
      <c r="A653" t="str">
        <f t="shared" si="98"/>
        <v>AK6 - 2009</v>
      </c>
      <c r="B653" t="s">
        <v>33</v>
      </c>
      <c r="C653">
        <v>12</v>
      </c>
      <c r="D653">
        <v>25</v>
      </c>
      <c r="E653">
        <v>2009</v>
      </c>
      <c r="F653">
        <v>181.1</v>
      </c>
      <c r="G653">
        <v>5.7</v>
      </c>
      <c r="H653">
        <v>3.6</v>
      </c>
      <c r="I653">
        <v>2.1</v>
      </c>
      <c r="J653">
        <v>36</v>
      </c>
      <c r="K653">
        <v>63.8</v>
      </c>
      <c r="L653">
        <v>1030.4000000000001</v>
      </c>
      <c r="M653">
        <v>470</v>
      </c>
      <c r="N653">
        <v>424</v>
      </c>
      <c r="O653">
        <v>549</v>
      </c>
      <c r="P653">
        <v>125</v>
      </c>
      <c r="Q653">
        <v>390</v>
      </c>
      <c r="R653">
        <v>592</v>
      </c>
      <c r="S653">
        <v>202</v>
      </c>
      <c r="T653">
        <v>189.3</v>
      </c>
      <c r="U653">
        <v>426</v>
      </c>
      <c r="V653">
        <v>428</v>
      </c>
      <c r="W653">
        <v>500</v>
      </c>
      <c r="X653">
        <v>2.79</v>
      </c>
    </row>
    <row r="654" spans="1:24" hidden="1" outlineLevel="2" x14ac:dyDescent="0.25">
      <c r="A654" t="str">
        <f t="shared" si="98"/>
        <v>AK6 - 2009</v>
      </c>
      <c r="B654" t="s">
        <v>33</v>
      </c>
      <c r="C654">
        <v>13</v>
      </c>
      <c r="D654">
        <v>24</v>
      </c>
      <c r="E654">
        <v>2009</v>
      </c>
      <c r="F654">
        <v>227.9</v>
      </c>
      <c r="G654">
        <v>5.4</v>
      </c>
      <c r="H654">
        <v>3.9</v>
      </c>
      <c r="I654">
        <v>1.5</v>
      </c>
      <c r="J654">
        <v>27</v>
      </c>
      <c r="K654">
        <v>76.400000000000006</v>
      </c>
      <c r="L654">
        <v>1631.7</v>
      </c>
      <c r="M654">
        <v>425</v>
      </c>
      <c r="N654">
        <v>378</v>
      </c>
      <c r="O654">
        <v>547</v>
      </c>
      <c r="P654">
        <v>169</v>
      </c>
      <c r="Q654">
        <v>314</v>
      </c>
      <c r="R654">
        <v>552</v>
      </c>
      <c r="S654">
        <v>238</v>
      </c>
      <c r="T654">
        <v>221.4</v>
      </c>
      <c r="U654">
        <v>380</v>
      </c>
      <c r="V654">
        <v>378</v>
      </c>
      <c r="W654">
        <v>500</v>
      </c>
      <c r="X654">
        <v>2.79</v>
      </c>
    </row>
    <row r="655" spans="1:24" hidden="1" outlineLevel="2" x14ac:dyDescent="0.25">
      <c r="A655" t="str">
        <f t="shared" si="98"/>
        <v>AK6 - 2009</v>
      </c>
      <c r="B655" t="s">
        <v>33</v>
      </c>
      <c r="C655">
        <v>15</v>
      </c>
      <c r="D655">
        <v>24</v>
      </c>
      <c r="E655">
        <v>2009</v>
      </c>
      <c r="F655">
        <v>241.9</v>
      </c>
      <c r="G655">
        <v>3.3</v>
      </c>
      <c r="H655">
        <v>3</v>
      </c>
      <c r="I655">
        <v>0.3</v>
      </c>
      <c r="J655">
        <v>9</v>
      </c>
      <c r="K655">
        <v>49.8</v>
      </c>
      <c r="L655">
        <v>1838.3</v>
      </c>
      <c r="M655">
        <v>415</v>
      </c>
      <c r="N655">
        <v>404</v>
      </c>
      <c r="O655">
        <v>521</v>
      </c>
      <c r="P655">
        <v>117</v>
      </c>
      <c r="Q655">
        <v>350</v>
      </c>
      <c r="R655">
        <v>521</v>
      </c>
      <c r="S655">
        <v>171</v>
      </c>
      <c r="T655">
        <v>222.9</v>
      </c>
      <c r="U655">
        <v>390</v>
      </c>
      <c r="V655">
        <v>386</v>
      </c>
      <c r="W655">
        <v>500</v>
      </c>
      <c r="X655">
        <v>2.79</v>
      </c>
    </row>
    <row r="656" spans="1:24" hidden="1" outlineLevel="2" x14ac:dyDescent="0.25">
      <c r="A656" t="str">
        <f t="shared" si="98"/>
        <v>AK6 - 2009</v>
      </c>
      <c r="B656" t="s">
        <v>33</v>
      </c>
      <c r="C656">
        <v>14</v>
      </c>
      <c r="D656">
        <v>25</v>
      </c>
      <c r="E656">
        <v>2009</v>
      </c>
      <c r="F656">
        <v>295.2</v>
      </c>
      <c r="G656">
        <v>6.3</v>
      </c>
      <c r="H656">
        <v>4.2</v>
      </c>
      <c r="I656">
        <v>2.1</v>
      </c>
      <c r="J656">
        <v>33</v>
      </c>
      <c r="K656">
        <v>115.6</v>
      </c>
      <c r="L656">
        <v>2737.7</v>
      </c>
      <c r="M656">
        <v>451</v>
      </c>
      <c r="N656">
        <v>408</v>
      </c>
      <c r="O656">
        <v>537</v>
      </c>
      <c r="P656">
        <v>129</v>
      </c>
      <c r="Q656">
        <v>348</v>
      </c>
      <c r="R656">
        <v>552</v>
      </c>
      <c r="S656">
        <v>204</v>
      </c>
      <c r="T656">
        <v>292.2</v>
      </c>
      <c r="U656">
        <v>398</v>
      </c>
      <c r="V656">
        <v>397</v>
      </c>
      <c r="W656">
        <v>500</v>
      </c>
      <c r="X656">
        <v>2.79</v>
      </c>
    </row>
    <row r="657" spans="1:24" hidden="1" outlineLevel="2" x14ac:dyDescent="0.25">
      <c r="A657" t="str">
        <f t="shared" si="98"/>
        <v>AK6 - 2009</v>
      </c>
      <c r="B657" t="s">
        <v>33</v>
      </c>
      <c r="C657" t="s">
        <v>35</v>
      </c>
      <c r="D657">
        <v>24</v>
      </c>
      <c r="E657">
        <v>2009</v>
      </c>
      <c r="F657">
        <v>204.2</v>
      </c>
      <c r="G657">
        <v>2.7</v>
      </c>
      <c r="H657">
        <v>1.5</v>
      </c>
      <c r="I657">
        <v>1.2</v>
      </c>
      <c r="J657">
        <v>44</v>
      </c>
      <c r="K657">
        <v>34.4</v>
      </c>
      <c r="L657">
        <v>1310</v>
      </c>
      <c r="M657">
        <v>500</v>
      </c>
      <c r="N657">
        <v>467</v>
      </c>
      <c r="O657">
        <v>541</v>
      </c>
      <c r="P657">
        <v>74</v>
      </c>
      <c r="Q657">
        <v>428</v>
      </c>
      <c r="R657">
        <v>561</v>
      </c>
      <c r="S657">
        <v>133</v>
      </c>
      <c r="T657">
        <v>205.5</v>
      </c>
      <c r="U657">
        <v>422</v>
      </c>
      <c r="V657">
        <v>415</v>
      </c>
      <c r="W657">
        <v>500</v>
      </c>
      <c r="X657">
        <v>2.79</v>
      </c>
    </row>
    <row r="658" spans="1:24" outlineLevel="1" collapsed="1" x14ac:dyDescent="0.25">
      <c r="A658" s="8" t="s">
        <v>85</v>
      </c>
      <c r="D658">
        <f t="shared" ref="D658:V658" si="99">SUBTOTAL(1,D644:D657)</f>
        <v>24.571428571428573</v>
      </c>
      <c r="E658">
        <f t="shared" si="99"/>
        <v>2009</v>
      </c>
      <c r="F658">
        <f t="shared" si="99"/>
        <v>221.62142857142857</v>
      </c>
      <c r="G658">
        <f t="shared" si="99"/>
        <v>4.4142857142857146</v>
      </c>
      <c r="H658">
        <f t="shared" si="99"/>
        <v>3.0214285714285718</v>
      </c>
      <c r="I658">
        <f t="shared" si="99"/>
        <v>1.3928571428571428</v>
      </c>
      <c r="J658">
        <f t="shared" si="99"/>
        <v>33.214285714285715</v>
      </c>
      <c r="K658">
        <f t="shared" si="99"/>
        <v>62.864285714285707</v>
      </c>
      <c r="L658">
        <f t="shared" si="99"/>
        <v>1580.0642857142855</v>
      </c>
      <c r="M658">
        <f t="shared" si="99"/>
        <v>459.42857142857144</v>
      </c>
      <c r="N658">
        <f t="shared" si="99"/>
        <v>419.92857142857144</v>
      </c>
      <c r="O658">
        <f t="shared" si="99"/>
        <v>542.28571428571433</v>
      </c>
      <c r="P658">
        <f t="shared" si="99"/>
        <v>122.35714285714286</v>
      </c>
      <c r="Q658">
        <f t="shared" si="99"/>
        <v>367.28571428571428</v>
      </c>
      <c r="R658">
        <f t="shared" si="99"/>
        <v>569.07142857142856</v>
      </c>
      <c r="S658">
        <f t="shared" si="99"/>
        <v>201.78571428571428</v>
      </c>
      <c r="T658">
        <f t="shared" si="99"/>
        <v>221.6357142857143</v>
      </c>
      <c r="U658">
        <f t="shared" si="99"/>
        <v>404.92857142857144</v>
      </c>
      <c r="V658">
        <f t="shared" si="99"/>
        <v>402.14285714285717</v>
      </c>
    </row>
    <row r="659" spans="1:24" hidden="1" outlineLevel="2" x14ac:dyDescent="0.25">
      <c r="A659" t="str">
        <f t="shared" ref="A659:A672" si="100">CONCATENATE(B659," - ",E659)</f>
        <v>AK6 - 2010</v>
      </c>
      <c r="B659" t="s">
        <v>33</v>
      </c>
      <c r="C659">
        <v>1</v>
      </c>
      <c r="D659">
        <v>25</v>
      </c>
      <c r="E659">
        <v>2010</v>
      </c>
      <c r="F659">
        <v>216.6</v>
      </c>
      <c r="G659">
        <v>4.8</v>
      </c>
      <c r="H659">
        <v>2.4</v>
      </c>
      <c r="I659">
        <v>2.4</v>
      </c>
      <c r="J659">
        <v>49</v>
      </c>
      <c r="K659">
        <v>64.599999999999994</v>
      </c>
      <c r="L659">
        <v>1473.9</v>
      </c>
      <c r="M659">
        <v>502</v>
      </c>
      <c r="N659">
        <v>434</v>
      </c>
      <c r="O659">
        <v>569</v>
      </c>
      <c r="P659">
        <v>135</v>
      </c>
      <c r="Q659">
        <v>401</v>
      </c>
      <c r="R659">
        <v>619</v>
      </c>
      <c r="S659">
        <v>218</v>
      </c>
      <c r="T659">
        <v>211.8</v>
      </c>
      <c r="U659">
        <v>420</v>
      </c>
      <c r="V659">
        <v>413</v>
      </c>
      <c r="W659">
        <v>500</v>
      </c>
      <c r="X659">
        <v>2.79</v>
      </c>
    </row>
    <row r="660" spans="1:24" hidden="1" outlineLevel="2" x14ac:dyDescent="0.25">
      <c r="A660" t="str">
        <f t="shared" si="100"/>
        <v>AK6 - 2010</v>
      </c>
      <c r="B660" t="s">
        <v>33</v>
      </c>
      <c r="C660">
        <v>2</v>
      </c>
      <c r="D660">
        <v>26</v>
      </c>
      <c r="E660">
        <v>2010</v>
      </c>
      <c r="F660">
        <v>201.4</v>
      </c>
      <c r="G660">
        <v>2.1</v>
      </c>
      <c r="H660">
        <v>1.5</v>
      </c>
      <c r="I660">
        <v>0.6</v>
      </c>
      <c r="J660">
        <v>28</v>
      </c>
      <c r="K660">
        <v>26.4</v>
      </c>
      <c r="L660">
        <v>1274.3</v>
      </c>
      <c r="M660">
        <v>473</v>
      </c>
      <c r="N660">
        <v>442</v>
      </c>
      <c r="O660">
        <v>551</v>
      </c>
      <c r="P660">
        <v>109</v>
      </c>
      <c r="Q660">
        <v>411</v>
      </c>
      <c r="R660">
        <v>569</v>
      </c>
      <c r="S660">
        <v>158</v>
      </c>
      <c r="T660">
        <v>193.8</v>
      </c>
      <c r="U660">
        <v>412</v>
      </c>
      <c r="V660">
        <v>396</v>
      </c>
      <c r="W660">
        <v>500</v>
      </c>
      <c r="X660">
        <v>2.79</v>
      </c>
    </row>
    <row r="661" spans="1:24" hidden="1" outlineLevel="2" x14ac:dyDescent="0.25">
      <c r="A661" t="str">
        <f t="shared" si="100"/>
        <v>AK6 - 2010</v>
      </c>
      <c r="B661" t="s">
        <v>33</v>
      </c>
      <c r="C661">
        <v>3</v>
      </c>
      <c r="D661">
        <v>26</v>
      </c>
      <c r="E661">
        <v>2010</v>
      </c>
      <c r="F661">
        <v>257.8</v>
      </c>
      <c r="G661">
        <v>4.2</v>
      </c>
      <c r="H661">
        <v>2.7</v>
      </c>
      <c r="I661">
        <v>1.5</v>
      </c>
      <c r="J661">
        <v>35</v>
      </c>
      <c r="K661">
        <v>67.5</v>
      </c>
      <c r="L661">
        <v>2087.9</v>
      </c>
      <c r="M661">
        <v>446</v>
      </c>
      <c r="N661">
        <v>402</v>
      </c>
      <c r="O661">
        <v>525</v>
      </c>
      <c r="P661">
        <v>123</v>
      </c>
      <c r="Q661">
        <v>332</v>
      </c>
      <c r="R661">
        <v>564</v>
      </c>
      <c r="S661">
        <v>232</v>
      </c>
      <c r="T661">
        <v>261.89999999999998</v>
      </c>
      <c r="U661">
        <v>404</v>
      </c>
      <c r="V661">
        <v>407</v>
      </c>
      <c r="W661">
        <v>500</v>
      </c>
      <c r="X661">
        <v>2.79</v>
      </c>
    </row>
    <row r="662" spans="1:24" hidden="1" outlineLevel="2" x14ac:dyDescent="0.25">
      <c r="A662" t="str">
        <f t="shared" si="100"/>
        <v>AK6 - 2010</v>
      </c>
      <c r="B662" t="s">
        <v>33</v>
      </c>
      <c r="C662">
        <v>4</v>
      </c>
      <c r="D662">
        <v>25</v>
      </c>
      <c r="E662">
        <v>2010</v>
      </c>
      <c r="F662">
        <v>173.1</v>
      </c>
      <c r="G662">
        <v>4.2</v>
      </c>
      <c r="H662">
        <v>3</v>
      </c>
      <c r="I662">
        <v>1.2</v>
      </c>
      <c r="J662">
        <v>28</v>
      </c>
      <c r="K662">
        <v>45.1</v>
      </c>
      <c r="L662">
        <v>941.3</v>
      </c>
      <c r="M662">
        <v>443</v>
      </c>
      <c r="N662">
        <v>402</v>
      </c>
      <c r="O662">
        <v>545</v>
      </c>
      <c r="P662">
        <v>143</v>
      </c>
      <c r="Q662">
        <v>359</v>
      </c>
      <c r="R662">
        <v>605</v>
      </c>
      <c r="S662">
        <v>246</v>
      </c>
      <c r="T662">
        <v>166.8</v>
      </c>
      <c r="U662">
        <v>412</v>
      </c>
      <c r="V662">
        <v>409</v>
      </c>
      <c r="W662">
        <v>500</v>
      </c>
      <c r="X662">
        <v>2.79</v>
      </c>
    </row>
    <row r="663" spans="1:24" hidden="1" outlineLevel="2" x14ac:dyDescent="0.25">
      <c r="A663" t="str">
        <f t="shared" si="100"/>
        <v>AK6 - 2010</v>
      </c>
      <c r="B663" t="s">
        <v>33</v>
      </c>
      <c r="C663">
        <v>5</v>
      </c>
      <c r="D663">
        <v>25</v>
      </c>
      <c r="E663">
        <v>2010</v>
      </c>
      <c r="F663">
        <v>232.3</v>
      </c>
      <c r="G663">
        <v>3</v>
      </c>
      <c r="H663">
        <v>2.1</v>
      </c>
      <c r="I663">
        <v>0.9</v>
      </c>
      <c r="J663">
        <v>30</v>
      </c>
      <c r="K663">
        <v>43.5</v>
      </c>
      <c r="L663">
        <v>1695.3</v>
      </c>
      <c r="M663">
        <v>425</v>
      </c>
      <c r="N663">
        <v>381</v>
      </c>
      <c r="O663">
        <v>528</v>
      </c>
      <c r="P663">
        <v>147</v>
      </c>
      <c r="Q663">
        <v>300</v>
      </c>
      <c r="R663">
        <v>547</v>
      </c>
      <c r="S663">
        <v>247</v>
      </c>
      <c r="T663">
        <v>224.7</v>
      </c>
      <c r="U663">
        <v>390</v>
      </c>
      <c r="V663">
        <v>376</v>
      </c>
      <c r="W663">
        <v>500</v>
      </c>
      <c r="X663">
        <v>2.79</v>
      </c>
    </row>
    <row r="664" spans="1:24" hidden="1" outlineLevel="2" x14ac:dyDescent="0.25">
      <c r="A664" t="str">
        <f t="shared" si="100"/>
        <v>AK6 - 2010</v>
      </c>
      <c r="B664" t="s">
        <v>33</v>
      </c>
      <c r="C664">
        <v>6</v>
      </c>
      <c r="D664">
        <v>26</v>
      </c>
      <c r="E664">
        <v>2010</v>
      </c>
      <c r="F664">
        <v>281</v>
      </c>
      <c r="G664">
        <v>7.2</v>
      </c>
      <c r="H664">
        <v>5.0999999999999996</v>
      </c>
      <c r="I664">
        <v>2.1</v>
      </c>
      <c r="J664">
        <v>29</v>
      </c>
      <c r="K664">
        <v>125.5</v>
      </c>
      <c r="L664">
        <v>2480.6</v>
      </c>
      <c r="M664">
        <v>435</v>
      </c>
      <c r="N664">
        <v>390</v>
      </c>
      <c r="O664">
        <v>545</v>
      </c>
      <c r="P664">
        <v>155</v>
      </c>
      <c r="Q664">
        <v>310</v>
      </c>
      <c r="R664">
        <v>577</v>
      </c>
      <c r="S664">
        <v>267</v>
      </c>
      <c r="T664">
        <v>282</v>
      </c>
      <c r="U664">
        <v>406</v>
      </c>
      <c r="V664">
        <v>411</v>
      </c>
      <c r="W664">
        <v>500</v>
      </c>
      <c r="X664">
        <v>2.79</v>
      </c>
    </row>
    <row r="665" spans="1:24" hidden="1" outlineLevel="2" x14ac:dyDescent="0.25">
      <c r="A665" t="str">
        <f t="shared" si="100"/>
        <v>AK6 - 2010</v>
      </c>
      <c r="B665" t="s">
        <v>33</v>
      </c>
      <c r="C665">
        <v>7</v>
      </c>
      <c r="D665">
        <v>26</v>
      </c>
      <c r="E665">
        <v>2010</v>
      </c>
      <c r="F665">
        <v>223.3</v>
      </c>
      <c r="G665">
        <v>2.7</v>
      </c>
      <c r="H665">
        <v>2.4</v>
      </c>
      <c r="I665">
        <v>0.3</v>
      </c>
      <c r="J665">
        <v>11</v>
      </c>
      <c r="K665">
        <v>37.700000000000003</v>
      </c>
      <c r="L665">
        <v>1566.5</v>
      </c>
      <c r="M665">
        <v>435</v>
      </c>
      <c r="N665">
        <v>415</v>
      </c>
      <c r="O665">
        <v>596</v>
      </c>
      <c r="P665">
        <v>181</v>
      </c>
      <c r="Q665">
        <v>348</v>
      </c>
      <c r="R665">
        <v>596</v>
      </c>
      <c r="S665">
        <v>248</v>
      </c>
      <c r="T665">
        <v>220.2</v>
      </c>
      <c r="U665">
        <v>418</v>
      </c>
      <c r="V665">
        <v>420</v>
      </c>
      <c r="W665">
        <v>500</v>
      </c>
      <c r="X665">
        <v>2.79</v>
      </c>
    </row>
    <row r="666" spans="1:24" hidden="1" outlineLevel="2" x14ac:dyDescent="0.25">
      <c r="A666" t="str">
        <f t="shared" si="100"/>
        <v>AK6 - 2010</v>
      </c>
      <c r="B666" t="s">
        <v>33</v>
      </c>
      <c r="C666">
        <v>8</v>
      </c>
      <c r="D666">
        <v>26</v>
      </c>
      <c r="E666">
        <v>2010</v>
      </c>
      <c r="F666">
        <v>213.6</v>
      </c>
      <c r="G666">
        <v>2.7</v>
      </c>
      <c r="H666">
        <v>2.4</v>
      </c>
      <c r="I666">
        <v>0.3</v>
      </c>
      <c r="J666">
        <v>11</v>
      </c>
      <c r="K666">
        <v>36</v>
      </c>
      <c r="L666">
        <v>1433.4</v>
      </c>
      <c r="M666">
        <v>398</v>
      </c>
      <c r="N666">
        <v>384</v>
      </c>
      <c r="O666">
        <v>511</v>
      </c>
      <c r="P666">
        <v>127</v>
      </c>
      <c r="Q666">
        <v>293</v>
      </c>
      <c r="R666">
        <v>511</v>
      </c>
      <c r="S666">
        <v>218</v>
      </c>
      <c r="T666">
        <v>222.3</v>
      </c>
      <c r="U666">
        <v>354</v>
      </c>
      <c r="V666">
        <v>355</v>
      </c>
      <c r="W666">
        <v>500</v>
      </c>
      <c r="X666">
        <v>2.79</v>
      </c>
    </row>
    <row r="667" spans="1:24" hidden="1" outlineLevel="2" x14ac:dyDescent="0.25">
      <c r="A667" t="str">
        <f t="shared" si="100"/>
        <v>AK6 - 2010</v>
      </c>
      <c r="B667" t="s">
        <v>33</v>
      </c>
      <c r="C667">
        <v>10</v>
      </c>
      <c r="D667">
        <v>26</v>
      </c>
      <c r="E667">
        <v>2010</v>
      </c>
      <c r="F667">
        <v>188.1</v>
      </c>
      <c r="G667">
        <v>3.9</v>
      </c>
      <c r="H667">
        <v>2.4</v>
      </c>
      <c r="I667">
        <v>1.5</v>
      </c>
      <c r="J667">
        <v>38</v>
      </c>
      <c r="K667">
        <v>45.6</v>
      </c>
      <c r="L667">
        <v>1111.5</v>
      </c>
      <c r="M667">
        <v>475</v>
      </c>
      <c r="N667">
        <v>430</v>
      </c>
      <c r="O667">
        <v>547</v>
      </c>
      <c r="P667">
        <v>117</v>
      </c>
      <c r="Q667">
        <v>278</v>
      </c>
      <c r="R667">
        <v>554</v>
      </c>
      <c r="S667">
        <v>276</v>
      </c>
      <c r="T667">
        <v>188.1</v>
      </c>
      <c r="U667">
        <v>437</v>
      </c>
      <c r="V667">
        <v>439</v>
      </c>
      <c r="W667">
        <v>500</v>
      </c>
      <c r="X667">
        <v>2.79</v>
      </c>
    </row>
    <row r="668" spans="1:24" hidden="1" outlineLevel="2" x14ac:dyDescent="0.25">
      <c r="A668" t="str">
        <f t="shared" si="100"/>
        <v>AK6 - 2010</v>
      </c>
      <c r="B668" t="s">
        <v>33</v>
      </c>
      <c r="C668">
        <v>12</v>
      </c>
      <c r="D668">
        <v>26</v>
      </c>
      <c r="E668">
        <v>2010</v>
      </c>
      <c r="F668">
        <v>187.7</v>
      </c>
      <c r="G668">
        <v>6.6</v>
      </c>
      <c r="H668">
        <v>5.7</v>
      </c>
      <c r="I668">
        <v>0.9</v>
      </c>
      <c r="J668">
        <v>13</v>
      </c>
      <c r="K668">
        <v>76.5</v>
      </c>
      <c r="L668">
        <v>1106.8</v>
      </c>
      <c r="M668">
        <v>438</v>
      </c>
      <c r="N668">
        <v>414</v>
      </c>
      <c r="O668">
        <v>585</v>
      </c>
      <c r="P668">
        <v>171</v>
      </c>
      <c r="Q668">
        <v>357</v>
      </c>
      <c r="R668">
        <v>613</v>
      </c>
      <c r="S668">
        <v>256</v>
      </c>
      <c r="T668">
        <v>189.3</v>
      </c>
      <c r="U668">
        <v>426</v>
      </c>
      <c r="V668">
        <v>428</v>
      </c>
      <c r="W668">
        <v>500</v>
      </c>
      <c r="X668">
        <v>2.79</v>
      </c>
    </row>
    <row r="669" spans="1:24" hidden="1" outlineLevel="2" x14ac:dyDescent="0.25">
      <c r="A669" t="str">
        <f t="shared" si="100"/>
        <v>AK6 - 2010</v>
      </c>
      <c r="B669" t="s">
        <v>33</v>
      </c>
      <c r="C669">
        <v>13</v>
      </c>
      <c r="D669">
        <v>25</v>
      </c>
      <c r="E669">
        <v>2010</v>
      </c>
      <c r="F669">
        <v>233</v>
      </c>
      <c r="G669">
        <v>5.0999999999999996</v>
      </c>
      <c r="H669">
        <v>4.5</v>
      </c>
      <c r="I669">
        <v>0.6</v>
      </c>
      <c r="J669">
        <v>11</v>
      </c>
      <c r="K669">
        <v>73.8</v>
      </c>
      <c r="L669">
        <v>1705.5</v>
      </c>
      <c r="M669">
        <v>388</v>
      </c>
      <c r="N669">
        <v>362</v>
      </c>
      <c r="O669">
        <v>586</v>
      </c>
      <c r="P669">
        <v>224</v>
      </c>
      <c r="Q669">
        <v>298</v>
      </c>
      <c r="R669">
        <v>592</v>
      </c>
      <c r="S669">
        <v>294</v>
      </c>
      <c r="T669">
        <v>221.4</v>
      </c>
      <c r="U669">
        <v>380</v>
      </c>
      <c r="V669">
        <v>378</v>
      </c>
      <c r="W669">
        <v>500</v>
      </c>
      <c r="X669">
        <v>2.79</v>
      </c>
    </row>
    <row r="670" spans="1:24" hidden="1" outlineLevel="2" x14ac:dyDescent="0.25">
      <c r="A670" t="str">
        <f t="shared" si="100"/>
        <v>AK6 - 2010</v>
      </c>
      <c r="B670" t="s">
        <v>33</v>
      </c>
      <c r="C670">
        <v>15</v>
      </c>
      <c r="D670">
        <v>25</v>
      </c>
      <c r="E670">
        <v>2010</v>
      </c>
      <c r="F670">
        <v>244</v>
      </c>
      <c r="G670">
        <v>2.1</v>
      </c>
      <c r="H670">
        <v>1.8</v>
      </c>
      <c r="I670">
        <v>0.3</v>
      </c>
      <c r="J670">
        <v>14</v>
      </c>
      <c r="K670">
        <v>32.1</v>
      </c>
      <c r="L670">
        <v>1870.4</v>
      </c>
      <c r="M670">
        <v>403</v>
      </c>
      <c r="N670">
        <v>384</v>
      </c>
      <c r="O670">
        <v>515</v>
      </c>
      <c r="P670">
        <v>131</v>
      </c>
      <c r="Q670">
        <v>343</v>
      </c>
      <c r="R670">
        <v>515</v>
      </c>
      <c r="S670">
        <v>172</v>
      </c>
      <c r="T670">
        <v>222.9</v>
      </c>
      <c r="U670">
        <v>390</v>
      </c>
      <c r="V670">
        <v>386</v>
      </c>
      <c r="W670">
        <v>500</v>
      </c>
      <c r="X670">
        <v>2.79</v>
      </c>
    </row>
    <row r="671" spans="1:24" hidden="1" outlineLevel="2" x14ac:dyDescent="0.25">
      <c r="A671" t="str">
        <f t="shared" si="100"/>
        <v>AK6 - 2010</v>
      </c>
      <c r="B671" t="s">
        <v>33</v>
      </c>
      <c r="C671">
        <v>14</v>
      </c>
      <c r="D671">
        <v>26</v>
      </c>
      <c r="E671">
        <v>2010</v>
      </c>
      <c r="F671">
        <v>300.3</v>
      </c>
      <c r="G671">
        <v>5.0999999999999996</v>
      </c>
      <c r="H671">
        <v>3.3</v>
      </c>
      <c r="I671">
        <v>1.8</v>
      </c>
      <c r="J671">
        <v>35</v>
      </c>
      <c r="K671">
        <v>95.4</v>
      </c>
      <c r="L671">
        <v>2833.1</v>
      </c>
      <c r="M671">
        <v>442</v>
      </c>
      <c r="N671">
        <v>378</v>
      </c>
      <c r="O671">
        <v>558</v>
      </c>
      <c r="P671">
        <v>180</v>
      </c>
      <c r="Q671">
        <v>318</v>
      </c>
      <c r="R671">
        <v>591</v>
      </c>
      <c r="S671">
        <v>273</v>
      </c>
      <c r="T671">
        <v>292.2</v>
      </c>
      <c r="U671">
        <v>398</v>
      </c>
      <c r="V671">
        <v>397</v>
      </c>
      <c r="W671">
        <v>500</v>
      </c>
      <c r="X671">
        <v>2.79</v>
      </c>
    </row>
    <row r="672" spans="1:24" hidden="1" outlineLevel="2" x14ac:dyDescent="0.25">
      <c r="A672" t="str">
        <f t="shared" si="100"/>
        <v>AK6 - 2010</v>
      </c>
      <c r="B672" t="s">
        <v>33</v>
      </c>
      <c r="C672" t="s">
        <v>35</v>
      </c>
      <c r="D672">
        <v>25</v>
      </c>
      <c r="E672">
        <v>2010</v>
      </c>
      <c r="F672">
        <v>206.9</v>
      </c>
      <c r="G672">
        <v>2.7</v>
      </c>
      <c r="H672">
        <v>1.8</v>
      </c>
      <c r="I672">
        <v>0.9</v>
      </c>
      <c r="J672">
        <v>33</v>
      </c>
      <c r="K672">
        <v>34.9</v>
      </c>
      <c r="L672">
        <v>1344.8</v>
      </c>
      <c r="M672">
        <v>461</v>
      </c>
      <c r="N672">
        <v>427</v>
      </c>
      <c r="O672">
        <v>529</v>
      </c>
      <c r="P672">
        <v>102</v>
      </c>
      <c r="Q672">
        <v>362</v>
      </c>
      <c r="R672">
        <v>568</v>
      </c>
      <c r="S672">
        <v>206</v>
      </c>
      <c r="T672">
        <v>205.5</v>
      </c>
      <c r="U672">
        <v>422</v>
      </c>
      <c r="V672">
        <v>415</v>
      </c>
      <c r="W672">
        <v>500</v>
      </c>
      <c r="X672">
        <v>2.79</v>
      </c>
    </row>
    <row r="673" spans="1:24" outlineLevel="1" collapsed="1" x14ac:dyDescent="0.25">
      <c r="A673" s="8" t="s">
        <v>86</v>
      </c>
      <c r="D673">
        <f t="shared" ref="D673:V673" si="101">SUBTOTAL(1,D659:D672)</f>
        <v>25.571428571428573</v>
      </c>
      <c r="E673">
        <f t="shared" si="101"/>
        <v>2010</v>
      </c>
      <c r="F673">
        <f t="shared" si="101"/>
        <v>225.65</v>
      </c>
      <c r="G673">
        <f t="shared" si="101"/>
        <v>4.0285714285714294</v>
      </c>
      <c r="H673">
        <f t="shared" si="101"/>
        <v>2.9357142857142842</v>
      </c>
      <c r="I673">
        <f t="shared" si="101"/>
        <v>1.0928571428571432</v>
      </c>
      <c r="J673">
        <f t="shared" si="101"/>
        <v>26.071428571428573</v>
      </c>
      <c r="K673">
        <f t="shared" si="101"/>
        <v>57.471428571428575</v>
      </c>
      <c r="L673">
        <f t="shared" si="101"/>
        <v>1637.5214285714285</v>
      </c>
      <c r="M673">
        <f t="shared" si="101"/>
        <v>440.28571428571428</v>
      </c>
      <c r="N673">
        <f t="shared" si="101"/>
        <v>403.21428571428572</v>
      </c>
      <c r="O673">
        <f t="shared" si="101"/>
        <v>549.28571428571433</v>
      </c>
      <c r="P673">
        <f t="shared" si="101"/>
        <v>146.07142857142858</v>
      </c>
      <c r="Q673">
        <f t="shared" si="101"/>
        <v>336.42857142857144</v>
      </c>
      <c r="R673">
        <f t="shared" si="101"/>
        <v>572.92857142857144</v>
      </c>
      <c r="S673">
        <f t="shared" si="101"/>
        <v>236.5</v>
      </c>
      <c r="T673">
        <f t="shared" si="101"/>
        <v>221.6357142857143</v>
      </c>
      <c r="U673">
        <f t="shared" si="101"/>
        <v>404.92857142857144</v>
      </c>
      <c r="V673">
        <f t="shared" si="101"/>
        <v>402.14285714285717</v>
      </c>
    </row>
    <row r="674" spans="1:24" hidden="1" outlineLevel="2" x14ac:dyDescent="0.25">
      <c r="A674" t="str">
        <f t="shared" ref="A674:A686" si="102">CONCATENATE(B674," - ",E674)</f>
        <v>AK6 - 2011</v>
      </c>
      <c r="B674" t="s">
        <v>33</v>
      </c>
      <c r="C674">
        <v>1</v>
      </c>
      <c r="D674">
        <v>26</v>
      </c>
      <c r="E674">
        <v>2011</v>
      </c>
      <c r="F674">
        <v>220.8</v>
      </c>
      <c r="G674">
        <v>4.2</v>
      </c>
      <c r="H674">
        <v>3</v>
      </c>
      <c r="I674">
        <v>1.2</v>
      </c>
      <c r="J674">
        <v>28</v>
      </c>
      <c r="K674">
        <v>57.7</v>
      </c>
      <c r="L674">
        <v>1531.6</v>
      </c>
      <c r="M674">
        <v>479</v>
      </c>
      <c r="N674">
        <v>443</v>
      </c>
      <c r="O674">
        <v>571</v>
      </c>
      <c r="P674">
        <v>128</v>
      </c>
      <c r="Q674">
        <v>411</v>
      </c>
      <c r="R674">
        <v>605</v>
      </c>
      <c r="S674">
        <v>194</v>
      </c>
      <c r="T674">
        <v>211.8</v>
      </c>
      <c r="U674">
        <v>420</v>
      </c>
      <c r="V674">
        <v>413</v>
      </c>
      <c r="W674">
        <v>500</v>
      </c>
      <c r="X674">
        <v>2.79</v>
      </c>
    </row>
    <row r="675" spans="1:24" hidden="1" outlineLevel="2" x14ac:dyDescent="0.25">
      <c r="A675" t="str">
        <f t="shared" si="102"/>
        <v>AK6 - 2011</v>
      </c>
      <c r="B675" t="s">
        <v>33</v>
      </c>
      <c r="C675">
        <v>2</v>
      </c>
      <c r="D675">
        <v>27</v>
      </c>
      <c r="E675">
        <v>2011</v>
      </c>
      <c r="F675">
        <v>202.9</v>
      </c>
      <c r="G675">
        <v>1.5</v>
      </c>
      <c r="H675">
        <v>0.9</v>
      </c>
      <c r="I675">
        <v>0.6</v>
      </c>
      <c r="J675">
        <v>40</v>
      </c>
      <c r="K675">
        <v>19.100000000000001</v>
      </c>
      <c r="L675">
        <v>1293.3</v>
      </c>
      <c r="M675">
        <v>477</v>
      </c>
      <c r="N675">
        <v>430</v>
      </c>
      <c r="O675">
        <v>548</v>
      </c>
      <c r="P675">
        <v>118</v>
      </c>
      <c r="Q675">
        <v>420</v>
      </c>
      <c r="R675">
        <v>591</v>
      </c>
      <c r="S675">
        <v>171</v>
      </c>
      <c r="T675">
        <v>193.8</v>
      </c>
      <c r="U675">
        <v>412</v>
      </c>
      <c r="V675">
        <v>396</v>
      </c>
      <c r="W675">
        <v>500</v>
      </c>
      <c r="X675">
        <v>2.79</v>
      </c>
    </row>
    <row r="676" spans="1:24" hidden="1" outlineLevel="2" x14ac:dyDescent="0.25">
      <c r="A676" t="str">
        <f t="shared" si="102"/>
        <v>AK6 - 2011</v>
      </c>
      <c r="B676" t="s">
        <v>33</v>
      </c>
      <c r="C676">
        <v>3</v>
      </c>
      <c r="D676">
        <v>27</v>
      </c>
      <c r="E676">
        <v>2011</v>
      </c>
      <c r="F676">
        <v>262.3</v>
      </c>
      <c r="G676">
        <v>4.5</v>
      </c>
      <c r="H676">
        <v>3.3</v>
      </c>
      <c r="I676">
        <v>1.2</v>
      </c>
      <c r="J676">
        <v>26</v>
      </c>
      <c r="K676">
        <v>73.5</v>
      </c>
      <c r="L676">
        <v>2161.5</v>
      </c>
      <c r="M676">
        <v>459</v>
      </c>
      <c r="N676">
        <v>436</v>
      </c>
      <c r="O676">
        <v>522</v>
      </c>
      <c r="P676">
        <v>86</v>
      </c>
      <c r="Q676">
        <v>337</v>
      </c>
      <c r="R676">
        <v>552</v>
      </c>
      <c r="S676">
        <v>215</v>
      </c>
      <c r="T676">
        <v>261.89999999999998</v>
      </c>
      <c r="U676">
        <v>404</v>
      </c>
      <c r="V676">
        <v>407</v>
      </c>
      <c r="W676">
        <v>500</v>
      </c>
      <c r="X676">
        <v>2.79</v>
      </c>
    </row>
    <row r="677" spans="1:24" hidden="1" outlineLevel="2" x14ac:dyDescent="0.25">
      <c r="A677" t="str">
        <f t="shared" si="102"/>
        <v>AK6 - 2011</v>
      </c>
      <c r="B677" t="s">
        <v>33</v>
      </c>
      <c r="C677">
        <v>4</v>
      </c>
      <c r="D677">
        <v>26</v>
      </c>
      <c r="E677">
        <v>2011</v>
      </c>
      <c r="F677">
        <v>177</v>
      </c>
      <c r="G677">
        <v>3.9</v>
      </c>
      <c r="H677">
        <v>3</v>
      </c>
      <c r="I677">
        <v>0.9</v>
      </c>
      <c r="J677">
        <v>23</v>
      </c>
      <c r="K677">
        <v>42.9</v>
      </c>
      <c r="L677">
        <v>984.2</v>
      </c>
      <c r="M677">
        <v>424</v>
      </c>
      <c r="N677">
        <v>397</v>
      </c>
      <c r="O677">
        <v>515</v>
      </c>
      <c r="P677">
        <v>118</v>
      </c>
      <c r="Q677">
        <v>372</v>
      </c>
      <c r="R677">
        <v>535</v>
      </c>
      <c r="S677">
        <v>163</v>
      </c>
      <c r="T677">
        <v>166.8</v>
      </c>
      <c r="U677">
        <v>412</v>
      </c>
      <c r="V677">
        <v>409</v>
      </c>
      <c r="W677">
        <v>500</v>
      </c>
      <c r="X677">
        <v>2.79</v>
      </c>
    </row>
    <row r="678" spans="1:24" hidden="1" outlineLevel="2" x14ac:dyDescent="0.25">
      <c r="A678" t="str">
        <f t="shared" si="102"/>
        <v>AK6 - 2011</v>
      </c>
      <c r="B678" t="s">
        <v>33</v>
      </c>
      <c r="C678">
        <v>5</v>
      </c>
      <c r="D678">
        <v>26</v>
      </c>
      <c r="E678">
        <v>2011</v>
      </c>
      <c r="F678">
        <v>235.6</v>
      </c>
      <c r="G678">
        <v>3.3</v>
      </c>
      <c r="H678">
        <v>2.7</v>
      </c>
      <c r="I678">
        <v>0.6</v>
      </c>
      <c r="J678">
        <v>18</v>
      </c>
      <c r="K678">
        <v>48.5</v>
      </c>
      <c r="L678">
        <v>1743.8</v>
      </c>
      <c r="M678">
        <v>444</v>
      </c>
      <c r="N678">
        <v>413</v>
      </c>
      <c r="O678">
        <v>585</v>
      </c>
      <c r="P678">
        <v>172</v>
      </c>
      <c r="Q678">
        <v>354</v>
      </c>
      <c r="R678">
        <v>603</v>
      </c>
      <c r="S678">
        <v>249</v>
      </c>
      <c r="T678">
        <v>224.7</v>
      </c>
      <c r="U678">
        <v>390</v>
      </c>
      <c r="V678">
        <v>376</v>
      </c>
      <c r="W678">
        <v>500</v>
      </c>
      <c r="X678">
        <v>2.79</v>
      </c>
    </row>
    <row r="679" spans="1:24" hidden="1" outlineLevel="2" x14ac:dyDescent="0.25">
      <c r="A679" t="str">
        <f t="shared" si="102"/>
        <v>AK6 - 2011</v>
      </c>
      <c r="B679" t="s">
        <v>33</v>
      </c>
      <c r="C679">
        <v>6</v>
      </c>
      <c r="D679">
        <v>27</v>
      </c>
      <c r="E679">
        <v>2011</v>
      </c>
      <c r="F679">
        <v>287.3</v>
      </c>
      <c r="G679">
        <v>6.3</v>
      </c>
      <c r="H679">
        <v>5.0999999999999996</v>
      </c>
      <c r="I679">
        <v>1.2</v>
      </c>
      <c r="J679">
        <v>19</v>
      </c>
      <c r="K679">
        <v>112.5</v>
      </c>
      <c r="L679">
        <v>2593.1</v>
      </c>
      <c r="M679">
        <v>409</v>
      </c>
      <c r="N679">
        <v>378</v>
      </c>
      <c r="O679">
        <v>540</v>
      </c>
      <c r="P679">
        <v>162</v>
      </c>
      <c r="Q679">
        <v>315</v>
      </c>
      <c r="R679">
        <v>579</v>
      </c>
      <c r="S679">
        <v>264</v>
      </c>
      <c r="T679">
        <v>282</v>
      </c>
      <c r="U679">
        <v>406</v>
      </c>
      <c r="V679">
        <v>411</v>
      </c>
      <c r="W679">
        <v>500</v>
      </c>
      <c r="X679">
        <v>2.79</v>
      </c>
    </row>
    <row r="680" spans="1:24" hidden="1" outlineLevel="2" x14ac:dyDescent="0.25">
      <c r="A680" t="str">
        <f t="shared" si="102"/>
        <v>AK6 - 2011</v>
      </c>
      <c r="B680" t="s">
        <v>33</v>
      </c>
      <c r="C680">
        <v>7</v>
      </c>
      <c r="D680">
        <v>27</v>
      </c>
      <c r="E680">
        <v>2011</v>
      </c>
      <c r="F680">
        <v>225.7</v>
      </c>
      <c r="G680">
        <v>2.4</v>
      </c>
      <c r="H680">
        <v>1.5</v>
      </c>
      <c r="I680">
        <v>0.9</v>
      </c>
      <c r="J680">
        <v>37</v>
      </c>
      <c r="K680">
        <v>33.9</v>
      </c>
      <c r="L680">
        <v>1600.3</v>
      </c>
      <c r="M680">
        <v>476</v>
      </c>
      <c r="N680">
        <v>436</v>
      </c>
      <c r="O680">
        <v>544</v>
      </c>
      <c r="P680">
        <v>108</v>
      </c>
      <c r="Q680">
        <v>370</v>
      </c>
      <c r="R680">
        <v>585</v>
      </c>
      <c r="S680">
        <v>215</v>
      </c>
      <c r="T680">
        <v>220.2</v>
      </c>
      <c r="U680">
        <v>418</v>
      </c>
      <c r="V680">
        <v>420</v>
      </c>
      <c r="W680">
        <v>500</v>
      </c>
      <c r="X680">
        <v>2.79</v>
      </c>
    </row>
    <row r="681" spans="1:24" hidden="1" outlineLevel="2" x14ac:dyDescent="0.25">
      <c r="A681" t="str">
        <f t="shared" si="102"/>
        <v>AK6 - 2011</v>
      </c>
      <c r="B681" t="s">
        <v>33</v>
      </c>
      <c r="C681">
        <v>8</v>
      </c>
      <c r="D681">
        <v>27</v>
      </c>
      <c r="E681">
        <v>2011</v>
      </c>
      <c r="F681">
        <v>217.2</v>
      </c>
      <c r="G681">
        <v>3.6</v>
      </c>
      <c r="H681">
        <v>3.3</v>
      </c>
      <c r="I681">
        <v>0.3</v>
      </c>
      <c r="J681">
        <v>8</v>
      </c>
      <c r="K681">
        <v>48.7</v>
      </c>
      <c r="L681">
        <v>1482.1</v>
      </c>
      <c r="M681">
        <v>393</v>
      </c>
      <c r="N681">
        <v>382</v>
      </c>
      <c r="O681">
        <v>508</v>
      </c>
      <c r="P681">
        <v>126</v>
      </c>
      <c r="Q681">
        <v>302</v>
      </c>
      <c r="R681">
        <v>508</v>
      </c>
      <c r="S681">
        <v>206</v>
      </c>
      <c r="T681">
        <v>222.3</v>
      </c>
      <c r="U681">
        <v>354</v>
      </c>
      <c r="V681">
        <v>355</v>
      </c>
      <c r="W681">
        <v>500</v>
      </c>
      <c r="X681">
        <v>2.79</v>
      </c>
    </row>
    <row r="682" spans="1:24" hidden="1" outlineLevel="2" x14ac:dyDescent="0.25">
      <c r="A682" t="str">
        <f t="shared" si="102"/>
        <v>AK6 - 2011</v>
      </c>
      <c r="B682" t="s">
        <v>33</v>
      </c>
      <c r="C682">
        <v>12</v>
      </c>
      <c r="D682">
        <v>27</v>
      </c>
      <c r="E682">
        <v>2011</v>
      </c>
      <c r="F682">
        <v>193.1</v>
      </c>
      <c r="G682">
        <v>5.4</v>
      </c>
      <c r="H682">
        <v>4.5</v>
      </c>
      <c r="I682">
        <v>0.9</v>
      </c>
      <c r="J682">
        <v>16</v>
      </c>
      <c r="K682">
        <v>64.599999999999994</v>
      </c>
      <c r="L682">
        <v>1171.4000000000001</v>
      </c>
      <c r="M682">
        <v>454</v>
      </c>
      <c r="N682">
        <v>427</v>
      </c>
      <c r="O682">
        <v>587</v>
      </c>
      <c r="P682">
        <v>160</v>
      </c>
      <c r="Q682">
        <v>385</v>
      </c>
      <c r="R682">
        <v>618</v>
      </c>
      <c r="S682">
        <v>233</v>
      </c>
      <c r="T682">
        <v>189.3</v>
      </c>
      <c r="U682">
        <v>426</v>
      </c>
      <c r="V682">
        <v>428</v>
      </c>
      <c r="W682">
        <v>500</v>
      </c>
      <c r="X682">
        <v>2.79</v>
      </c>
    </row>
    <row r="683" spans="1:24" hidden="1" outlineLevel="2" x14ac:dyDescent="0.25">
      <c r="A683" t="str">
        <f t="shared" si="102"/>
        <v>AK6 - 2011</v>
      </c>
      <c r="B683" t="s">
        <v>33</v>
      </c>
      <c r="C683">
        <v>13</v>
      </c>
      <c r="D683">
        <v>26</v>
      </c>
      <c r="E683">
        <v>2011</v>
      </c>
      <c r="F683">
        <v>237.2</v>
      </c>
      <c r="G683">
        <v>4.2</v>
      </c>
      <c r="H683">
        <v>3.6</v>
      </c>
      <c r="I683">
        <v>0.6</v>
      </c>
      <c r="J683">
        <v>14</v>
      </c>
      <c r="K683">
        <v>62</v>
      </c>
      <c r="L683">
        <v>1767.6</v>
      </c>
      <c r="M683">
        <v>394</v>
      </c>
      <c r="N683">
        <v>369</v>
      </c>
      <c r="O683">
        <v>544</v>
      </c>
      <c r="P683">
        <v>175</v>
      </c>
      <c r="Q683">
        <v>327</v>
      </c>
      <c r="R683">
        <v>576</v>
      </c>
      <c r="S683">
        <v>249</v>
      </c>
      <c r="T683">
        <v>221.4</v>
      </c>
      <c r="U683">
        <v>380</v>
      </c>
      <c r="V683">
        <v>378</v>
      </c>
      <c r="W683">
        <v>500</v>
      </c>
      <c r="X683">
        <v>2.79</v>
      </c>
    </row>
    <row r="684" spans="1:24" hidden="1" outlineLevel="2" x14ac:dyDescent="0.25">
      <c r="A684" t="str">
        <f t="shared" si="102"/>
        <v>AK6 - 2011</v>
      </c>
      <c r="B684" t="s">
        <v>33</v>
      </c>
      <c r="C684">
        <v>15</v>
      </c>
      <c r="D684">
        <v>26</v>
      </c>
      <c r="E684">
        <v>2011</v>
      </c>
      <c r="F684">
        <v>245.8</v>
      </c>
      <c r="G684">
        <v>1.8</v>
      </c>
      <c r="H684">
        <v>1.5</v>
      </c>
      <c r="I684">
        <v>0.3</v>
      </c>
      <c r="J684">
        <v>16</v>
      </c>
      <c r="K684">
        <v>27.7</v>
      </c>
      <c r="L684">
        <v>1898.1</v>
      </c>
      <c r="M684">
        <v>430</v>
      </c>
      <c r="N684">
        <v>410</v>
      </c>
      <c r="O684">
        <v>528</v>
      </c>
      <c r="P684">
        <v>118</v>
      </c>
      <c r="Q684">
        <v>351</v>
      </c>
      <c r="R684">
        <v>528</v>
      </c>
      <c r="S684">
        <v>177</v>
      </c>
      <c r="T684">
        <v>222.9</v>
      </c>
      <c r="U684">
        <v>390</v>
      </c>
      <c r="V684">
        <v>386</v>
      </c>
      <c r="W684">
        <v>500</v>
      </c>
      <c r="X684">
        <v>2.79</v>
      </c>
    </row>
    <row r="685" spans="1:24" hidden="1" outlineLevel="2" x14ac:dyDescent="0.25">
      <c r="A685" t="str">
        <f t="shared" si="102"/>
        <v>AK6 - 2011</v>
      </c>
      <c r="B685" t="s">
        <v>33</v>
      </c>
      <c r="C685">
        <v>14</v>
      </c>
      <c r="D685">
        <v>27</v>
      </c>
      <c r="E685">
        <v>2011</v>
      </c>
      <c r="F685">
        <v>304.2</v>
      </c>
      <c r="G685">
        <v>3.9</v>
      </c>
      <c r="H685">
        <v>3</v>
      </c>
      <c r="I685">
        <v>0.9</v>
      </c>
      <c r="J685">
        <v>23</v>
      </c>
      <c r="K685">
        <v>74.099999999999994</v>
      </c>
      <c r="L685">
        <v>2907.2</v>
      </c>
      <c r="M685">
        <v>449</v>
      </c>
      <c r="N685">
        <v>412</v>
      </c>
      <c r="O685">
        <v>572</v>
      </c>
      <c r="P685">
        <v>160</v>
      </c>
      <c r="Q685">
        <v>380</v>
      </c>
      <c r="R685">
        <v>602</v>
      </c>
      <c r="S685">
        <v>222</v>
      </c>
      <c r="T685">
        <v>292.2</v>
      </c>
      <c r="U685">
        <v>398</v>
      </c>
      <c r="V685">
        <v>397</v>
      </c>
      <c r="W685">
        <v>500</v>
      </c>
      <c r="X685">
        <v>2.79</v>
      </c>
    </row>
    <row r="686" spans="1:24" hidden="1" outlineLevel="2" x14ac:dyDescent="0.25">
      <c r="A686" t="str">
        <f t="shared" si="102"/>
        <v>AK6 - 2011</v>
      </c>
      <c r="B686" t="s">
        <v>33</v>
      </c>
      <c r="C686" t="s">
        <v>35</v>
      </c>
      <c r="D686">
        <v>26</v>
      </c>
      <c r="E686">
        <v>2011</v>
      </c>
      <c r="F686">
        <v>210.2</v>
      </c>
      <c r="G686">
        <v>3.3</v>
      </c>
      <c r="H686">
        <v>2.7</v>
      </c>
      <c r="I686">
        <v>0.6</v>
      </c>
      <c r="J686">
        <v>18</v>
      </c>
      <c r="K686">
        <v>43.2</v>
      </c>
      <c r="L686">
        <v>1388.1</v>
      </c>
      <c r="M686">
        <v>449</v>
      </c>
      <c r="N686">
        <v>428</v>
      </c>
      <c r="O686">
        <v>543</v>
      </c>
      <c r="P686">
        <v>115</v>
      </c>
      <c r="Q686">
        <v>348</v>
      </c>
      <c r="R686">
        <v>545</v>
      </c>
      <c r="S686">
        <v>197</v>
      </c>
      <c r="T686">
        <v>205.5</v>
      </c>
      <c r="U686">
        <v>422</v>
      </c>
      <c r="V686">
        <v>415</v>
      </c>
      <c r="W686">
        <v>500</v>
      </c>
      <c r="X686">
        <v>2.79</v>
      </c>
    </row>
    <row r="687" spans="1:24" outlineLevel="1" collapsed="1" x14ac:dyDescent="0.25">
      <c r="A687" s="8" t="s">
        <v>87</v>
      </c>
      <c r="D687">
        <f t="shared" ref="D687:V687" si="103">SUBTOTAL(1,D674:D686)</f>
        <v>26.53846153846154</v>
      </c>
      <c r="E687">
        <f t="shared" si="103"/>
        <v>2011</v>
      </c>
      <c r="F687">
        <f t="shared" si="103"/>
        <v>232.25384615384613</v>
      </c>
      <c r="G687">
        <f t="shared" si="103"/>
        <v>3.7153846153846151</v>
      </c>
      <c r="H687">
        <f t="shared" si="103"/>
        <v>2.9307692307692315</v>
      </c>
      <c r="I687">
        <f t="shared" si="103"/>
        <v>0.78461538461538471</v>
      </c>
      <c r="J687">
        <f t="shared" si="103"/>
        <v>22</v>
      </c>
      <c r="K687">
        <f t="shared" si="103"/>
        <v>54.492307692307698</v>
      </c>
      <c r="L687">
        <f t="shared" si="103"/>
        <v>1732.4846153846154</v>
      </c>
      <c r="M687">
        <f t="shared" si="103"/>
        <v>441.30769230769232</v>
      </c>
      <c r="N687">
        <f t="shared" si="103"/>
        <v>412.38461538461536</v>
      </c>
      <c r="O687">
        <f t="shared" si="103"/>
        <v>546.69230769230774</v>
      </c>
      <c r="P687">
        <f t="shared" si="103"/>
        <v>134.30769230769232</v>
      </c>
      <c r="Q687">
        <f t="shared" si="103"/>
        <v>359.38461538461536</v>
      </c>
      <c r="R687">
        <f t="shared" si="103"/>
        <v>571.30769230769226</v>
      </c>
      <c r="S687">
        <f t="shared" si="103"/>
        <v>211.92307692307693</v>
      </c>
      <c r="T687">
        <f t="shared" si="103"/>
        <v>224.21538461538461</v>
      </c>
      <c r="U687">
        <f t="shared" si="103"/>
        <v>402.46153846153845</v>
      </c>
      <c r="V687">
        <f t="shared" si="103"/>
        <v>399.30769230769232</v>
      </c>
    </row>
    <row r="688" spans="1:24" hidden="1" outlineLevel="2" x14ac:dyDescent="0.25">
      <c r="A688" t="str">
        <f t="shared" ref="A688:A700" si="104">CONCATENATE(B688," - ",E688)</f>
        <v>AK6 - 2012</v>
      </c>
      <c r="B688" t="s">
        <v>33</v>
      </c>
      <c r="C688">
        <v>1</v>
      </c>
      <c r="D688">
        <v>27</v>
      </c>
      <c r="E688">
        <v>2012</v>
      </c>
      <c r="F688">
        <v>223.8</v>
      </c>
      <c r="G688">
        <v>3</v>
      </c>
      <c r="H688">
        <v>2.4</v>
      </c>
      <c r="I688">
        <v>0.6</v>
      </c>
      <c r="J688">
        <v>20</v>
      </c>
      <c r="K688">
        <v>41.9</v>
      </c>
      <c r="L688">
        <v>1573.5</v>
      </c>
      <c r="M688">
        <v>470</v>
      </c>
      <c r="N688">
        <v>453</v>
      </c>
      <c r="O688">
        <v>542</v>
      </c>
      <c r="P688">
        <v>89</v>
      </c>
      <c r="Q688">
        <v>410</v>
      </c>
      <c r="R688">
        <v>560</v>
      </c>
      <c r="S688">
        <v>150</v>
      </c>
      <c r="T688">
        <v>211.8</v>
      </c>
      <c r="U688">
        <v>420</v>
      </c>
      <c r="V688">
        <v>413</v>
      </c>
      <c r="W688">
        <v>500</v>
      </c>
      <c r="X688">
        <v>2.79</v>
      </c>
    </row>
    <row r="689" spans="1:24" hidden="1" outlineLevel="2" x14ac:dyDescent="0.25">
      <c r="A689" t="str">
        <f t="shared" si="104"/>
        <v>AK6 - 2012</v>
      </c>
      <c r="B689" t="s">
        <v>33</v>
      </c>
      <c r="C689">
        <v>2</v>
      </c>
      <c r="D689">
        <v>28</v>
      </c>
      <c r="E689">
        <v>2012</v>
      </c>
      <c r="F689">
        <v>203.8</v>
      </c>
      <c r="G689">
        <v>0.9</v>
      </c>
      <c r="H689">
        <v>0.9</v>
      </c>
      <c r="I689">
        <v>0</v>
      </c>
      <c r="J689">
        <v>0</v>
      </c>
      <c r="K689">
        <v>11.5</v>
      </c>
      <c r="L689">
        <v>1304.8</v>
      </c>
      <c r="M689">
        <v>357</v>
      </c>
      <c r="N689">
        <v>357</v>
      </c>
      <c r="Q689">
        <v>252</v>
      </c>
      <c r="R689">
        <v>435</v>
      </c>
      <c r="S689">
        <v>183</v>
      </c>
      <c r="T689">
        <v>193.8</v>
      </c>
      <c r="U689">
        <v>412</v>
      </c>
      <c r="V689">
        <v>396</v>
      </c>
      <c r="W689">
        <v>500</v>
      </c>
      <c r="X689">
        <v>2.79</v>
      </c>
    </row>
    <row r="690" spans="1:24" hidden="1" outlineLevel="2" x14ac:dyDescent="0.25">
      <c r="A690" t="str">
        <f t="shared" si="104"/>
        <v>AK6 - 2012</v>
      </c>
      <c r="B690" t="s">
        <v>33</v>
      </c>
      <c r="C690">
        <v>3</v>
      </c>
      <c r="D690">
        <v>28</v>
      </c>
      <c r="E690">
        <v>2012</v>
      </c>
      <c r="F690">
        <v>265.3</v>
      </c>
      <c r="G690">
        <v>3</v>
      </c>
      <c r="H690">
        <v>3</v>
      </c>
      <c r="I690">
        <v>0</v>
      </c>
      <c r="J690">
        <v>0</v>
      </c>
      <c r="K690">
        <v>49.7</v>
      </c>
      <c r="L690">
        <v>2211.1999999999998</v>
      </c>
      <c r="M690">
        <v>429</v>
      </c>
      <c r="N690">
        <v>429</v>
      </c>
      <c r="Q690">
        <v>365</v>
      </c>
      <c r="R690">
        <v>462</v>
      </c>
      <c r="S690">
        <v>97</v>
      </c>
      <c r="T690">
        <v>261.89999999999998</v>
      </c>
      <c r="U690">
        <v>404</v>
      </c>
      <c r="V690">
        <v>407</v>
      </c>
      <c r="W690">
        <v>500</v>
      </c>
      <c r="X690">
        <v>2.79</v>
      </c>
    </row>
    <row r="691" spans="1:24" hidden="1" outlineLevel="2" x14ac:dyDescent="0.25">
      <c r="A691" t="str">
        <f t="shared" si="104"/>
        <v>AK6 - 2012</v>
      </c>
      <c r="B691" t="s">
        <v>33</v>
      </c>
      <c r="C691">
        <v>4</v>
      </c>
      <c r="D691">
        <v>27</v>
      </c>
      <c r="E691">
        <v>2012</v>
      </c>
      <c r="F691">
        <v>178.8</v>
      </c>
      <c r="G691">
        <v>1.8</v>
      </c>
      <c r="H691">
        <v>1.8</v>
      </c>
      <c r="I691">
        <v>0</v>
      </c>
      <c r="J691">
        <v>0</v>
      </c>
      <c r="K691">
        <v>20.100000000000001</v>
      </c>
      <c r="L691">
        <v>1004.3</v>
      </c>
      <c r="M691">
        <v>414</v>
      </c>
      <c r="N691">
        <v>414</v>
      </c>
      <c r="Q691">
        <v>372</v>
      </c>
      <c r="R691">
        <v>491</v>
      </c>
      <c r="S691">
        <v>119</v>
      </c>
      <c r="T691">
        <v>166.8</v>
      </c>
      <c r="U691">
        <v>412</v>
      </c>
      <c r="V691">
        <v>409</v>
      </c>
      <c r="W691">
        <v>500</v>
      </c>
      <c r="X691">
        <v>2.79</v>
      </c>
    </row>
    <row r="692" spans="1:24" hidden="1" outlineLevel="2" x14ac:dyDescent="0.25">
      <c r="A692" t="str">
        <f t="shared" si="104"/>
        <v>AK6 - 2012</v>
      </c>
      <c r="B692" t="s">
        <v>33</v>
      </c>
      <c r="C692">
        <v>5</v>
      </c>
      <c r="D692">
        <v>27</v>
      </c>
      <c r="E692">
        <v>2012</v>
      </c>
      <c r="F692">
        <v>237.7</v>
      </c>
      <c r="G692">
        <v>2.1</v>
      </c>
      <c r="H692">
        <v>1.2</v>
      </c>
      <c r="I692">
        <v>0.9</v>
      </c>
      <c r="J692">
        <v>42</v>
      </c>
      <c r="K692">
        <v>31.2</v>
      </c>
      <c r="L692">
        <v>1775</v>
      </c>
      <c r="M692">
        <v>463</v>
      </c>
      <c r="N692">
        <v>390</v>
      </c>
      <c r="O692">
        <v>560</v>
      </c>
      <c r="P692">
        <v>170</v>
      </c>
      <c r="Q692">
        <v>365</v>
      </c>
      <c r="R692">
        <v>587</v>
      </c>
      <c r="S692">
        <v>222</v>
      </c>
      <c r="T692">
        <v>224.7</v>
      </c>
      <c r="U692">
        <v>390</v>
      </c>
      <c r="V692">
        <v>376</v>
      </c>
      <c r="W692">
        <v>500</v>
      </c>
      <c r="X692">
        <v>2.79</v>
      </c>
    </row>
    <row r="693" spans="1:24" hidden="1" outlineLevel="2" x14ac:dyDescent="0.25">
      <c r="A693" t="str">
        <f t="shared" si="104"/>
        <v>AK6 - 2012</v>
      </c>
      <c r="B693" t="s">
        <v>33</v>
      </c>
      <c r="C693">
        <v>6</v>
      </c>
      <c r="D693">
        <v>28</v>
      </c>
      <c r="E693">
        <v>2012</v>
      </c>
      <c r="F693">
        <v>290</v>
      </c>
      <c r="G693">
        <v>2.7</v>
      </c>
      <c r="H693">
        <v>2.4</v>
      </c>
      <c r="I693">
        <v>0.3</v>
      </c>
      <c r="J693">
        <v>11</v>
      </c>
      <c r="K693">
        <v>49</v>
      </c>
      <c r="L693">
        <v>2642.1</v>
      </c>
      <c r="M693">
        <v>409</v>
      </c>
      <c r="N693">
        <v>393</v>
      </c>
      <c r="O693">
        <v>538</v>
      </c>
      <c r="P693">
        <v>145</v>
      </c>
      <c r="Q693">
        <v>305</v>
      </c>
      <c r="R693">
        <v>538</v>
      </c>
      <c r="S693">
        <v>233</v>
      </c>
      <c r="T693">
        <v>282</v>
      </c>
      <c r="U693">
        <v>406</v>
      </c>
      <c r="V693">
        <v>411</v>
      </c>
      <c r="W693">
        <v>500</v>
      </c>
      <c r="X693">
        <v>2.79</v>
      </c>
    </row>
    <row r="694" spans="1:24" hidden="1" outlineLevel="2" x14ac:dyDescent="0.25">
      <c r="A694" t="str">
        <f t="shared" si="104"/>
        <v>AK6 - 2012</v>
      </c>
      <c r="B694" t="s">
        <v>33</v>
      </c>
      <c r="C694">
        <v>7</v>
      </c>
      <c r="D694">
        <v>28</v>
      </c>
      <c r="E694">
        <v>2012</v>
      </c>
      <c r="F694">
        <v>227.2</v>
      </c>
      <c r="G694">
        <v>1.5</v>
      </c>
      <c r="H694">
        <v>0.9</v>
      </c>
      <c r="I694">
        <v>0.6</v>
      </c>
      <c r="J694">
        <v>40</v>
      </c>
      <c r="K694">
        <v>21.3</v>
      </c>
      <c r="L694">
        <v>1621.7</v>
      </c>
      <c r="M694">
        <v>511</v>
      </c>
      <c r="N694">
        <v>474</v>
      </c>
      <c r="O694">
        <v>568</v>
      </c>
      <c r="P694">
        <v>94</v>
      </c>
      <c r="Q694">
        <v>452</v>
      </c>
      <c r="R694">
        <v>586</v>
      </c>
      <c r="S694">
        <v>134</v>
      </c>
      <c r="T694">
        <v>220.2</v>
      </c>
      <c r="U694">
        <v>418</v>
      </c>
      <c r="V694">
        <v>420</v>
      </c>
      <c r="W694">
        <v>500</v>
      </c>
      <c r="X694">
        <v>2.79</v>
      </c>
    </row>
    <row r="695" spans="1:24" hidden="1" outlineLevel="2" x14ac:dyDescent="0.25">
      <c r="A695" t="str">
        <f t="shared" si="104"/>
        <v>AK6 - 2012</v>
      </c>
      <c r="B695" t="s">
        <v>33</v>
      </c>
      <c r="C695">
        <v>8</v>
      </c>
      <c r="D695">
        <v>28</v>
      </c>
      <c r="E695">
        <v>2012</v>
      </c>
      <c r="F695">
        <v>222.3</v>
      </c>
      <c r="G695">
        <v>5.0999999999999996</v>
      </c>
      <c r="H695">
        <v>5.0999999999999996</v>
      </c>
      <c r="I695">
        <v>0</v>
      </c>
      <c r="J695">
        <v>0</v>
      </c>
      <c r="K695">
        <v>70.400000000000006</v>
      </c>
      <c r="L695">
        <v>1552.5</v>
      </c>
      <c r="M695">
        <v>368</v>
      </c>
      <c r="N695">
        <v>368</v>
      </c>
      <c r="Q695">
        <v>242</v>
      </c>
      <c r="R695">
        <v>476</v>
      </c>
      <c r="S695">
        <v>234</v>
      </c>
      <c r="T695">
        <v>222.3</v>
      </c>
      <c r="U695">
        <v>354</v>
      </c>
      <c r="V695">
        <v>355</v>
      </c>
      <c r="W695">
        <v>500</v>
      </c>
      <c r="X695">
        <v>2.79</v>
      </c>
    </row>
    <row r="696" spans="1:24" hidden="1" outlineLevel="2" x14ac:dyDescent="0.25">
      <c r="A696" t="str">
        <f t="shared" si="104"/>
        <v>AK6 - 2012</v>
      </c>
      <c r="B696" t="s">
        <v>33</v>
      </c>
      <c r="C696">
        <v>12</v>
      </c>
      <c r="D696">
        <v>28</v>
      </c>
      <c r="E696">
        <v>2012</v>
      </c>
      <c r="F696">
        <v>197.3</v>
      </c>
      <c r="G696">
        <v>4.2</v>
      </c>
      <c r="H696">
        <v>2.7</v>
      </c>
      <c r="I696">
        <v>1.5</v>
      </c>
      <c r="J696">
        <v>35</v>
      </c>
      <c r="K696">
        <v>51.5</v>
      </c>
      <c r="L696">
        <v>1222.9000000000001</v>
      </c>
      <c r="M696">
        <v>457</v>
      </c>
      <c r="N696">
        <v>418</v>
      </c>
      <c r="O696">
        <v>527</v>
      </c>
      <c r="P696">
        <v>109</v>
      </c>
      <c r="Q696">
        <v>288</v>
      </c>
      <c r="R696">
        <v>542</v>
      </c>
      <c r="S696">
        <v>254</v>
      </c>
      <c r="T696">
        <v>189.3</v>
      </c>
      <c r="U696">
        <v>426</v>
      </c>
      <c r="V696">
        <v>428</v>
      </c>
      <c r="W696">
        <v>500</v>
      </c>
      <c r="X696">
        <v>2.79</v>
      </c>
    </row>
    <row r="697" spans="1:24" hidden="1" outlineLevel="2" x14ac:dyDescent="0.25">
      <c r="A697" t="str">
        <f t="shared" si="104"/>
        <v>AK6 - 2012</v>
      </c>
      <c r="B697" t="s">
        <v>33</v>
      </c>
      <c r="C697">
        <v>13</v>
      </c>
      <c r="D697">
        <v>27</v>
      </c>
      <c r="E697">
        <v>2012</v>
      </c>
      <c r="F697">
        <v>241.4</v>
      </c>
      <c r="G697">
        <v>4.2</v>
      </c>
      <c r="H697">
        <v>3.9</v>
      </c>
      <c r="I697">
        <v>0.3</v>
      </c>
      <c r="J697">
        <v>7</v>
      </c>
      <c r="K697">
        <v>63.1</v>
      </c>
      <c r="L697">
        <v>1830.7</v>
      </c>
      <c r="M697">
        <v>397</v>
      </c>
      <c r="N697">
        <v>386</v>
      </c>
      <c r="O697">
        <v>544</v>
      </c>
      <c r="P697">
        <v>158</v>
      </c>
      <c r="Q697">
        <v>303</v>
      </c>
      <c r="R697">
        <v>544</v>
      </c>
      <c r="S697">
        <v>241</v>
      </c>
      <c r="T697">
        <v>221.4</v>
      </c>
      <c r="U697">
        <v>380</v>
      </c>
      <c r="V697">
        <v>378</v>
      </c>
      <c r="W697">
        <v>500</v>
      </c>
      <c r="X697">
        <v>2.79</v>
      </c>
    </row>
    <row r="698" spans="1:24" hidden="1" outlineLevel="2" x14ac:dyDescent="0.25">
      <c r="A698" t="str">
        <f t="shared" si="104"/>
        <v>AK6 - 2012</v>
      </c>
      <c r="B698" t="s">
        <v>33</v>
      </c>
      <c r="C698">
        <v>15</v>
      </c>
      <c r="D698">
        <v>27</v>
      </c>
      <c r="E698">
        <v>2012</v>
      </c>
      <c r="F698">
        <v>247.9</v>
      </c>
      <c r="G698">
        <v>2.1</v>
      </c>
      <c r="H698">
        <v>2.1</v>
      </c>
      <c r="I698">
        <v>0</v>
      </c>
      <c r="J698">
        <v>0</v>
      </c>
      <c r="K698">
        <v>32.6</v>
      </c>
      <c r="L698">
        <v>1930.6</v>
      </c>
      <c r="M698">
        <v>414</v>
      </c>
      <c r="N698">
        <v>414</v>
      </c>
      <c r="Q698">
        <v>373</v>
      </c>
      <c r="R698">
        <v>469</v>
      </c>
      <c r="S698">
        <v>96</v>
      </c>
      <c r="T698">
        <v>222.9</v>
      </c>
      <c r="U698">
        <v>390</v>
      </c>
      <c r="V698">
        <v>386</v>
      </c>
      <c r="W698">
        <v>500</v>
      </c>
      <c r="X698">
        <v>2.79</v>
      </c>
    </row>
    <row r="699" spans="1:24" hidden="1" outlineLevel="2" x14ac:dyDescent="0.25">
      <c r="A699" t="str">
        <f t="shared" si="104"/>
        <v>AK6 - 2012</v>
      </c>
      <c r="B699" t="s">
        <v>33</v>
      </c>
      <c r="C699">
        <v>14</v>
      </c>
      <c r="D699">
        <v>28</v>
      </c>
      <c r="E699">
        <v>2012</v>
      </c>
      <c r="F699">
        <v>307.2</v>
      </c>
      <c r="G699">
        <v>3</v>
      </c>
      <c r="H699">
        <v>2.7</v>
      </c>
      <c r="I699">
        <v>0.3</v>
      </c>
      <c r="J699">
        <v>10</v>
      </c>
      <c r="K699">
        <v>57.6</v>
      </c>
      <c r="L699">
        <v>2964.8</v>
      </c>
      <c r="M699">
        <v>432</v>
      </c>
      <c r="N699">
        <v>423</v>
      </c>
      <c r="O699">
        <v>518</v>
      </c>
      <c r="P699">
        <v>95</v>
      </c>
      <c r="Q699">
        <v>361</v>
      </c>
      <c r="R699">
        <v>518</v>
      </c>
      <c r="S699">
        <v>157</v>
      </c>
      <c r="T699">
        <v>292.2</v>
      </c>
      <c r="U699">
        <v>398</v>
      </c>
      <c r="V699">
        <v>397</v>
      </c>
      <c r="W699">
        <v>500</v>
      </c>
      <c r="X699">
        <v>2.79</v>
      </c>
    </row>
    <row r="700" spans="1:24" hidden="1" outlineLevel="2" x14ac:dyDescent="0.25">
      <c r="A700" t="str">
        <f t="shared" si="104"/>
        <v>AK6 - 2012</v>
      </c>
      <c r="B700" t="s">
        <v>33</v>
      </c>
      <c r="C700" t="s">
        <v>35</v>
      </c>
      <c r="D700">
        <v>27</v>
      </c>
      <c r="E700">
        <v>2012</v>
      </c>
      <c r="F700">
        <v>213.5</v>
      </c>
      <c r="G700">
        <v>3.3</v>
      </c>
      <c r="H700">
        <v>3.3</v>
      </c>
      <c r="I700">
        <v>0</v>
      </c>
      <c r="J700">
        <v>0</v>
      </c>
      <c r="K700">
        <v>43.9</v>
      </c>
      <c r="L700">
        <v>1432</v>
      </c>
      <c r="M700">
        <v>436</v>
      </c>
      <c r="N700">
        <v>436</v>
      </c>
      <c r="Q700">
        <v>395</v>
      </c>
      <c r="R700">
        <v>475</v>
      </c>
      <c r="S700">
        <v>80</v>
      </c>
      <c r="T700">
        <v>205.5</v>
      </c>
      <c r="U700">
        <v>422</v>
      </c>
      <c r="V700">
        <v>415</v>
      </c>
      <c r="W700">
        <v>500</v>
      </c>
      <c r="X700">
        <v>2.79</v>
      </c>
    </row>
    <row r="701" spans="1:24" outlineLevel="1" collapsed="1" x14ac:dyDescent="0.25">
      <c r="A701" s="8" t="s">
        <v>88</v>
      </c>
      <c r="D701">
        <f t="shared" ref="D701:V701" si="105">SUBTOTAL(1,D688:D700)</f>
        <v>27.53846153846154</v>
      </c>
      <c r="E701">
        <f t="shared" si="105"/>
        <v>2012</v>
      </c>
      <c r="F701">
        <f t="shared" si="105"/>
        <v>235.09230769230768</v>
      </c>
      <c r="G701">
        <f t="shared" si="105"/>
        <v>2.8384615384615381</v>
      </c>
      <c r="H701">
        <f t="shared" si="105"/>
        <v>2.4923076923076923</v>
      </c>
      <c r="I701">
        <f t="shared" si="105"/>
        <v>0.34615384615384615</v>
      </c>
      <c r="J701">
        <f t="shared" si="105"/>
        <v>12.692307692307692</v>
      </c>
      <c r="K701">
        <f t="shared" si="105"/>
        <v>41.830769230769235</v>
      </c>
      <c r="L701">
        <f t="shared" si="105"/>
        <v>1774.3153846153846</v>
      </c>
      <c r="M701">
        <f t="shared" si="105"/>
        <v>427.46153846153845</v>
      </c>
      <c r="N701">
        <f t="shared" si="105"/>
        <v>411.92307692307691</v>
      </c>
      <c r="O701">
        <f t="shared" si="105"/>
        <v>542.42857142857144</v>
      </c>
      <c r="P701">
        <f t="shared" si="105"/>
        <v>122.85714285714286</v>
      </c>
      <c r="Q701">
        <f t="shared" si="105"/>
        <v>344.84615384615387</v>
      </c>
      <c r="R701">
        <f t="shared" si="105"/>
        <v>514.07692307692309</v>
      </c>
      <c r="S701">
        <f t="shared" si="105"/>
        <v>169.23076923076923</v>
      </c>
      <c r="T701">
        <f t="shared" si="105"/>
        <v>224.21538461538461</v>
      </c>
      <c r="U701">
        <f t="shared" si="105"/>
        <v>402.46153846153845</v>
      </c>
      <c r="V701">
        <f t="shared" si="105"/>
        <v>399.30769230769232</v>
      </c>
    </row>
    <row r="702" spans="1:24" hidden="1" outlineLevel="2" x14ac:dyDescent="0.25">
      <c r="A702" t="str">
        <f>CONCATENATE(B702," - ",E702)</f>
        <v>AK7 - 1986</v>
      </c>
      <c r="B702" t="s">
        <v>36</v>
      </c>
      <c r="C702">
        <v>12</v>
      </c>
      <c r="D702">
        <v>1</v>
      </c>
      <c r="E702">
        <v>1986</v>
      </c>
      <c r="F702">
        <v>11.4</v>
      </c>
      <c r="G702">
        <v>11.4</v>
      </c>
      <c r="H702">
        <v>8.4</v>
      </c>
      <c r="I702">
        <v>0</v>
      </c>
      <c r="J702">
        <v>0</v>
      </c>
      <c r="K702">
        <v>4.0999999999999996</v>
      </c>
      <c r="L702">
        <v>4.0999999999999996</v>
      </c>
      <c r="M702">
        <v>371</v>
      </c>
      <c r="N702">
        <v>371</v>
      </c>
      <c r="Q702">
        <v>300</v>
      </c>
      <c r="R702">
        <v>417</v>
      </c>
      <c r="S702">
        <v>117</v>
      </c>
      <c r="T702">
        <v>144.9</v>
      </c>
      <c r="U702">
        <v>426</v>
      </c>
      <c r="V702">
        <v>418</v>
      </c>
      <c r="W702">
        <v>500</v>
      </c>
      <c r="X702">
        <v>2.79</v>
      </c>
    </row>
    <row r="703" spans="1:24" outlineLevel="1" collapsed="1" x14ac:dyDescent="0.25">
      <c r="A703" s="8" t="s">
        <v>89</v>
      </c>
      <c r="D703">
        <f t="shared" ref="D703:V703" si="106">SUBTOTAL(1,D702:D702)</f>
        <v>1</v>
      </c>
      <c r="E703">
        <f t="shared" si="106"/>
        <v>1986</v>
      </c>
      <c r="F703">
        <f t="shared" si="106"/>
        <v>11.4</v>
      </c>
      <c r="G703">
        <f t="shared" si="106"/>
        <v>11.4</v>
      </c>
      <c r="H703">
        <f t="shared" si="106"/>
        <v>8.4</v>
      </c>
      <c r="I703">
        <f t="shared" si="106"/>
        <v>0</v>
      </c>
      <c r="J703">
        <f t="shared" si="106"/>
        <v>0</v>
      </c>
      <c r="K703">
        <f t="shared" si="106"/>
        <v>4.0999999999999996</v>
      </c>
      <c r="L703">
        <f t="shared" si="106"/>
        <v>4.0999999999999996</v>
      </c>
      <c r="M703">
        <f t="shared" si="106"/>
        <v>371</v>
      </c>
      <c r="N703">
        <f t="shared" si="106"/>
        <v>371</v>
      </c>
      <c r="O703" t="e">
        <f t="shared" si="106"/>
        <v>#DIV/0!</v>
      </c>
      <c r="P703" t="e">
        <f t="shared" si="106"/>
        <v>#DIV/0!</v>
      </c>
      <c r="Q703">
        <f t="shared" si="106"/>
        <v>300</v>
      </c>
      <c r="R703">
        <f t="shared" si="106"/>
        <v>417</v>
      </c>
      <c r="S703">
        <f t="shared" si="106"/>
        <v>117</v>
      </c>
      <c r="T703">
        <f t="shared" si="106"/>
        <v>144.9</v>
      </c>
      <c r="U703">
        <f t="shared" si="106"/>
        <v>426</v>
      </c>
      <c r="V703">
        <f t="shared" si="106"/>
        <v>418</v>
      </c>
    </row>
    <row r="704" spans="1:24" hidden="1" outlineLevel="2" x14ac:dyDescent="0.25">
      <c r="A704" t="str">
        <f>CONCATENATE(B704," - ",E704)</f>
        <v>AK7 - 1987</v>
      </c>
      <c r="B704" t="s">
        <v>36</v>
      </c>
      <c r="C704">
        <v>9</v>
      </c>
      <c r="D704">
        <v>1</v>
      </c>
      <c r="E704">
        <v>1987</v>
      </c>
      <c r="F704">
        <v>9.6999999999999993</v>
      </c>
      <c r="G704">
        <v>9.6999999999999993</v>
      </c>
      <c r="H704">
        <v>8.6999999999999993</v>
      </c>
      <c r="I704">
        <v>0</v>
      </c>
      <c r="J704">
        <v>0</v>
      </c>
      <c r="K704">
        <v>3</v>
      </c>
      <c r="L704">
        <v>3</v>
      </c>
      <c r="M704">
        <v>329</v>
      </c>
      <c r="N704">
        <v>329</v>
      </c>
      <c r="Q704">
        <v>236</v>
      </c>
      <c r="R704">
        <v>447</v>
      </c>
      <c r="S704">
        <v>211</v>
      </c>
      <c r="T704">
        <v>227.1</v>
      </c>
      <c r="U704">
        <v>411</v>
      </c>
      <c r="V704">
        <v>418</v>
      </c>
      <c r="W704">
        <v>500</v>
      </c>
      <c r="X704">
        <v>2.79</v>
      </c>
    </row>
    <row r="705" spans="1:24" hidden="1" outlineLevel="2" x14ac:dyDescent="0.25">
      <c r="A705" t="str">
        <f>CONCATENATE(B705," - ",E705)</f>
        <v>AK7 - 1987</v>
      </c>
      <c r="B705" t="s">
        <v>36</v>
      </c>
      <c r="C705">
        <v>11</v>
      </c>
      <c r="D705">
        <v>1</v>
      </c>
      <c r="E705">
        <v>1987</v>
      </c>
      <c r="F705">
        <v>7.2</v>
      </c>
      <c r="G705">
        <v>7.2</v>
      </c>
      <c r="H705">
        <v>6.6</v>
      </c>
      <c r="I705">
        <v>0.6</v>
      </c>
      <c r="J705">
        <v>8</v>
      </c>
      <c r="K705">
        <v>1.6</v>
      </c>
      <c r="L705">
        <v>1.6</v>
      </c>
      <c r="M705">
        <v>369</v>
      </c>
      <c r="N705">
        <v>354</v>
      </c>
      <c r="O705">
        <v>523</v>
      </c>
      <c r="P705">
        <v>169</v>
      </c>
      <c r="Q705">
        <v>222</v>
      </c>
      <c r="R705">
        <v>533</v>
      </c>
      <c r="S705">
        <v>311</v>
      </c>
      <c r="T705">
        <v>137.69999999999999</v>
      </c>
      <c r="U705">
        <v>408</v>
      </c>
      <c r="V705">
        <v>408</v>
      </c>
      <c r="W705">
        <v>500</v>
      </c>
      <c r="X705">
        <v>2.79</v>
      </c>
    </row>
    <row r="706" spans="1:24" hidden="1" outlineLevel="2" x14ac:dyDescent="0.25">
      <c r="A706" t="str">
        <f>CONCATENATE(B706," - ",E706)</f>
        <v>AK7 - 1987</v>
      </c>
      <c r="B706" t="s">
        <v>36</v>
      </c>
      <c r="C706">
        <v>12</v>
      </c>
      <c r="D706">
        <v>2</v>
      </c>
      <c r="E706">
        <v>1987</v>
      </c>
      <c r="F706">
        <v>32.1</v>
      </c>
      <c r="G706">
        <v>20.7</v>
      </c>
      <c r="H706">
        <v>20.7</v>
      </c>
      <c r="I706">
        <v>0</v>
      </c>
      <c r="J706">
        <v>0</v>
      </c>
      <c r="K706">
        <v>28.3</v>
      </c>
      <c r="L706">
        <v>32.4</v>
      </c>
      <c r="M706">
        <v>350</v>
      </c>
      <c r="N706">
        <v>350</v>
      </c>
      <c r="Q706">
        <v>278</v>
      </c>
      <c r="R706">
        <v>477</v>
      </c>
      <c r="S706">
        <v>199</v>
      </c>
      <c r="T706">
        <v>144.9</v>
      </c>
      <c r="U706">
        <v>426</v>
      </c>
      <c r="V706">
        <v>418</v>
      </c>
      <c r="W706">
        <v>500</v>
      </c>
      <c r="X706">
        <v>2.79</v>
      </c>
    </row>
    <row r="707" spans="1:24" hidden="1" outlineLevel="2" x14ac:dyDescent="0.25">
      <c r="A707" t="str">
        <f>CONCATENATE(B707," - ",E707)</f>
        <v>AK7 - 1987</v>
      </c>
      <c r="B707" t="s">
        <v>36</v>
      </c>
      <c r="C707">
        <v>13</v>
      </c>
      <c r="D707">
        <v>2</v>
      </c>
      <c r="E707">
        <v>1987</v>
      </c>
      <c r="F707">
        <v>26.9</v>
      </c>
      <c r="G707">
        <v>26.9</v>
      </c>
      <c r="H707">
        <v>20.100000000000001</v>
      </c>
      <c r="I707">
        <v>1.8</v>
      </c>
      <c r="J707">
        <v>6</v>
      </c>
      <c r="K707">
        <v>22.7</v>
      </c>
      <c r="L707">
        <v>22.7</v>
      </c>
      <c r="M707">
        <v>374</v>
      </c>
      <c r="N707">
        <v>361</v>
      </c>
      <c r="O707">
        <v>522</v>
      </c>
      <c r="P707">
        <v>161</v>
      </c>
      <c r="Q707">
        <v>178</v>
      </c>
      <c r="R707">
        <v>543</v>
      </c>
      <c r="S707">
        <v>365</v>
      </c>
      <c r="T707">
        <v>226.2</v>
      </c>
      <c r="U707">
        <v>428</v>
      </c>
      <c r="V707">
        <v>431</v>
      </c>
      <c r="W707">
        <v>500</v>
      </c>
      <c r="X707">
        <v>2.79</v>
      </c>
    </row>
    <row r="708" spans="1:24" outlineLevel="1" collapsed="1" x14ac:dyDescent="0.25">
      <c r="A708" s="8" t="s">
        <v>90</v>
      </c>
      <c r="D708">
        <f t="shared" ref="D708:V708" si="107">SUBTOTAL(1,D704:D707)</f>
        <v>1.5</v>
      </c>
      <c r="E708">
        <f t="shared" si="107"/>
        <v>1987</v>
      </c>
      <c r="F708">
        <f t="shared" si="107"/>
        <v>18.975000000000001</v>
      </c>
      <c r="G708">
        <f t="shared" si="107"/>
        <v>16.125</v>
      </c>
      <c r="H708">
        <f t="shared" si="107"/>
        <v>14.025</v>
      </c>
      <c r="I708">
        <f t="shared" si="107"/>
        <v>0.6</v>
      </c>
      <c r="J708">
        <f t="shared" si="107"/>
        <v>3.5</v>
      </c>
      <c r="K708">
        <f t="shared" si="107"/>
        <v>13.899999999999999</v>
      </c>
      <c r="L708">
        <f t="shared" si="107"/>
        <v>14.925000000000001</v>
      </c>
      <c r="M708">
        <f t="shared" si="107"/>
        <v>355.5</v>
      </c>
      <c r="N708">
        <f t="shared" si="107"/>
        <v>348.5</v>
      </c>
      <c r="O708">
        <f t="shared" si="107"/>
        <v>522.5</v>
      </c>
      <c r="P708">
        <f t="shared" si="107"/>
        <v>165</v>
      </c>
      <c r="Q708">
        <f t="shared" si="107"/>
        <v>228.5</v>
      </c>
      <c r="R708">
        <f t="shared" si="107"/>
        <v>500</v>
      </c>
      <c r="S708">
        <f t="shared" si="107"/>
        <v>271.5</v>
      </c>
      <c r="T708">
        <f t="shared" si="107"/>
        <v>183.97499999999997</v>
      </c>
      <c r="U708">
        <f t="shared" si="107"/>
        <v>418.25</v>
      </c>
      <c r="V708">
        <f t="shared" si="107"/>
        <v>418.75</v>
      </c>
    </row>
    <row r="709" spans="1:24" hidden="1" outlineLevel="2" x14ac:dyDescent="0.25">
      <c r="A709" t="str">
        <f t="shared" ref="A709:A717" si="108">CONCATENATE(B709," - ",E709)</f>
        <v>AK7 - 1988</v>
      </c>
      <c r="B709" t="s">
        <v>36</v>
      </c>
      <c r="C709">
        <v>1</v>
      </c>
      <c r="D709">
        <v>3</v>
      </c>
      <c r="E709">
        <v>1988</v>
      </c>
      <c r="F709">
        <v>37.9</v>
      </c>
      <c r="G709">
        <v>37.9</v>
      </c>
      <c r="H709">
        <v>12.9</v>
      </c>
      <c r="I709">
        <v>0</v>
      </c>
      <c r="J709">
        <v>0</v>
      </c>
      <c r="K709">
        <v>45.1</v>
      </c>
      <c r="L709">
        <v>45.1</v>
      </c>
      <c r="M709">
        <v>356</v>
      </c>
      <c r="N709">
        <v>356</v>
      </c>
      <c r="Q709">
        <v>266</v>
      </c>
      <c r="R709">
        <v>460</v>
      </c>
      <c r="S709">
        <v>194</v>
      </c>
      <c r="T709">
        <v>184.2</v>
      </c>
      <c r="U709">
        <v>438</v>
      </c>
      <c r="V709">
        <v>433</v>
      </c>
      <c r="W709">
        <v>500</v>
      </c>
      <c r="X709">
        <v>2.79</v>
      </c>
    </row>
    <row r="710" spans="1:24" hidden="1" outlineLevel="2" x14ac:dyDescent="0.25">
      <c r="A710" t="str">
        <f t="shared" si="108"/>
        <v>AK7 - 1988</v>
      </c>
      <c r="B710" t="s">
        <v>36</v>
      </c>
      <c r="C710">
        <v>3</v>
      </c>
      <c r="D710">
        <v>3</v>
      </c>
      <c r="E710">
        <v>1988</v>
      </c>
      <c r="F710">
        <v>43.6</v>
      </c>
      <c r="G710">
        <v>43.6</v>
      </c>
      <c r="H710">
        <v>18.3</v>
      </c>
      <c r="I710">
        <v>0.3</v>
      </c>
      <c r="J710">
        <v>0</v>
      </c>
      <c r="K710">
        <v>59.7</v>
      </c>
      <c r="L710">
        <v>59.7</v>
      </c>
      <c r="M710">
        <v>362</v>
      </c>
      <c r="N710">
        <v>360</v>
      </c>
      <c r="O710">
        <v>500</v>
      </c>
      <c r="P710">
        <v>140</v>
      </c>
      <c r="Q710">
        <v>105</v>
      </c>
      <c r="R710">
        <v>500</v>
      </c>
      <c r="S710">
        <v>395</v>
      </c>
      <c r="T710">
        <v>252.9</v>
      </c>
      <c r="U710">
        <v>370</v>
      </c>
      <c r="V710">
        <v>365</v>
      </c>
      <c r="W710">
        <v>500</v>
      </c>
      <c r="X710">
        <v>2.79</v>
      </c>
    </row>
    <row r="711" spans="1:24" hidden="1" outlineLevel="2" x14ac:dyDescent="0.25">
      <c r="A711" t="str">
        <f t="shared" si="108"/>
        <v>AK7 - 1988</v>
      </c>
      <c r="B711" t="s">
        <v>36</v>
      </c>
      <c r="C711">
        <v>5</v>
      </c>
      <c r="D711">
        <v>3</v>
      </c>
      <c r="E711">
        <v>1988</v>
      </c>
      <c r="F711">
        <v>21.3</v>
      </c>
      <c r="G711">
        <v>21.3</v>
      </c>
      <c r="H711">
        <v>18</v>
      </c>
      <c r="I711">
        <v>0.3</v>
      </c>
      <c r="J711">
        <v>1</v>
      </c>
      <c r="K711">
        <v>14.3</v>
      </c>
      <c r="L711">
        <v>14.3</v>
      </c>
      <c r="M711">
        <v>394</v>
      </c>
      <c r="N711">
        <v>392</v>
      </c>
      <c r="O711">
        <v>504</v>
      </c>
      <c r="P711">
        <v>112</v>
      </c>
      <c r="Q711">
        <v>180</v>
      </c>
      <c r="R711">
        <v>504</v>
      </c>
      <c r="S711">
        <v>324</v>
      </c>
      <c r="T711">
        <v>221.1</v>
      </c>
      <c r="U711">
        <v>426</v>
      </c>
      <c r="V711">
        <v>420</v>
      </c>
      <c r="W711">
        <v>500</v>
      </c>
      <c r="X711">
        <v>2.79</v>
      </c>
    </row>
    <row r="712" spans="1:24" hidden="1" outlineLevel="2" x14ac:dyDescent="0.25">
      <c r="A712" t="str">
        <f t="shared" si="108"/>
        <v>AK7 - 1988</v>
      </c>
      <c r="B712" t="s">
        <v>36</v>
      </c>
      <c r="C712">
        <v>9</v>
      </c>
      <c r="D712">
        <v>2</v>
      </c>
      <c r="E712">
        <v>1988</v>
      </c>
      <c r="F712">
        <v>26.2</v>
      </c>
      <c r="G712">
        <v>16.5</v>
      </c>
      <c r="H712">
        <v>16.5</v>
      </c>
      <c r="I712">
        <v>0</v>
      </c>
      <c r="J712">
        <v>0</v>
      </c>
      <c r="K712">
        <v>18.600000000000001</v>
      </c>
      <c r="L712">
        <v>21.6</v>
      </c>
      <c r="M712">
        <v>308</v>
      </c>
      <c r="N712">
        <v>308</v>
      </c>
      <c r="Q712">
        <v>239</v>
      </c>
      <c r="R712">
        <v>429</v>
      </c>
      <c r="S712">
        <v>190</v>
      </c>
      <c r="T712">
        <v>227.1</v>
      </c>
      <c r="U712">
        <v>411</v>
      </c>
      <c r="V712">
        <v>418</v>
      </c>
      <c r="W712">
        <v>500</v>
      </c>
      <c r="X712">
        <v>2.79</v>
      </c>
    </row>
    <row r="713" spans="1:24" hidden="1" outlineLevel="2" x14ac:dyDescent="0.25">
      <c r="A713" t="str">
        <f t="shared" si="108"/>
        <v>AK7 - 1988</v>
      </c>
      <c r="B713" t="s">
        <v>36</v>
      </c>
      <c r="C713">
        <v>11</v>
      </c>
      <c r="D713">
        <v>2</v>
      </c>
      <c r="E713">
        <v>1988</v>
      </c>
      <c r="F713">
        <v>22.2</v>
      </c>
      <c r="G713">
        <v>15</v>
      </c>
      <c r="H713">
        <v>14.7</v>
      </c>
      <c r="I713">
        <v>0.3</v>
      </c>
      <c r="J713">
        <v>2</v>
      </c>
      <c r="K713">
        <v>13.9</v>
      </c>
      <c r="L713">
        <v>15.5</v>
      </c>
      <c r="M713">
        <v>384</v>
      </c>
      <c r="N713">
        <v>381</v>
      </c>
      <c r="O713">
        <v>515</v>
      </c>
      <c r="P713">
        <v>134</v>
      </c>
      <c r="Q713">
        <v>273</v>
      </c>
      <c r="R713">
        <v>515</v>
      </c>
      <c r="S713">
        <v>242</v>
      </c>
      <c r="T713">
        <v>137.69999999999999</v>
      </c>
      <c r="U713">
        <v>408</v>
      </c>
      <c r="V713">
        <v>408</v>
      </c>
      <c r="W713">
        <v>500</v>
      </c>
      <c r="X713">
        <v>2.79</v>
      </c>
    </row>
    <row r="714" spans="1:24" hidden="1" outlineLevel="2" x14ac:dyDescent="0.25">
      <c r="A714" t="str">
        <f t="shared" si="108"/>
        <v>AK7 - 1988</v>
      </c>
      <c r="B714" t="s">
        <v>36</v>
      </c>
      <c r="C714">
        <v>12</v>
      </c>
      <c r="D714">
        <v>3</v>
      </c>
      <c r="E714">
        <v>1988</v>
      </c>
      <c r="F714">
        <v>49.5</v>
      </c>
      <c r="G714">
        <v>17.399999999999999</v>
      </c>
      <c r="H714">
        <v>17.399999999999999</v>
      </c>
      <c r="I714">
        <v>0</v>
      </c>
      <c r="J714">
        <v>0</v>
      </c>
      <c r="K714">
        <v>44.6</v>
      </c>
      <c r="L714">
        <v>77</v>
      </c>
      <c r="M714">
        <v>366</v>
      </c>
      <c r="N714">
        <v>366</v>
      </c>
      <c r="Q714">
        <v>274</v>
      </c>
      <c r="R714">
        <v>482</v>
      </c>
      <c r="S714">
        <v>208</v>
      </c>
      <c r="T714">
        <v>144.9</v>
      </c>
      <c r="U714">
        <v>426</v>
      </c>
      <c r="V714">
        <v>418</v>
      </c>
      <c r="W714">
        <v>500</v>
      </c>
      <c r="X714">
        <v>2.79</v>
      </c>
    </row>
    <row r="715" spans="1:24" hidden="1" outlineLevel="2" x14ac:dyDescent="0.25">
      <c r="A715" t="str">
        <f t="shared" si="108"/>
        <v>AK7 - 1988</v>
      </c>
      <c r="B715" t="s">
        <v>36</v>
      </c>
      <c r="C715">
        <v>13</v>
      </c>
      <c r="D715">
        <v>3</v>
      </c>
      <c r="E715">
        <v>1988</v>
      </c>
      <c r="F715">
        <v>44.9</v>
      </c>
      <c r="G715">
        <v>18</v>
      </c>
      <c r="H715">
        <v>16.5</v>
      </c>
      <c r="I715">
        <v>1.5</v>
      </c>
      <c r="J715">
        <v>8</v>
      </c>
      <c r="K715">
        <v>40.6</v>
      </c>
      <c r="L715">
        <v>63.3</v>
      </c>
      <c r="M715">
        <v>385</v>
      </c>
      <c r="N715">
        <v>373</v>
      </c>
      <c r="O715">
        <v>522</v>
      </c>
      <c r="P715">
        <v>149</v>
      </c>
      <c r="Q715">
        <v>318</v>
      </c>
      <c r="R715">
        <v>530</v>
      </c>
      <c r="S715">
        <v>212</v>
      </c>
      <c r="T715">
        <v>226.2</v>
      </c>
      <c r="U715">
        <v>428</v>
      </c>
      <c r="V715">
        <v>431</v>
      </c>
      <c r="W715">
        <v>500</v>
      </c>
      <c r="X715">
        <v>2.79</v>
      </c>
    </row>
    <row r="716" spans="1:24" hidden="1" outlineLevel="2" x14ac:dyDescent="0.25">
      <c r="A716" t="str">
        <f t="shared" si="108"/>
        <v>AK7 - 1988</v>
      </c>
      <c r="B716" t="s">
        <v>36</v>
      </c>
      <c r="C716">
        <v>14</v>
      </c>
      <c r="D716">
        <v>3</v>
      </c>
      <c r="E716">
        <v>1988</v>
      </c>
      <c r="F716">
        <v>57.9</v>
      </c>
      <c r="G716">
        <v>57.9</v>
      </c>
      <c r="H716">
        <v>27.9</v>
      </c>
      <c r="I716">
        <v>0</v>
      </c>
      <c r="J716">
        <v>0</v>
      </c>
      <c r="K716">
        <v>105.3</v>
      </c>
      <c r="L716">
        <v>105.3</v>
      </c>
      <c r="M716">
        <v>294</v>
      </c>
      <c r="N716">
        <v>294</v>
      </c>
      <c r="Q716">
        <v>245</v>
      </c>
      <c r="R716">
        <v>415</v>
      </c>
      <c r="S716">
        <v>170</v>
      </c>
      <c r="T716">
        <v>193.2</v>
      </c>
      <c r="U716">
        <v>390</v>
      </c>
      <c r="V716">
        <v>377</v>
      </c>
      <c r="W716">
        <v>500</v>
      </c>
      <c r="X716">
        <v>2.79</v>
      </c>
    </row>
    <row r="717" spans="1:24" hidden="1" outlineLevel="2" x14ac:dyDescent="0.25">
      <c r="A717" t="str">
        <f t="shared" si="108"/>
        <v>AK7 - 1988</v>
      </c>
      <c r="B717" t="s">
        <v>36</v>
      </c>
      <c r="C717">
        <v>15</v>
      </c>
      <c r="D717">
        <v>3</v>
      </c>
      <c r="E717">
        <v>1988</v>
      </c>
      <c r="F717">
        <v>37.700000000000003</v>
      </c>
      <c r="G717">
        <v>37.700000000000003</v>
      </c>
      <c r="H717">
        <v>17.7</v>
      </c>
      <c r="I717">
        <v>0</v>
      </c>
      <c r="J717">
        <v>0</v>
      </c>
      <c r="K717">
        <v>44.7</v>
      </c>
      <c r="L717">
        <v>44.7</v>
      </c>
      <c r="M717">
        <v>341</v>
      </c>
      <c r="N717">
        <v>341</v>
      </c>
      <c r="Q717">
        <v>264</v>
      </c>
      <c r="R717">
        <v>476</v>
      </c>
      <c r="S717">
        <v>212</v>
      </c>
      <c r="T717">
        <v>172.5</v>
      </c>
      <c r="U717">
        <v>414</v>
      </c>
      <c r="V717">
        <v>397</v>
      </c>
      <c r="W717">
        <v>500</v>
      </c>
      <c r="X717">
        <v>2.79</v>
      </c>
    </row>
    <row r="718" spans="1:24" outlineLevel="1" collapsed="1" x14ac:dyDescent="0.25">
      <c r="A718" s="8" t="s">
        <v>91</v>
      </c>
      <c r="D718">
        <f t="shared" ref="D718:V718" si="109">SUBTOTAL(1,D709:D717)</f>
        <v>2.7777777777777777</v>
      </c>
      <c r="E718">
        <f t="shared" si="109"/>
        <v>1988</v>
      </c>
      <c r="F718">
        <f t="shared" si="109"/>
        <v>37.911111111111111</v>
      </c>
      <c r="G718">
        <f t="shared" si="109"/>
        <v>29.477777777777778</v>
      </c>
      <c r="H718">
        <f t="shared" si="109"/>
        <v>17.766666666666666</v>
      </c>
      <c r="I718">
        <f t="shared" si="109"/>
        <v>0.26666666666666666</v>
      </c>
      <c r="J718">
        <f t="shared" si="109"/>
        <v>1.2222222222222223</v>
      </c>
      <c r="K718">
        <f t="shared" si="109"/>
        <v>42.977777777777781</v>
      </c>
      <c r="L718">
        <f t="shared" si="109"/>
        <v>49.611111111111114</v>
      </c>
      <c r="M718">
        <f t="shared" si="109"/>
        <v>354.44444444444446</v>
      </c>
      <c r="N718">
        <f t="shared" si="109"/>
        <v>352.33333333333331</v>
      </c>
      <c r="O718">
        <f t="shared" si="109"/>
        <v>510.25</v>
      </c>
      <c r="P718">
        <f t="shared" si="109"/>
        <v>133.75</v>
      </c>
      <c r="Q718">
        <f t="shared" si="109"/>
        <v>240.44444444444446</v>
      </c>
      <c r="R718">
        <f t="shared" si="109"/>
        <v>479</v>
      </c>
      <c r="S718">
        <f t="shared" si="109"/>
        <v>238.55555555555554</v>
      </c>
      <c r="T718">
        <f t="shared" si="109"/>
        <v>195.53333333333336</v>
      </c>
      <c r="U718">
        <f t="shared" si="109"/>
        <v>412.33333333333331</v>
      </c>
      <c r="V718">
        <f t="shared" si="109"/>
        <v>407.44444444444446</v>
      </c>
    </row>
    <row r="719" spans="1:24" hidden="1" outlineLevel="2" x14ac:dyDescent="0.25">
      <c r="A719" t="str">
        <f t="shared" ref="A719:A731" si="110">CONCATENATE(B719," - ",E719)</f>
        <v>AK7 - 1989</v>
      </c>
      <c r="B719" t="s">
        <v>36</v>
      </c>
      <c r="C719">
        <v>1</v>
      </c>
      <c r="D719">
        <v>4</v>
      </c>
      <c r="E719">
        <v>1989</v>
      </c>
      <c r="F719">
        <v>60.4</v>
      </c>
      <c r="G719">
        <v>22.5</v>
      </c>
      <c r="H719">
        <v>21.6</v>
      </c>
      <c r="I719">
        <v>0.9</v>
      </c>
      <c r="J719">
        <v>4</v>
      </c>
      <c r="K719">
        <v>69.5</v>
      </c>
      <c r="L719">
        <v>114.6</v>
      </c>
      <c r="M719">
        <v>353</v>
      </c>
      <c r="N719">
        <v>346</v>
      </c>
      <c r="O719">
        <v>512</v>
      </c>
      <c r="P719">
        <v>166</v>
      </c>
      <c r="Q719">
        <v>288</v>
      </c>
      <c r="R719">
        <v>522</v>
      </c>
      <c r="S719">
        <v>234</v>
      </c>
      <c r="T719">
        <v>184.2</v>
      </c>
      <c r="U719">
        <v>438</v>
      </c>
      <c r="V719">
        <v>433</v>
      </c>
      <c r="W719">
        <v>500</v>
      </c>
      <c r="X719">
        <v>2.79</v>
      </c>
    </row>
    <row r="720" spans="1:24" hidden="1" outlineLevel="2" x14ac:dyDescent="0.25">
      <c r="A720" t="str">
        <f t="shared" si="110"/>
        <v>AK7 - 1989</v>
      </c>
      <c r="B720" t="s">
        <v>36</v>
      </c>
      <c r="C720">
        <v>2</v>
      </c>
      <c r="D720">
        <v>4</v>
      </c>
      <c r="E720">
        <v>1989</v>
      </c>
      <c r="F720">
        <v>22.6</v>
      </c>
      <c r="G720">
        <v>22.6</v>
      </c>
      <c r="H720">
        <v>12.6</v>
      </c>
      <c r="I720">
        <v>0</v>
      </c>
      <c r="J720">
        <v>0</v>
      </c>
      <c r="K720">
        <v>16</v>
      </c>
      <c r="L720">
        <v>16</v>
      </c>
      <c r="M720">
        <v>339</v>
      </c>
      <c r="N720">
        <v>339</v>
      </c>
      <c r="Q720">
        <v>262</v>
      </c>
      <c r="R720">
        <v>499</v>
      </c>
      <c r="S720">
        <v>237</v>
      </c>
      <c r="T720">
        <v>195.9</v>
      </c>
      <c r="U720">
        <v>414</v>
      </c>
      <c r="V720">
        <v>411</v>
      </c>
      <c r="W720">
        <v>500</v>
      </c>
      <c r="X720">
        <v>2.79</v>
      </c>
    </row>
    <row r="721" spans="1:24" hidden="1" outlineLevel="2" x14ac:dyDescent="0.25">
      <c r="A721" t="str">
        <f t="shared" si="110"/>
        <v>AK7 - 1989</v>
      </c>
      <c r="B721" t="s">
        <v>36</v>
      </c>
      <c r="C721">
        <v>3</v>
      </c>
      <c r="D721">
        <v>4</v>
      </c>
      <c r="E721">
        <v>1989</v>
      </c>
      <c r="F721">
        <v>70.599999999999994</v>
      </c>
      <c r="G721">
        <v>27</v>
      </c>
      <c r="H721">
        <v>26.1</v>
      </c>
      <c r="I721">
        <v>0.9</v>
      </c>
      <c r="J721">
        <v>3</v>
      </c>
      <c r="K721">
        <v>96.9</v>
      </c>
      <c r="L721">
        <v>156.6</v>
      </c>
      <c r="M721">
        <v>378</v>
      </c>
      <c r="N721">
        <v>373</v>
      </c>
      <c r="O721">
        <v>520</v>
      </c>
      <c r="P721">
        <v>147</v>
      </c>
      <c r="Q721">
        <v>291</v>
      </c>
      <c r="R721">
        <v>526</v>
      </c>
      <c r="S721">
        <v>235</v>
      </c>
      <c r="T721">
        <v>252.9</v>
      </c>
      <c r="U721">
        <v>370</v>
      </c>
      <c r="V721">
        <v>365</v>
      </c>
      <c r="W721">
        <v>500</v>
      </c>
      <c r="X721">
        <v>2.79</v>
      </c>
    </row>
    <row r="722" spans="1:24" hidden="1" outlineLevel="2" x14ac:dyDescent="0.25">
      <c r="A722" t="str">
        <f t="shared" si="110"/>
        <v>AK7 - 1989</v>
      </c>
      <c r="B722" t="s">
        <v>36</v>
      </c>
      <c r="C722">
        <v>5</v>
      </c>
      <c r="D722">
        <v>4</v>
      </c>
      <c r="E722">
        <v>1989</v>
      </c>
      <c r="F722">
        <v>42.3</v>
      </c>
      <c r="G722">
        <v>21</v>
      </c>
      <c r="H722">
        <v>19.5</v>
      </c>
      <c r="I722">
        <v>1.5</v>
      </c>
      <c r="J722">
        <v>7</v>
      </c>
      <c r="K722">
        <v>42</v>
      </c>
      <c r="L722">
        <v>56.2</v>
      </c>
      <c r="M722">
        <v>414</v>
      </c>
      <c r="N722">
        <v>405</v>
      </c>
      <c r="O722">
        <v>541</v>
      </c>
      <c r="P722">
        <v>136</v>
      </c>
      <c r="Q722">
        <v>357</v>
      </c>
      <c r="R722">
        <v>574</v>
      </c>
      <c r="S722">
        <v>217</v>
      </c>
      <c r="T722">
        <v>221.1</v>
      </c>
      <c r="U722">
        <v>426</v>
      </c>
      <c r="V722">
        <v>420</v>
      </c>
      <c r="W722">
        <v>500</v>
      </c>
      <c r="X722">
        <v>2.79</v>
      </c>
    </row>
    <row r="723" spans="1:24" hidden="1" outlineLevel="2" x14ac:dyDescent="0.25">
      <c r="A723" t="str">
        <f t="shared" si="110"/>
        <v>AK7 - 1989</v>
      </c>
      <c r="B723" t="s">
        <v>36</v>
      </c>
      <c r="C723">
        <v>6</v>
      </c>
      <c r="D723">
        <v>4</v>
      </c>
      <c r="E723">
        <v>1989</v>
      </c>
      <c r="F723">
        <v>61.2</v>
      </c>
      <c r="G723">
        <v>61.2</v>
      </c>
      <c r="H723">
        <v>46.2</v>
      </c>
      <c r="I723">
        <v>0</v>
      </c>
      <c r="J723">
        <v>0</v>
      </c>
      <c r="K723">
        <v>117.7</v>
      </c>
      <c r="L723">
        <v>117.7</v>
      </c>
      <c r="M723">
        <v>345</v>
      </c>
      <c r="N723">
        <v>345</v>
      </c>
      <c r="Q723">
        <v>123</v>
      </c>
      <c r="R723">
        <v>483</v>
      </c>
      <c r="S723">
        <v>360</v>
      </c>
      <c r="T723">
        <v>181.2</v>
      </c>
      <c r="U723">
        <v>379</v>
      </c>
      <c r="V723">
        <v>374</v>
      </c>
      <c r="W723">
        <v>500</v>
      </c>
      <c r="X723">
        <v>2.79</v>
      </c>
    </row>
    <row r="724" spans="1:24" hidden="1" outlineLevel="2" x14ac:dyDescent="0.25">
      <c r="A724" t="str">
        <f t="shared" si="110"/>
        <v>AK7 - 1989</v>
      </c>
      <c r="B724" t="s">
        <v>36</v>
      </c>
      <c r="C724">
        <v>7</v>
      </c>
      <c r="D724">
        <v>4</v>
      </c>
      <c r="E724">
        <v>1989</v>
      </c>
      <c r="F724">
        <v>15.8</v>
      </c>
      <c r="G724">
        <v>15.8</v>
      </c>
      <c r="H724">
        <v>7.5</v>
      </c>
      <c r="I724">
        <v>0.3</v>
      </c>
      <c r="J724">
        <v>1</v>
      </c>
      <c r="K724">
        <v>7.8</v>
      </c>
      <c r="L724">
        <v>7.8</v>
      </c>
      <c r="M724">
        <v>319</v>
      </c>
      <c r="N724">
        <v>311</v>
      </c>
      <c r="O724">
        <v>514</v>
      </c>
      <c r="P724">
        <v>203</v>
      </c>
      <c r="Q724">
        <v>170</v>
      </c>
      <c r="R724">
        <v>514</v>
      </c>
      <c r="S724">
        <v>344</v>
      </c>
      <c r="T724">
        <v>278.39999999999998</v>
      </c>
      <c r="U724">
        <v>367</v>
      </c>
      <c r="V724">
        <v>372</v>
      </c>
      <c r="W724">
        <v>500</v>
      </c>
      <c r="X724">
        <v>2.79</v>
      </c>
    </row>
    <row r="725" spans="1:24" hidden="1" outlineLevel="2" x14ac:dyDescent="0.25">
      <c r="A725" t="str">
        <f t="shared" si="110"/>
        <v>AK7 - 1989</v>
      </c>
      <c r="B725" t="s">
        <v>36</v>
      </c>
      <c r="C725">
        <v>8</v>
      </c>
      <c r="D725">
        <v>4</v>
      </c>
      <c r="E725">
        <v>1989</v>
      </c>
      <c r="F725">
        <v>50.8</v>
      </c>
      <c r="G725">
        <v>50.8</v>
      </c>
      <c r="H725">
        <v>25.5</v>
      </c>
      <c r="I725">
        <v>0.3</v>
      </c>
      <c r="J725">
        <v>0</v>
      </c>
      <c r="K725">
        <v>81.099999999999994</v>
      </c>
      <c r="L725">
        <v>81.099999999999994</v>
      </c>
      <c r="M725">
        <v>383</v>
      </c>
      <c r="N725">
        <v>381</v>
      </c>
      <c r="O725">
        <v>510</v>
      </c>
      <c r="P725">
        <v>129</v>
      </c>
      <c r="Q725">
        <v>264</v>
      </c>
      <c r="R725">
        <v>510</v>
      </c>
      <c r="S725">
        <v>246</v>
      </c>
      <c r="T725">
        <v>177.9</v>
      </c>
      <c r="U725">
        <v>438</v>
      </c>
      <c r="V725">
        <v>415</v>
      </c>
      <c r="W725">
        <v>500</v>
      </c>
      <c r="X725">
        <v>2.79</v>
      </c>
    </row>
    <row r="726" spans="1:24" hidden="1" outlineLevel="2" x14ac:dyDescent="0.25">
      <c r="A726" t="str">
        <f t="shared" si="110"/>
        <v>AK7 - 1989</v>
      </c>
      <c r="B726" t="s">
        <v>36</v>
      </c>
      <c r="C726">
        <v>9</v>
      </c>
      <c r="D726">
        <v>3</v>
      </c>
      <c r="E726">
        <v>1989</v>
      </c>
      <c r="F726">
        <v>46.9</v>
      </c>
      <c r="G726">
        <v>20.7</v>
      </c>
      <c r="H726">
        <v>20.399999999999999</v>
      </c>
      <c r="I726">
        <v>0.3</v>
      </c>
      <c r="J726">
        <v>1</v>
      </c>
      <c r="K726">
        <v>47.5</v>
      </c>
      <c r="L726">
        <v>69.099999999999994</v>
      </c>
      <c r="M726">
        <v>324</v>
      </c>
      <c r="N726">
        <v>321</v>
      </c>
      <c r="O726">
        <v>530</v>
      </c>
      <c r="P726">
        <v>209</v>
      </c>
      <c r="Q726">
        <v>248</v>
      </c>
      <c r="R726">
        <v>530</v>
      </c>
      <c r="S726">
        <v>282</v>
      </c>
      <c r="T726">
        <v>227.1</v>
      </c>
      <c r="U726">
        <v>411</v>
      </c>
      <c r="V726">
        <v>418</v>
      </c>
      <c r="W726">
        <v>500</v>
      </c>
      <c r="X726">
        <v>2.79</v>
      </c>
    </row>
    <row r="727" spans="1:24" hidden="1" outlineLevel="2" x14ac:dyDescent="0.25">
      <c r="A727" t="str">
        <f t="shared" si="110"/>
        <v>AK7 - 1989</v>
      </c>
      <c r="B727" t="s">
        <v>36</v>
      </c>
      <c r="C727">
        <v>11</v>
      </c>
      <c r="D727">
        <v>3</v>
      </c>
      <c r="E727">
        <v>1989</v>
      </c>
      <c r="F727">
        <v>37.200000000000003</v>
      </c>
      <c r="G727">
        <v>15</v>
      </c>
      <c r="H727">
        <v>14.4</v>
      </c>
      <c r="I727">
        <v>0.6</v>
      </c>
      <c r="J727">
        <v>4</v>
      </c>
      <c r="K727">
        <v>28</v>
      </c>
      <c r="L727">
        <v>43.5</v>
      </c>
      <c r="M727">
        <v>365</v>
      </c>
      <c r="N727">
        <v>359</v>
      </c>
      <c r="O727">
        <v>515</v>
      </c>
      <c r="P727">
        <v>156</v>
      </c>
      <c r="Q727">
        <v>300</v>
      </c>
      <c r="R727">
        <v>524</v>
      </c>
      <c r="S727">
        <v>224</v>
      </c>
      <c r="T727">
        <v>137.69999999999999</v>
      </c>
      <c r="U727">
        <v>408</v>
      </c>
      <c r="V727">
        <v>408</v>
      </c>
      <c r="W727">
        <v>500</v>
      </c>
      <c r="X727">
        <v>2.79</v>
      </c>
    </row>
    <row r="728" spans="1:24" hidden="1" outlineLevel="2" x14ac:dyDescent="0.25">
      <c r="A728" t="str">
        <f t="shared" si="110"/>
        <v>AK7 - 1989</v>
      </c>
      <c r="B728" t="s">
        <v>36</v>
      </c>
      <c r="C728">
        <v>12</v>
      </c>
      <c r="D728">
        <v>4</v>
      </c>
      <c r="E728">
        <v>1989</v>
      </c>
      <c r="F728">
        <v>63.9</v>
      </c>
      <c r="G728">
        <v>14.4</v>
      </c>
      <c r="H728">
        <v>14.1</v>
      </c>
      <c r="I728">
        <v>0.3</v>
      </c>
      <c r="J728">
        <v>2</v>
      </c>
      <c r="K728">
        <v>51.3</v>
      </c>
      <c r="L728">
        <v>128.30000000000001</v>
      </c>
      <c r="M728">
        <v>360</v>
      </c>
      <c r="N728">
        <v>356</v>
      </c>
      <c r="O728">
        <v>532</v>
      </c>
      <c r="P728">
        <v>176</v>
      </c>
      <c r="Q728">
        <v>296</v>
      </c>
      <c r="R728">
        <v>532</v>
      </c>
      <c r="S728">
        <v>236</v>
      </c>
      <c r="T728">
        <v>144.9</v>
      </c>
      <c r="U728">
        <v>426</v>
      </c>
      <c r="V728">
        <v>418</v>
      </c>
      <c r="W728">
        <v>500</v>
      </c>
      <c r="X728">
        <v>2.79</v>
      </c>
    </row>
    <row r="729" spans="1:24" hidden="1" outlineLevel="2" x14ac:dyDescent="0.25">
      <c r="A729" t="str">
        <f t="shared" si="110"/>
        <v>AK7 - 1989</v>
      </c>
      <c r="B729" t="s">
        <v>36</v>
      </c>
      <c r="C729">
        <v>13</v>
      </c>
      <c r="D729">
        <v>4</v>
      </c>
      <c r="E729">
        <v>1989</v>
      </c>
      <c r="F729">
        <v>59.9</v>
      </c>
      <c r="G729">
        <v>15</v>
      </c>
      <c r="H729">
        <v>14.4</v>
      </c>
      <c r="I729">
        <v>0.6</v>
      </c>
      <c r="J729">
        <v>4</v>
      </c>
      <c r="K729">
        <v>49.4</v>
      </c>
      <c r="L729">
        <v>112.7</v>
      </c>
      <c r="M729">
        <v>370</v>
      </c>
      <c r="N729">
        <v>364</v>
      </c>
      <c r="O729">
        <v>523</v>
      </c>
      <c r="P729">
        <v>159</v>
      </c>
      <c r="Q729">
        <v>308</v>
      </c>
      <c r="R729">
        <v>525</v>
      </c>
      <c r="S729">
        <v>217</v>
      </c>
      <c r="T729">
        <v>226.2</v>
      </c>
      <c r="U729">
        <v>428</v>
      </c>
      <c r="V729">
        <v>431</v>
      </c>
      <c r="W729">
        <v>500</v>
      </c>
      <c r="X729">
        <v>2.79</v>
      </c>
    </row>
    <row r="730" spans="1:24" hidden="1" outlineLevel="2" x14ac:dyDescent="0.25">
      <c r="A730" t="str">
        <f t="shared" si="110"/>
        <v>AK7 - 1989</v>
      </c>
      <c r="B730" t="s">
        <v>36</v>
      </c>
      <c r="C730">
        <v>14</v>
      </c>
      <c r="D730">
        <v>4</v>
      </c>
      <c r="E730">
        <v>1989</v>
      </c>
      <c r="F730">
        <v>78.900000000000006</v>
      </c>
      <c r="G730">
        <v>21</v>
      </c>
      <c r="H730">
        <v>21</v>
      </c>
      <c r="I730">
        <v>0</v>
      </c>
      <c r="J730">
        <v>0</v>
      </c>
      <c r="K730">
        <v>90.3</v>
      </c>
      <c r="L730">
        <v>195.6</v>
      </c>
      <c r="M730">
        <v>304</v>
      </c>
      <c r="N730">
        <v>304</v>
      </c>
      <c r="Q730">
        <v>253</v>
      </c>
      <c r="R730">
        <v>479</v>
      </c>
      <c r="S730">
        <v>226</v>
      </c>
      <c r="T730">
        <v>193.2</v>
      </c>
      <c r="U730">
        <v>390</v>
      </c>
      <c r="V730">
        <v>377</v>
      </c>
      <c r="W730">
        <v>500</v>
      </c>
      <c r="X730">
        <v>2.79</v>
      </c>
    </row>
    <row r="731" spans="1:24" hidden="1" outlineLevel="2" x14ac:dyDescent="0.25">
      <c r="A731" t="str">
        <f t="shared" si="110"/>
        <v>AK7 - 1989</v>
      </c>
      <c r="B731" t="s">
        <v>36</v>
      </c>
      <c r="C731">
        <v>15</v>
      </c>
      <c r="D731">
        <v>4</v>
      </c>
      <c r="E731">
        <v>1989</v>
      </c>
      <c r="F731">
        <v>61.1</v>
      </c>
      <c r="G731">
        <v>23.4</v>
      </c>
      <c r="H731">
        <v>23.4</v>
      </c>
      <c r="I731">
        <v>0</v>
      </c>
      <c r="J731">
        <v>0</v>
      </c>
      <c r="K731">
        <v>72.599999999999994</v>
      </c>
      <c r="L731">
        <v>117.3</v>
      </c>
      <c r="M731">
        <v>344</v>
      </c>
      <c r="N731">
        <v>344</v>
      </c>
      <c r="Q731">
        <v>276</v>
      </c>
      <c r="R731">
        <v>471</v>
      </c>
      <c r="S731">
        <v>195</v>
      </c>
      <c r="T731">
        <v>172.5</v>
      </c>
      <c r="U731">
        <v>414</v>
      </c>
      <c r="V731">
        <v>397</v>
      </c>
      <c r="W731">
        <v>500</v>
      </c>
      <c r="X731">
        <v>2.79</v>
      </c>
    </row>
    <row r="732" spans="1:24" outlineLevel="1" collapsed="1" x14ac:dyDescent="0.25">
      <c r="A732" s="8" t="s">
        <v>92</v>
      </c>
      <c r="D732">
        <f t="shared" ref="D732:V732" si="111">SUBTOTAL(1,D719:D731)</f>
        <v>3.8461538461538463</v>
      </c>
      <c r="E732">
        <f t="shared" si="111"/>
        <v>1989</v>
      </c>
      <c r="F732">
        <f t="shared" si="111"/>
        <v>51.661538461538456</v>
      </c>
      <c r="G732">
        <f t="shared" si="111"/>
        <v>25.415384615384614</v>
      </c>
      <c r="H732">
        <f t="shared" si="111"/>
        <v>20.515384615384615</v>
      </c>
      <c r="I732">
        <f t="shared" si="111"/>
        <v>0.43846153846153835</v>
      </c>
      <c r="J732">
        <f t="shared" si="111"/>
        <v>2</v>
      </c>
      <c r="K732">
        <f t="shared" si="111"/>
        <v>59.238461538461529</v>
      </c>
      <c r="L732">
        <f t="shared" si="111"/>
        <v>93.57692307692308</v>
      </c>
      <c r="M732">
        <f t="shared" si="111"/>
        <v>353.69230769230768</v>
      </c>
      <c r="N732">
        <f t="shared" si="111"/>
        <v>349.84615384615387</v>
      </c>
      <c r="O732">
        <f t="shared" si="111"/>
        <v>521.88888888888891</v>
      </c>
      <c r="P732">
        <f t="shared" si="111"/>
        <v>164.55555555555554</v>
      </c>
      <c r="Q732">
        <f t="shared" si="111"/>
        <v>264.30769230769232</v>
      </c>
      <c r="R732">
        <f t="shared" si="111"/>
        <v>514.53846153846155</v>
      </c>
      <c r="S732">
        <f t="shared" si="111"/>
        <v>250.23076923076923</v>
      </c>
      <c r="T732">
        <f t="shared" si="111"/>
        <v>199.47692307692307</v>
      </c>
      <c r="U732">
        <f t="shared" si="111"/>
        <v>408.38461538461536</v>
      </c>
      <c r="V732">
        <f t="shared" si="111"/>
        <v>403</v>
      </c>
    </row>
    <row r="733" spans="1:24" hidden="1" outlineLevel="2" x14ac:dyDescent="0.25">
      <c r="A733" t="str">
        <f t="shared" ref="A733:A746" si="112">CONCATENATE(B733," - ",E733)</f>
        <v>AK7 - 1990</v>
      </c>
      <c r="B733" t="s">
        <v>36</v>
      </c>
      <c r="C733">
        <v>1</v>
      </c>
      <c r="D733">
        <v>5</v>
      </c>
      <c r="E733">
        <v>1990</v>
      </c>
      <c r="F733">
        <v>74.8</v>
      </c>
      <c r="G733">
        <v>14.4</v>
      </c>
      <c r="H733">
        <v>13.2</v>
      </c>
      <c r="I733">
        <v>1.2</v>
      </c>
      <c r="J733">
        <v>8</v>
      </c>
      <c r="K733">
        <v>61.2</v>
      </c>
      <c r="L733">
        <v>175.8</v>
      </c>
      <c r="M733">
        <v>362</v>
      </c>
      <c r="N733">
        <v>347</v>
      </c>
      <c r="O733">
        <v>529</v>
      </c>
      <c r="P733">
        <v>182</v>
      </c>
      <c r="Q733">
        <v>293</v>
      </c>
      <c r="R733">
        <v>561</v>
      </c>
      <c r="S733">
        <v>268</v>
      </c>
      <c r="T733">
        <v>184.2</v>
      </c>
      <c r="U733">
        <v>438</v>
      </c>
      <c r="V733">
        <v>433</v>
      </c>
      <c r="W733">
        <v>500</v>
      </c>
      <c r="X733">
        <v>2.79</v>
      </c>
    </row>
    <row r="734" spans="1:24" hidden="1" outlineLevel="2" x14ac:dyDescent="0.25">
      <c r="A734" t="str">
        <f t="shared" si="112"/>
        <v>AK7 - 1990</v>
      </c>
      <c r="B734" t="s">
        <v>36</v>
      </c>
      <c r="C734">
        <v>2</v>
      </c>
      <c r="D734">
        <v>5</v>
      </c>
      <c r="E734">
        <v>1990</v>
      </c>
      <c r="F734">
        <v>33.1</v>
      </c>
      <c r="G734">
        <v>10.5</v>
      </c>
      <c r="H734">
        <v>9.3000000000000007</v>
      </c>
      <c r="I734">
        <v>1.2</v>
      </c>
      <c r="J734">
        <v>11</v>
      </c>
      <c r="K734">
        <v>18.399999999999999</v>
      </c>
      <c r="L734">
        <v>34.4</v>
      </c>
      <c r="M734">
        <v>394</v>
      </c>
      <c r="N734">
        <v>377</v>
      </c>
      <c r="O734">
        <v>526</v>
      </c>
      <c r="P734">
        <v>149</v>
      </c>
      <c r="Q734">
        <v>316</v>
      </c>
      <c r="R734">
        <v>540</v>
      </c>
      <c r="S734">
        <v>224</v>
      </c>
      <c r="T734">
        <v>195.9</v>
      </c>
      <c r="U734">
        <v>414</v>
      </c>
      <c r="V734">
        <v>411</v>
      </c>
      <c r="W734">
        <v>500</v>
      </c>
      <c r="X734">
        <v>2.79</v>
      </c>
    </row>
    <row r="735" spans="1:24" hidden="1" outlineLevel="2" x14ac:dyDescent="0.25">
      <c r="A735" t="str">
        <f t="shared" si="112"/>
        <v>AK7 - 1990</v>
      </c>
      <c r="B735" t="s">
        <v>36</v>
      </c>
      <c r="C735">
        <v>3</v>
      </c>
      <c r="D735">
        <v>5</v>
      </c>
      <c r="E735">
        <v>1990</v>
      </c>
      <c r="F735">
        <v>96.7</v>
      </c>
      <c r="G735">
        <v>26.1</v>
      </c>
      <c r="H735">
        <v>25.8</v>
      </c>
      <c r="I735">
        <v>0.3</v>
      </c>
      <c r="J735">
        <v>1</v>
      </c>
      <c r="K735">
        <v>137.19999999999999</v>
      </c>
      <c r="L735">
        <v>293.8</v>
      </c>
      <c r="M735">
        <v>338</v>
      </c>
      <c r="N735">
        <v>336</v>
      </c>
      <c r="O735">
        <v>509</v>
      </c>
      <c r="P735">
        <v>173</v>
      </c>
      <c r="Q735">
        <v>261</v>
      </c>
      <c r="R735">
        <v>509</v>
      </c>
      <c r="S735">
        <v>248</v>
      </c>
      <c r="T735">
        <v>252.9</v>
      </c>
      <c r="U735">
        <v>370</v>
      </c>
      <c r="V735">
        <v>365</v>
      </c>
      <c r="W735">
        <v>500</v>
      </c>
      <c r="X735">
        <v>2.79</v>
      </c>
    </row>
    <row r="736" spans="1:24" hidden="1" outlineLevel="2" x14ac:dyDescent="0.25">
      <c r="A736" t="str">
        <f t="shared" si="112"/>
        <v>AK7 - 1990</v>
      </c>
      <c r="B736" t="s">
        <v>36</v>
      </c>
      <c r="C736">
        <v>5</v>
      </c>
      <c r="D736">
        <v>5</v>
      </c>
      <c r="E736">
        <v>1990</v>
      </c>
      <c r="F736">
        <v>57.3</v>
      </c>
      <c r="G736">
        <v>15</v>
      </c>
      <c r="H736">
        <v>13.2</v>
      </c>
      <c r="I736">
        <v>1.8</v>
      </c>
      <c r="J736">
        <v>12</v>
      </c>
      <c r="K736">
        <v>46.9</v>
      </c>
      <c r="L736">
        <v>103.1</v>
      </c>
      <c r="M736">
        <v>425</v>
      </c>
      <c r="N736">
        <v>411</v>
      </c>
      <c r="O736">
        <v>532</v>
      </c>
      <c r="P736">
        <v>121</v>
      </c>
      <c r="Q736">
        <v>377</v>
      </c>
      <c r="R736">
        <v>601</v>
      </c>
      <c r="S736">
        <v>224</v>
      </c>
      <c r="T736">
        <v>221.1</v>
      </c>
      <c r="U736">
        <v>426</v>
      </c>
      <c r="V736">
        <v>420</v>
      </c>
      <c r="W736">
        <v>500</v>
      </c>
      <c r="X736">
        <v>2.79</v>
      </c>
    </row>
    <row r="737" spans="1:24" hidden="1" outlineLevel="2" x14ac:dyDescent="0.25">
      <c r="A737" t="str">
        <f t="shared" si="112"/>
        <v>AK7 - 1990</v>
      </c>
      <c r="B737" t="s">
        <v>36</v>
      </c>
      <c r="C737">
        <v>6</v>
      </c>
      <c r="D737">
        <v>5</v>
      </c>
      <c r="E737">
        <v>1990</v>
      </c>
      <c r="F737">
        <v>77.400000000000006</v>
      </c>
      <c r="G737">
        <v>16.2</v>
      </c>
      <c r="H737">
        <v>16.2</v>
      </c>
      <c r="I737">
        <v>0</v>
      </c>
      <c r="J737">
        <v>0</v>
      </c>
      <c r="K737">
        <v>70.5</v>
      </c>
      <c r="L737">
        <v>188.2</v>
      </c>
      <c r="M737">
        <v>335</v>
      </c>
      <c r="N737">
        <v>335</v>
      </c>
      <c r="Q737">
        <v>289</v>
      </c>
      <c r="R737">
        <v>485</v>
      </c>
      <c r="S737">
        <v>196</v>
      </c>
      <c r="T737">
        <v>181.2</v>
      </c>
      <c r="U737">
        <v>379</v>
      </c>
      <c r="V737">
        <v>374</v>
      </c>
      <c r="W737">
        <v>500</v>
      </c>
      <c r="X737">
        <v>2.79</v>
      </c>
    </row>
    <row r="738" spans="1:24" hidden="1" outlineLevel="2" x14ac:dyDescent="0.25">
      <c r="A738" t="str">
        <f t="shared" si="112"/>
        <v>AK7 - 1990</v>
      </c>
      <c r="B738" t="s">
        <v>36</v>
      </c>
      <c r="C738">
        <v>7</v>
      </c>
      <c r="D738">
        <v>5</v>
      </c>
      <c r="E738">
        <v>1990</v>
      </c>
      <c r="F738">
        <v>28.7</v>
      </c>
      <c r="G738">
        <v>12.9</v>
      </c>
      <c r="H738">
        <v>12.3</v>
      </c>
      <c r="I738">
        <v>0.6</v>
      </c>
      <c r="J738">
        <v>4</v>
      </c>
      <c r="K738">
        <v>18</v>
      </c>
      <c r="L738">
        <v>25.9</v>
      </c>
      <c r="M738">
        <v>343</v>
      </c>
      <c r="N738">
        <v>334</v>
      </c>
      <c r="O738">
        <v>538</v>
      </c>
      <c r="P738">
        <v>204</v>
      </c>
      <c r="Q738">
        <v>280</v>
      </c>
      <c r="R738">
        <v>565</v>
      </c>
      <c r="S738">
        <v>285</v>
      </c>
      <c r="T738">
        <v>278.39999999999998</v>
      </c>
      <c r="U738">
        <v>367</v>
      </c>
      <c r="V738">
        <v>372</v>
      </c>
      <c r="W738">
        <v>500</v>
      </c>
      <c r="X738">
        <v>2.79</v>
      </c>
    </row>
    <row r="739" spans="1:24" hidden="1" outlineLevel="2" x14ac:dyDescent="0.25">
      <c r="A739" t="str">
        <f t="shared" si="112"/>
        <v>AK7 - 1990</v>
      </c>
      <c r="B739" t="s">
        <v>36</v>
      </c>
      <c r="C739">
        <v>8</v>
      </c>
      <c r="D739">
        <v>5</v>
      </c>
      <c r="E739">
        <v>1990</v>
      </c>
      <c r="F739">
        <v>74.5</v>
      </c>
      <c r="G739">
        <v>23.7</v>
      </c>
      <c r="H739">
        <v>23.7</v>
      </c>
      <c r="I739">
        <v>0</v>
      </c>
      <c r="J739">
        <v>0</v>
      </c>
      <c r="K739">
        <v>93.3</v>
      </c>
      <c r="L739">
        <v>174.4</v>
      </c>
      <c r="M739">
        <v>370</v>
      </c>
      <c r="N739">
        <v>370</v>
      </c>
      <c r="Q739">
        <v>292</v>
      </c>
      <c r="R739">
        <v>495</v>
      </c>
      <c r="S739">
        <v>203</v>
      </c>
      <c r="T739">
        <v>177.9</v>
      </c>
      <c r="U739">
        <v>438</v>
      </c>
      <c r="V739">
        <v>415</v>
      </c>
      <c r="W739">
        <v>500</v>
      </c>
      <c r="X739">
        <v>2.79</v>
      </c>
    </row>
    <row r="740" spans="1:24" hidden="1" outlineLevel="2" x14ac:dyDescent="0.25">
      <c r="A740" t="str">
        <f t="shared" si="112"/>
        <v>AK7 - 1990</v>
      </c>
      <c r="B740" t="s">
        <v>36</v>
      </c>
      <c r="C740">
        <v>9</v>
      </c>
      <c r="D740">
        <v>4</v>
      </c>
      <c r="E740">
        <v>1990</v>
      </c>
      <c r="F740">
        <v>61.3</v>
      </c>
      <c r="G740">
        <v>14.4</v>
      </c>
      <c r="H740">
        <v>12.9</v>
      </c>
      <c r="I740">
        <v>1.5</v>
      </c>
      <c r="J740">
        <v>10</v>
      </c>
      <c r="K740">
        <v>48.9</v>
      </c>
      <c r="L740">
        <v>118.1</v>
      </c>
      <c r="M740">
        <v>359</v>
      </c>
      <c r="N740">
        <v>340</v>
      </c>
      <c r="O740">
        <v>520</v>
      </c>
      <c r="P740">
        <v>180</v>
      </c>
      <c r="Q740">
        <v>281</v>
      </c>
      <c r="R740">
        <v>551</v>
      </c>
      <c r="S740">
        <v>270</v>
      </c>
      <c r="T740">
        <v>227.1</v>
      </c>
      <c r="U740">
        <v>411</v>
      </c>
      <c r="V740">
        <v>418</v>
      </c>
      <c r="W740">
        <v>500</v>
      </c>
      <c r="X740">
        <v>2.79</v>
      </c>
    </row>
    <row r="741" spans="1:24" hidden="1" outlineLevel="2" x14ac:dyDescent="0.25">
      <c r="A741" t="str">
        <f t="shared" si="112"/>
        <v>AK7 - 1990</v>
      </c>
      <c r="B741" t="s">
        <v>36</v>
      </c>
      <c r="C741">
        <v>10</v>
      </c>
      <c r="D741">
        <v>4</v>
      </c>
      <c r="E741">
        <v>1990</v>
      </c>
      <c r="F741">
        <v>19</v>
      </c>
      <c r="G741">
        <v>19</v>
      </c>
      <c r="H741">
        <v>9</v>
      </c>
      <c r="I741">
        <v>0</v>
      </c>
      <c r="J741">
        <v>0</v>
      </c>
      <c r="K741">
        <v>11.3</v>
      </c>
      <c r="L741">
        <v>11.3</v>
      </c>
      <c r="M741">
        <v>381</v>
      </c>
      <c r="N741">
        <v>381</v>
      </c>
      <c r="Q741">
        <v>129</v>
      </c>
      <c r="R741">
        <v>487</v>
      </c>
      <c r="S741">
        <v>358</v>
      </c>
      <c r="T741">
        <v>240.3</v>
      </c>
      <c r="U741">
        <v>373</v>
      </c>
      <c r="V741">
        <v>372</v>
      </c>
      <c r="W741">
        <v>500</v>
      </c>
      <c r="X741">
        <v>2.79</v>
      </c>
    </row>
    <row r="742" spans="1:24" hidden="1" outlineLevel="2" x14ac:dyDescent="0.25">
      <c r="A742" t="str">
        <f t="shared" si="112"/>
        <v>AK7 - 1990</v>
      </c>
      <c r="B742" t="s">
        <v>36</v>
      </c>
      <c r="C742">
        <v>11</v>
      </c>
      <c r="D742">
        <v>4</v>
      </c>
      <c r="E742">
        <v>1990</v>
      </c>
      <c r="F742">
        <v>47.1</v>
      </c>
      <c r="G742">
        <v>9.9</v>
      </c>
      <c r="H742">
        <v>9.3000000000000007</v>
      </c>
      <c r="I742">
        <v>0.6</v>
      </c>
      <c r="J742">
        <v>6</v>
      </c>
      <c r="K742">
        <v>26.2</v>
      </c>
      <c r="L742">
        <v>69.7</v>
      </c>
      <c r="M742">
        <v>394</v>
      </c>
      <c r="N742">
        <v>386</v>
      </c>
      <c r="O742">
        <v>516</v>
      </c>
      <c r="P742">
        <v>130</v>
      </c>
      <c r="Q742">
        <v>328</v>
      </c>
      <c r="R742">
        <v>517</v>
      </c>
      <c r="S742">
        <v>189</v>
      </c>
      <c r="T742">
        <v>137.69999999999999</v>
      </c>
      <c r="U742">
        <v>408</v>
      </c>
      <c r="V742">
        <v>408</v>
      </c>
      <c r="W742">
        <v>500</v>
      </c>
      <c r="X742">
        <v>2.79</v>
      </c>
    </row>
    <row r="743" spans="1:24" hidden="1" outlineLevel="2" x14ac:dyDescent="0.25">
      <c r="A743" t="str">
        <f t="shared" si="112"/>
        <v>AK7 - 1990</v>
      </c>
      <c r="B743" t="s">
        <v>36</v>
      </c>
      <c r="C743">
        <v>12</v>
      </c>
      <c r="D743">
        <v>5</v>
      </c>
      <c r="E743">
        <v>1990</v>
      </c>
      <c r="F743">
        <v>72.3</v>
      </c>
      <c r="G743">
        <v>8.4</v>
      </c>
      <c r="H743">
        <v>7.5</v>
      </c>
      <c r="I743">
        <v>0.9</v>
      </c>
      <c r="J743">
        <v>10</v>
      </c>
      <c r="K743">
        <v>35.9</v>
      </c>
      <c r="L743">
        <v>164.2</v>
      </c>
      <c r="M743">
        <v>405</v>
      </c>
      <c r="N743">
        <v>393</v>
      </c>
      <c r="O743">
        <v>504</v>
      </c>
      <c r="P743">
        <v>111</v>
      </c>
      <c r="Q743">
        <v>346</v>
      </c>
      <c r="R743">
        <v>509</v>
      </c>
      <c r="S743">
        <v>163</v>
      </c>
      <c r="T743">
        <v>144.9</v>
      </c>
      <c r="U743">
        <v>426</v>
      </c>
      <c r="V743">
        <v>418</v>
      </c>
      <c r="W743">
        <v>500</v>
      </c>
      <c r="X743">
        <v>2.79</v>
      </c>
    </row>
    <row r="744" spans="1:24" hidden="1" outlineLevel="2" x14ac:dyDescent="0.25">
      <c r="A744" t="str">
        <f t="shared" si="112"/>
        <v>AK7 - 1990</v>
      </c>
      <c r="B744" t="s">
        <v>36</v>
      </c>
      <c r="C744">
        <v>13</v>
      </c>
      <c r="D744">
        <v>5</v>
      </c>
      <c r="E744">
        <v>1990</v>
      </c>
      <c r="F744">
        <v>70.099999999999994</v>
      </c>
      <c r="G744">
        <v>10.199999999999999</v>
      </c>
      <c r="H744">
        <v>9.3000000000000007</v>
      </c>
      <c r="I744">
        <v>0.9</v>
      </c>
      <c r="J744">
        <v>8</v>
      </c>
      <c r="K744">
        <v>41.7</v>
      </c>
      <c r="L744">
        <v>154.4</v>
      </c>
      <c r="M744">
        <v>388</v>
      </c>
      <c r="N744">
        <v>374</v>
      </c>
      <c r="O744">
        <v>530</v>
      </c>
      <c r="P744">
        <v>156</v>
      </c>
      <c r="Q744">
        <v>323</v>
      </c>
      <c r="R744">
        <v>536</v>
      </c>
      <c r="S744">
        <v>213</v>
      </c>
      <c r="T744">
        <v>226.2</v>
      </c>
      <c r="U744">
        <v>428</v>
      </c>
      <c r="V744">
        <v>431</v>
      </c>
      <c r="W744">
        <v>500</v>
      </c>
      <c r="X744">
        <v>2.79</v>
      </c>
    </row>
    <row r="745" spans="1:24" hidden="1" outlineLevel="2" x14ac:dyDescent="0.25">
      <c r="A745" t="str">
        <f t="shared" si="112"/>
        <v>AK7 - 1990</v>
      </c>
      <c r="B745" t="s">
        <v>36</v>
      </c>
      <c r="C745">
        <v>14</v>
      </c>
      <c r="D745">
        <v>5</v>
      </c>
      <c r="E745">
        <v>1990</v>
      </c>
      <c r="F745">
        <v>93.9</v>
      </c>
      <c r="G745">
        <v>15</v>
      </c>
      <c r="H745">
        <v>15</v>
      </c>
      <c r="I745">
        <v>0</v>
      </c>
      <c r="J745">
        <v>0</v>
      </c>
      <c r="K745">
        <v>81.400000000000006</v>
      </c>
      <c r="L745">
        <v>277</v>
      </c>
      <c r="M745">
        <v>320</v>
      </c>
      <c r="N745">
        <v>320</v>
      </c>
      <c r="Q745">
        <v>271</v>
      </c>
      <c r="R745">
        <v>438</v>
      </c>
      <c r="S745">
        <v>167</v>
      </c>
      <c r="T745">
        <v>193.2</v>
      </c>
      <c r="U745">
        <v>390</v>
      </c>
      <c r="V745">
        <v>377</v>
      </c>
      <c r="W745">
        <v>500</v>
      </c>
      <c r="X745">
        <v>2.79</v>
      </c>
    </row>
    <row r="746" spans="1:24" hidden="1" outlineLevel="2" x14ac:dyDescent="0.25">
      <c r="A746" t="str">
        <f t="shared" si="112"/>
        <v>AK7 - 1990</v>
      </c>
      <c r="B746" t="s">
        <v>36</v>
      </c>
      <c r="C746">
        <v>15</v>
      </c>
      <c r="D746">
        <v>5</v>
      </c>
      <c r="E746">
        <v>1990</v>
      </c>
      <c r="F746">
        <v>73.400000000000006</v>
      </c>
      <c r="G746">
        <v>12.3</v>
      </c>
      <c r="H746">
        <v>12.3</v>
      </c>
      <c r="I746">
        <v>0</v>
      </c>
      <c r="J746">
        <v>0</v>
      </c>
      <c r="K746">
        <v>52</v>
      </c>
      <c r="L746">
        <v>169.3</v>
      </c>
      <c r="M746">
        <v>354</v>
      </c>
      <c r="N746">
        <v>354</v>
      </c>
      <c r="Q746">
        <v>274</v>
      </c>
      <c r="R746">
        <v>471</v>
      </c>
      <c r="S746">
        <v>197</v>
      </c>
      <c r="T746">
        <v>172.5</v>
      </c>
      <c r="U746">
        <v>414</v>
      </c>
      <c r="V746">
        <v>397</v>
      </c>
      <c r="W746">
        <v>500</v>
      </c>
      <c r="X746">
        <v>2.79</v>
      </c>
    </row>
    <row r="747" spans="1:24" outlineLevel="1" collapsed="1" x14ac:dyDescent="0.25">
      <c r="A747" s="8" t="s">
        <v>93</v>
      </c>
      <c r="D747">
        <f t="shared" ref="D747:V747" si="113">SUBTOTAL(1,D733:D746)</f>
        <v>4.7857142857142856</v>
      </c>
      <c r="E747">
        <f t="shared" si="113"/>
        <v>1990</v>
      </c>
      <c r="F747">
        <f t="shared" si="113"/>
        <v>62.828571428571429</v>
      </c>
      <c r="G747">
        <f t="shared" si="113"/>
        <v>14.857142857142859</v>
      </c>
      <c r="H747">
        <f t="shared" si="113"/>
        <v>13.500000000000004</v>
      </c>
      <c r="I747">
        <f t="shared" si="113"/>
        <v>0.6428571428571429</v>
      </c>
      <c r="J747">
        <f t="shared" si="113"/>
        <v>5</v>
      </c>
      <c r="K747">
        <f t="shared" si="113"/>
        <v>53.06428571428571</v>
      </c>
      <c r="L747">
        <f t="shared" si="113"/>
        <v>139.97142857142856</v>
      </c>
      <c r="M747">
        <f t="shared" si="113"/>
        <v>369.14285714285717</v>
      </c>
      <c r="N747">
        <f t="shared" si="113"/>
        <v>361.28571428571428</v>
      </c>
      <c r="O747">
        <f t="shared" si="113"/>
        <v>522.66666666666663</v>
      </c>
      <c r="P747">
        <f t="shared" si="113"/>
        <v>156.22222222222223</v>
      </c>
      <c r="Q747">
        <f t="shared" si="113"/>
        <v>290</v>
      </c>
      <c r="R747">
        <f t="shared" si="113"/>
        <v>518.92857142857144</v>
      </c>
      <c r="S747">
        <f t="shared" si="113"/>
        <v>228.92857142857142</v>
      </c>
      <c r="T747">
        <f t="shared" si="113"/>
        <v>202.39285714285711</v>
      </c>
      <c r="U747">
        <f t="shared" si="113"/>
        <v>405.85714285714283</v>
      </c>
      <c r="V747">
        <f t="shared" si="113"/>
        <v>400.78571428571428</v>
      </c>
    </row>
    <row r="748" spans="1:24" hidden="1" outlineLevel="2" x14ac:dyDescent="0.25">
      <c r="A748" t="str">
        <f t="shared" ref="A748:A761" si="114">CONCATENATE(B748," - ",E748)</f>
        <v>AK7 - 1991</v>
      </c>
      <c r="B748" t="s">
        <v>36</v>
      </c>
      <c r="C748">
        <v>1</v>
      </c>
      <c r="D748">
        <v>6</v>
      </c>
      <c r="E748">
        <v>1991</v>
      </c>
      <c r="F748">
        <v>87.1</v>
      </c>
      <c r="G748">
        <v>12.3</v>
      </c>
      <c r="H748">
        <v>11.1</v>
      </c>
      <c r="I748">
        <v>1.2</v>
      </c>
      <c r="J748">
        <v>9</v>
      </c>
      <c r="K748">
        <v>62.6</v>
      </c>
      <c r="L748">
        <v>238.3</v>
      </c>
      <c r="M748">
        <v>368</v>
      </c>
      <c r="N748">
        <v>349</v>
      </c>
      <c r="O748">
        <v>549</v>
      </c>
      <c r="P748">
        <v>200</v>
      </c>
      <c r="Q748">
        <v>302</v>
      </c>
      <c r="R748">
        <v>574</v>
      </c>
      <c r="S748">
        <v>272</v>
      </c>
      <c r="T748">
        <v>184.2</v>
      </c>
      <c r="U748">
        <v>438</v>
      </c>
      <c r="V748">
        <v>433</v>
      </c>
      <c r="W748">
        <v>500</v>
      </c>
      <c r="X748">
        <v>2.79</v>
      </c>
    </row>
    <row r="749" spans="1:24" hidden="1" outlineLevel="2" x14ac:dyDescent="0.25">
      <c r="A749" t="str">
        <f t="shared" si="114"/>
        <v>AK7 - 1991</v>
      </c>
      <c r="B749" t="s">
        <v>36</v>
      </c>
      <c r="C749">
        <v>2</v>
      </c>
      <c r="D749">
        <v>6</v>
      </c>
      <c r="E749">
        <v>1991</v>
      </c>
      <c r="F749">
        <v>49.3</v>
      </c>
      <c r="G749">
        <v>16.2</v>
      </c>
      <c r="H749">
        <v>16.2</v>
      </c>
      <c r="I749">
        <v>0</v>
      </c>
      <c r="J749">
        <v>0</v>
      </c>
      <c r="K749">
        <v>41.9</v>
      </c>
      <c r="L749">
        <v>76.400000000000006</v>
      </c>
      <c r="M749">
        <v>362</v>
      </c>
      <c r="N749">
        <v>362</v>
      </c>
      <c r="Q749">
        <v>303</v>
      </c>
      <c r="R749">
        <v>467</v>
      </c>
      <c r="S749">
        <v>164</v>
      </c>
      <c r="T749">
        <v>195.9</v>
      </c>
      <c r="U749">
        <v>414</v>
      </c>
      <c r="V749">
        <v>411</v>
      </c>
      <c r="W749">
        <v>500</v>
      </c>
      <c r="X749">
        <v>2.79</v>
      </c>
    </row>
    <row r="750" spans="1:24" hidden="1" outlineLevel="2" x14ac:dyDescent="0.25">
      <c r="A750" t="str">
        <f t="shared" si="114"/>
        <v>AK7 - 1991</v>
      </c>
      <c r="B750" t="s">
        <v>36</v>
      </c>
      <c r="C750">
        <v>3</v>
      </c>
      <c r="D750">
        <v>6</v>
      </c>
      <c r="E750">
        <v>1991</v>
      </c>
      <c r="F750">
        <v>113.5</v>
      </c>
      <c r="G750">
        <v>16.8</v>
      </c>
      <c r="H750">
        <v>16.2</v>
      </c>
      <c r="I750">
        <v>0.6</v>
      </c>
      <c r="J750">
        <v>3</v>
      </c>
      <c r="K750">
        <v>110.9</v>
      </c>
      <c r="L750">
        <v>404.7</v>
      </c>
      <c r="M750">
        <v>341</v>
      </c>
      <c r="N750">
        <v>335</v>
      </c>
      <c r="O750">
        <v>513</v>
      </c>
      <c r="P750">
        <v>178</v>
      </c>
      <c r="Q750">
        <v>287</v>
      </c>
      <c r="R750">
        <v>525</v>
      </c>
      <c r="S750">
        <v>238</v>
      </c>
      <c r="T750">
        <v>252.9</v>
      </c>
      <c r="U750">
        <v>370</v>
      </c>
      <c r="V750">
        <v>365</v>
      </c>
      <c r="W750">
        <v>500</v>
      </c>
      <c r="X750">
        <v>2.79</v>
      </c>
    </row>
    <row r="751" spans="1:24" hidden="1" outlineLevel="2" x14ac:dyDescent="0.25">
      <c r="A751" t="str">
        <f t="shared" si="114"/>
        <v>AK7 - 1991</v>
      </c>
      <c r="B751" t="s">
        <v>36</v>
      </c>
      <c r="C751">
        <v>5</v>
      </c>
      <c r="D751">
        <v>6</v>
      </c>
      <c r="E751">
        <v>1991</v>
      </c>
      <c r="F751">
        <v>72.599999999999994</v>
      </c>
      <c r="G751">
        <v>15.3</v>
      </c>
      <c r="H751">
        <v>13.8</v>
      </c>
      <c r="I751">
        <v>1.5</v>
      </c>
      <c r="J751">
        <v>9</v>
      </c>
      <c r="K751">
        <v>62.4</v>
      </c>
      <c r="L751">
        <v>165.6</v>
      </c>
      <c r="M751">
        <v>417</v>
      </c>
      <c r="N751">
        <v>402</v>
      </c>
      <c r="O751">
        <v>556</v>
      </c>
      <c r="P751">
        <v>154</v>
      </c>
      <c r="Q751">
        <v>355</v>
      </c>
      <c r="R751">
        <v>589</v>
      </c>
      <c r="S751">
        <v>234</v>
      </c>
      <c r="T751">
        <v>221.1</v>
      </c>
      <c r="U751">
        <v>426</v>
      </c>
      <c r="V751">
        <v>420</v>
      </c>
      <c r="W751">
        <v>500</v>
      </c>
      <c r="X751">
        <v>2.79</v>
      </c>
    </row>
    <row r="752" spans="1:24" hidden="1" outlineLevel="2" x14ac:dyDescent="0.25">
      <c r="A752" t="str">
        <f t="shared" si="114"/>
        <v>AK7 - 1991</v>
      </c>
      <c r="B752" t="s">
        <v>36</v>
      </c>
      <c r="C752">
        <v>6</v>
      </c>
      <c r="D752">
        <v>6</v>
      </c>
      <c r="E752">
        <v>1991</v>
      </c>
      <c r="F752">
        <v>90.6</v>
      </c>
      <c r="G752">
        <v>13.2</v>
      </c>
      <c r="H752">
        <v>12.9</v>
      </c>
      <c r="I752">
        <v>0.3</v>
      </c>
      <c r="J752">
        <v>2</v>
      </c>
      <c r="K752">
        <v>69.7</v>
      </c>
      <c r="L752">
        <v>257.89999999999998</v>
      </c>
      <c r="M752">
        <v>336</v>
      </c>
      <c r="N752">
        <v>332</v>
      </c>
      <c r="O752">
        <v>512</v>
      </c>
      <c r="P752">
        <v>180</v>
      </c>
      <c r="Q752">
        <v>275</v>
      </c>
      <c r="R752">
        <v>512</v>
      </c>
      <c r="S752">
        <v>237</v>
      </c>
      <c r="T752">
        <v>181.2</v>
      </c>
      <c r="U752">
        <v>379</v>
      </c>
      <c r="V752">
        <v>374</v>
      </c>
      <c r="W752">
        <v>500</v>
      </c>
      <c r="X752">
        <v>2.79</v>
      </c>
    </row>
    <row r="753" spans="1:24" hidden="1" outlineLevel="2" x14ac:dyDescent="0.25">
      <c r="A753" t="str">
        <f t="shared" si="114"/>
        <v>AK7 - 1991</v>
      </c>
      <c r="B753" t="s">
        <v>36</v>
      </c>
      <c r="C753">
        <v>7</v>
      </c>
      <c r="D753">
        <v>6</v>
      </c>
      <c r="E753">
        <v>1991</v>
      </c>
      <c r="F753">
        <v>43.4</v>
      </c>
      <c r="G753">
        <v>14.7</v>
      </c>
      <c r="H753">
        <v>13.8</v>
      </c>
      <c r="I753">
        <v>0.9</v>
      </c>
      <c r="J753">
        <v>6</v>
      </c>
      <c r="K753">
        <v>33.299999999999997</v>
      </c>
      <c r="L753">
        <v>59.2</v>
      </c>
      <c r="M753">
        <v>333</v>
      </c>
      <c r="N753">
        <v>320</v>
      </c>
      <c r="O753">
        <v>535</v>
      </c>
      <c r="P753">
        <v>215</v>
      </c>
      <c r="Q753">
        <v>251</v>
      </c>
      <c r="R753">
        <v>542</v>
      </c>
      <c r="S753">
        <v>291</v>
      </c>
      <c r="T753">
        <v>278.39999999999998</v>
      </c>
      <c r="U753">
        <v>367</v>
      </c>
      <c r="V753">
        <v>372</v>
      </c>
      <c r="W753">
        <v>500</v>
      </c>
      <c r="X753">
        <v>2.79</v>
      </c>
    </row>
    <row r="754" spans="1:24" hidden="1" outlineLevel="2" x14ac:dyDescent="0.25">
      <c r="A754" t="str">
        <f t="shared" si="114"/>
        <v>AK7 - 1991</v>
      </c>
      <c r="B754" t="s">
        <v>36</v>
      </c>
      <c r="C754">
        <v>8</v>
      </c>
      <c r="D754">
        <v>6</v>
      </c>
      <c r="E754">
        <v>1991</v>
      </c>
      <c r="F754">
        <v>90.7</v>
      </c>
      <c r="G754">
        <v>16.2</v>
      </c>
      <c r="H754">
        <v>15.6</v>
      </c>
      <c r="I754">
        <v>0.6</v>
      </c>
      <c r="J754">
        <v>3</v>
      </c>
      <c r="K754">
        <v>84.1</v>
      </c>
      <c r="L754">
        <v>258.39999999999998</v>
      </c>
      <c r="M754">
        <v>384</v>
      </c>
      <c r="N754">
        <v>379</v>
      </c>
      <c r="O754">
        <v>509</v>
      </c>
      <c r="P754">
        <v>130</v>
      </c>
      <c r="Q754">
        <v>314</v>
      </c>
      <c r="R754">
        <v>515</v>
      </c>
      <c r="S754">
        <v>201</v>
      </c>
      <c r="T754">
        <v>177.9</v>
      </c>
      <c r="U754">
        <v>438</v>
      </c>
      <c r="V754">
        <v>415</v>
      </c>
      <c r="W754">
        <v>500</v>
      </c>
      <c r="X754">
        <v>2.79</v>
      </c>
    </row>
    <row r="755" spans="1:24" hidden="1" outlineLevel="2" x14ac:dyDescent="0.25">
      <c r="A755" t="str">
        <f t="shared" si="114"/>
        <v>AK7 - 1991</v>
      </c>
      <c r="B755" t="s">
        <v>36</v>
      </c>
      <c r="C755">
        <v>9</v>
      </c>
      <c r="D755">
        <v>5</v>
      </c>
      <c r="E755">
        <v>1991</v>
      </c>
      <c r="F755">
        <v>75.7</v>
      </c>
      <c r="G755">
        <v>14.4</v>
      </c>
      <c r="H755">
        <v>12.9</v>
      </c>
      <c r="I755">
        <v>1.5</v>
      </c>
      <c r="J755">
        <v>10</v>
      </c>
      <c r="K755">
        <v>62</v>
      </c>
      <c r="L755">
        <v>180</v>
      </c>
      <c r="M755">
        <v>360</v>
      </c>
      <c r="N755">
        <v>341</v>
      </c>
      <c r="O755">
        <v>528</v>
      </c>
      <c r="P755">
        <v>187</v>
      </c>
      <c r="Q755">
        <v>285</v>
      </c>
      <c r="R755">
        <v>547</v>
      </c>
      <c r="S755">
        <v>262</v>
      </c>
      <c r="T755">
        <v>227.1</v>
      </c>
      <c r="U755">
        <v>411</v>
      </c>
      <c r="V755">
        <v>418</v>
      </c>
      <c r="W755">
        <v>500</v>
      </c>
      <c r="X755">
        <v>2.79</v>
      </c>
    </row>
    <row r="756" spans="1:24" hidden="1" outlineLevel="2" x14ac:dyDescent="0.25">
      <c r="A756" t="str">
        <f t="shared" si="114"/>
        <v>AK7 - 1991</v>
      </c>
      <c r="B756" t="s">
        <v>36</v>
      </c>
      <c r="C756">
        <v>10</v>
      </c>
      <c r="D756">
        <v>5</v>
      </c>
      <c r="E756">
        <v>1991</v>
      </c>
      <c r="F756">
        <v>36.4</v>
      </c>
      <c r="G756">
        <v>17.399999999999999</v>
      </c>
      <c r="H756">
        <v>16.5</v>
      </c>
      <c r="I756">
        <v>0.9</v>
      </c>
      <c r="J756">
        <v>5</v>
      </c>
      <c r="K756">
        <v>30.3</v>
      </c>
      <c r="L756">
        <v>41.6</v>
      </c>
      <c r="M756">
        <v>361</v>
      </c>
      <c r="N756">
        <v>353</v>
      </c>
      <c r="O756">
        <v>516</v>
      </c>
      <c r="P756">
        <v>163</v>
      </c>
      <c r="Q756">
        <v>292</v>
      </c>
      <c r="R756">
        <v>521</v>
      </c>
      <c r="S756">
        <v>229</v>
      </c>
      <c r="T756">
        <v>240.3</v>
      </c>
      <c r="U756">
        <v>373</v>
      </c>
      <c r="V756">
        <v>372</v>
      </c>
      <c r="W756">
        <v>500</v>
      </c>
      <c r="X756">
        <v>2.79</v>
      </c>
    </row>
    <row r="757" spans="1:24" hidden="1" outlineLevel="2" x14ac:dyDescent="0.25">
      <c r="A757" t="str">
        <f t="shared" si="114"/>
        <v>AK7 - 1991</v>
      </c>
      <c r="B757" t="s">
        <v>36</v>
      </c>
      <c r="C757">
        <v>11</v>
      </c>
      <c r="D757">
        <v>5</v>
      </c>
      <c r="E757">
        <v>1991</v>
      </c>
      <c r="F757">
        <v>55.5</v>
      </c>
      <c r="G757">
        <v>8.4</v>
      </c>
      <c r="H757">
        <v>7.2</v>
      </c>
      <c r="I757">
        <v>1.2</v>
      </c>
      <c r="J757">
        <v>14</v>
      </c>
      <c r="K757">
        <v>27.1</v>
      </c>
      <c r="L757">
        <v>96.8</v>
      </c>
      <c r="M757">
        <v>419</v>
      </c>
      <c r="N757">
        <v>397</v>
      </c>
      <c r="O757">
        <v>553</v>
      </c>
      <c r="P757">
        <v>156</v>
      </c>
      <c r="Q757">
        <v>336</v>
      </c>
      <c r="R757">
        <v>586</v>
      </c>
      <c r="S757">
        <v>250</v>
      </c>
      <c r="T757">
        <v>137.69999999999999</v>
      </c>
      <c r="U757">
        <v>408</v>
      </c>
      <c r="V757">
        <v>408</v>
      </c>
      <c r="W757">
        <v>500</v>
      </c>
      <c r="X757">
        <v>2.79</v>
      </c>
    </row>
    <row r="758" spans="1:24" hidden="1" outlineLevel="2" x14ac:dyDescent="0.25">
      <c r="A758" t="str">
        <f t="shared" si="114"/>
        <v>AK7 - 1991</v>
      </c>
      <c r="B758" t="s">
        <v>36</v>
      </c>
      <c r="C758">
        <v>12</v>
      </c>
      <c r="D758">
        <v>6</v>
      </c>
      <c r="E758">
        <v>1991</v>
      </c>
      <c r="F758">
        <v>81.599999999999994</v>
      </c>
      <c r="G758">
        <v>9.3000000000000007</v>
      </c>
      <c r="H758">
        <v>8.4</v>
      </c>
      <c r="I758">
        <v>0.9</v>
      </c>
      <c r="J758">
        <v>9</v>
      </c>
      <c r="K758">
        <v>45</v>
      </c>
      <c r="L758">
        <v>209.2</v>
      </c>
      <c r="M758">
        <v>384</v>
      </c>
      <c r="N758">
        <v>368</v>
      </c>
      <c r="O758">
        <v>535</v>
      </c>
      <c r="P758">
        <v>167</v>
      </c>
      <c r="Q758">
        <v>319</v>
      </c>
      <c r="R758">
        <v>552</v>
      </c>
      <c r="S758">
        <v>233</v>
      </c>
      <c r="T758">
        <v>144.9</v>
      </c>
      <c r="U758">
        <v>426</v>
      </c>
      <c r="V758">
        <v>418</v>
      </c>
      <c r="W758">
        <v>500</v>
      </c>
      <c r="X758">
        <v>2.79</v>
      </c>
    </row>
    <row r="759" spans="1:24" hidden="1" outlineLevel="2" x14ac:dyDescent="0.25">
      <c r="A759" t="str">
        <f t="shared" si="114"/>
        <v>AK7 - 1991</v>
      </c>
      <c r="B759" t="s">
        <v>36</v>
      </c>
      <c r="C759">
        <v>13</v>
      </c>
      <c r="D759">
        <v>6</v>
      </c>
      <c r="E759">
        <v>1991</v>
      </c>
      <c r="F759">
        <v>83.6</v>
      </c>
      <c r="G759">
        <v>13.5</v>
      </c>
      <c r="H759">
        <v>12.3</v>
      </c>
      <c r="I759">
        <v>1.2</v>
      </c>
      <c r="J759">
        <v>8</v>
      </c>
      <c r="K759">
        <v>65.2</v>
      </c>
      <c r="L759">
        <v>219.6</v>
      </c>
      <c r="M759">
        <v>409</v>
      </c>
      <c r="N759">
        <v>397</v>
      </c>
      <c r="O759">
        <v>531</v>
      </c>
      <c r="P759">
        <v>134</v>
      </c>
      <c r="Q759">
        <v>359</v>
      </c>
      <c r="R759">
        <v>550</v>
      </c>
      <c r="S759">
        <v>191</v>
      </c>
      <c r="T759">
        <v>226.2</v>
      </c>
      <c r="U759">
        <v>428</v>
      </c>
      <c r="V759">
        <v>431</v>
      </c>
      <c r="W759">
        <v>500</v>
      </c>
      <c r="X759">
        <v>2.79</v>
      </c>
    </row>
    <row r="760" spans="1:24" hidden="1" outlineLevel="2" x14ac:dyDescent="0.25">
      <c r="A760" t="str">
        <f t="shared" si="114"/>
        <v>AK7 - 1991</v>
      </c>
      <c r="B760" t="s">
        <v>36</v>
      </c>
      <c r="C760">
        <v>14</v>
      </c>
      <c r="D760">
        <v>6</v>
      </c>
      <c r="E760">
        <v>1991</v>
      </c>
      <c r="F760">
        <v>100.8</v>
      </c>
      <c r="G760">
        <v>6.9</v>
      </c>
      <c r="H760">
        <v>6.6</v>
      </c>
      <c r="I760">
        <v>0.3</v>
      </c>
      <c r="J760">
        <v>4</v>
      </c>
      <c r="K760">
        <v>42.2</v>
      </c>
      <c r="L760">
        <v>319.2</v>
      </c>
      <c r="M760">
        <v>379</v>
      </c>
      <c r="N760">
        <v>373</v>
      </c>
      <c r="O760">
        <v>507</v>
      </c>
      <c r="P760">
        <v>134</v>
      </c>
      <c r="Q760">
        <v>299</v>
      </c>
      <c r="R760">
        <v>507</v>
      </c>
      <c r="S760">
        <v>208</v>
      </c>
      <c r="T760">
        <v>193.2</v>
      </c>
      <c r="U760">
        <v>390</v>
      </c>
      <c r="V760">
        <v>377</v>
      </c>
      <c r="W760">
        <v>500</v>
      </c>
      <c r="X760">
        <v>2.79</v>
      </c>
    </row>
    <row r="761" spans="1:24" hidden="1" outlineLevel="2" x14ac:dyDescent="0.25">
      <c r="A761" t="str">
        <f t="shared" si="114"/>
        <v>AK7 - 1991</v>
      </c>
      <c r="B761" t="s">
        <v>36</v>
      </c>
      <c r="C761">
        <v>15</v>
      </c>
      <c r="D761">
        <v>6</v>
      </c>
      <c r="E761">
        <v>1991</v>
      </c>
      <c r="F761">
        <v>87.2</v>
      </c>
      <c r="G761">
        <v>13.8</v>
      </c>
      <c r="H761">
        <v>12</v>
      </c>
      <c r="I761">
        <v>1.8</v>
      </c>
      <c r="J761">
        <v>13</v>
      </c>
      <c r="K761">
        <v>69.599999999999994</v>
      </c>
      <c r="L761">
        <v>238.9</v>
      </c>
      <c r="M761">
        <v>372</v>
      </c>
      <c r="N761">
        <v>351</v>
      </c>
      <c r="O761">
        <v>511</v>
      </c>
      <c r="P761">
        <v>160</v>
      </c>
      <c r="Q761">
        <v>273</v>
      </c>
      <c r="R761">
        <v>539</v>
      </c>
      <c r="S761">
        <v>266</v>
      </c>
      <c r="T761">
        <v>172.5</v>
      </c>
      <c r="U761">
        <v>414</v>
      </c>
      <c r="V761">
        <v>397</v>
      </c>
      <c r="W761">
        <v>500</v>
      </c>
      <c r="X761">
        <v>2.79</v>
      </c>
    </row>
    <row r="762" spans="1:24" outlineLevel="1" collapsed="1" x14ac:dyDescent="0.25">
      <c r="A762" s="8" t="s">
        <v>94</v>
      </c>
      <c r="D762">
        <f t="shared" ref="D762:V762" si="115">SUBTOTAL(1,D748:D761)</f>
        <v>5.7857142857142856</v>
      </c>
      <c r="E762">
        <f t="shared" si="115"/>
        <v>1991</v>
      </c>
      <c r="F762">
        <f t="shared" si="115"/>
        <v>76.285714285714292</v>
      </c>
      <c r="G762">
        <f t="shared" si="115"/>
        <v>13.457142857142859</v>
      </c>
      <c r="H762">
        <f t="shared" si="115"/>
        <v>12.535714285714286</v>
      </c>
      <c r="I762">
        <f t="shared" si="115"/>
        <v>0.92142857142857149</v>
      </c>
      <c r="J762">
        <f t="shared" si="115"/>
        <v>6.7857142857142856</v>
      </c>
      <c r="K762">
        <f t="shared" si="115"/>
        <v>57.592857142857149</v>
      </c>
      <c r="L762">
        <f t="shared" si="115"/>
        <v>197.55714285714285</v>
      </c>
      <c r="M762">
        <f t="shared" si="115"/>
        <v>373.21428571428572</v>
      </c>
      <c r="N762">
        <f t="shared" si="115"/>
        <v>361.35714285714283</v>
      </c>
      <c r="O762">
        <f t="shared" si="115"/>
        <v>527.30769230769226</v>
      </c>
      <c r="P762">
        <f t="shared" si="115"/>
        <v>166</v>
      </c>
      <c r="Q762">
        <f t="shared" si="115"/>
        <v>303.57142857142856</v>
      </c>
      <c r="R762">
        <f t="shared" si="115"/>
        <v>537.57142857142856</v>
      </c>
      <c r="S762">
        <f t="shared" si="115"/>
        <v>234</v>
      </c>
      <c r="T762">
        <f t="shared" si="115"/>
        <v>202.39285714285711</v>
      </c>
      <c r="U762">
        <f t="shared" si="115"/>
        <v>405.85714285714283</v>
      </c>
      <c r="V762">
        <f t="shared" si="115"/>
        <v>400.78571428571428</v>
      </c>
    </row>
    <row r="763" spans="1:24" hidden="1" outlineLevel="2" x14ac:dyDescent="0.25">
      <c r="A763" t="str">
        <f t="shared" ref="A763:A776" si="116">CONCATENATE(B763," - ",E763)</f>
        <v>AK7 - 1992</v>
      </c>
      <c r="B763" t="s">
        <v>36</v>
      </c>
      <c r="C763">
        <v>1</v>
      </c>
      <c r="D763">
        <v>7</v>
      </c>
      <c r="E763">
        <v>1992</v>
      </c>
      <c r="F763">
        <v>99.4</v>
      </c>
      <c r="G763">
        <v>12.3</v>
      </c>
      <c r="H763">
        <v>9.9</v>
      </c>
      <c r="I763">
        <v>2.4</v>
      </c>
      <c r="J763">
        <v>19</v>
      </c>
      <c r="K763">
        <v>72.099999999999994</v>
      </c>
      <c r="L763">
        <v>310.39999999999998</v>
      </c>
      <c r="M763">
        <v>410</v>
      </c>
      <c r="N763">
        <v>381</v>
      </c>
      <c r="O763">
        <v>531</v>
      </c>
      <c r="P763">
        <v>150</v>
      </c>
      <c r="Q763">
        <v>334</v>
      </c>
      <c r="R763">
        <v>564</v>
      </c>
      <c r="S763">
        <v>230</v>
      </c>
      <c r="T763">
        <v>184.2</v>
      </c>
      <c r="U763">
        <v>438</v>
      </c>
      <c r="V763">
        <v>433</v>
      </c>
      <c r="W763">
        <v>500</v>
      </c>
      <c r="X763">
        <v>2.79</v>
      </c>
    </row>
    <row r="764" spans="1:24" hidden="1" outlineLevel="2" x14ac:dyDescent="0.25">
      <c r="A764" t="str">
        <f t="shared" si="116"/>
        <v>AK7 - 1992</v>
      </c>
      <c r="B764" t="s">
        <v>36</v>
      </c>
      <c r="C764">
        <v>2</v>
      </c>
      <c r="D764">
        <v>7</v>
      </c>
      <c r="E764">
        <v>1992</v>
      </c>
      <c r="F764">
        <v>70.3</v>
      </c>
      <c r="G764">
        <v>21</v>
      </c>
      <c r="H764">
        <v>20.7</v>
      </c>
      <c r="I764">
        <v>0.3</v>
      </c>
      <c r="J764">
        <v>1</v>
      </c>
      <c r="K764">
        <v>78.900000000000006</v>
      </c>
      <c r="L764">
        <v>155.30000000000001</v>
      </c>
      <c r="M764">
        <v>365</v>
      </c>
      <c r="N764">
        <v>363</v>
      </c>
      <c r="O764">
        <v>517</v>
      </c>
      <c r="P764">
        <v>154</v>
      </c>
      <c r="Q764">
        <v>311</v>
      </c>
      <c r="R764">
        <v>517</v>
      </c>
      <c r="S764">
        <v>206</v>
      </c>
      <c r="T764">
        <v>195.9</v>
      </c>
      <c r="U764">
        <v>414</v>
      </c>
      <c r="V764">
        <v>411</v>
      </c>
      <c r="W764">
        <v>500</v>
      </c>
      <c r="X764">
        <v>2.79</v>
      </c>
    </row>
    <row r="765" spans="1:24" hidden="1" outlineLevel="2" x14ac:dyDescent="0.25">
      <c r="A765" t="str">
        <f t="shared" si="116"/>
        <v>AK7 - 1992</v>
      </c>
      <c r="B765" t="s">
        <v>36</v>
      </c>
      <c r="C765">
        <v>3</v>
      </c>
      <c r="D765">
        <v>7</v>
      </c>
      <c r="E765">
        <v>1992</v>
      </c>
      <c r="F765">
        <v>129.69999999999999</v>
      </c>
      <c r="G765">
        <v>16.2</v>
      </c>
      <c r="H765">
        <v>15.9</v>
      </c>
      <c r="I765">
        <v>0.3</v>
      </c>
      <c r="J765">
        <v>1</v>
      </c>
      <c r="K765">
        <v>123.8</v>
      </c>
      <c r="L765">
        <v>528.5</v>
      </c>
      <c r="M765">
        <v>338</v>
      </c>
      <c r="N765">
        <v>334</v>
      </c>
      <c r="O765">
        <v>512</v>
      </c>
      <c r="P765">
        <v>178</v>
      </c>
      <c r="Q765">
        <v>269</v>
      </c>
      <c r="R765">
        <v>512</v>
      </c>
      <c r="S765">
        <v>243</v>
      </c>
      <c r="T765">
        <v>252.9</v>
      </c>
      <c r="U765">
        <v>370</v>
      </c>
      <c r="V765">
        <v>365</v>
      </c>
      <c r="W765">
        <v>500</v>
      </c>
      <c r="X765">
        <v>2.79</v>
      </c>
    </row>
    <row r="766" spans="1:24" hidden="1" outlineLevel="2" x14ac:dyDescent="0.25">
      <c r="A766" t="str">
        <f t="shared" si="116"/>
        <v>AK7 - 1992</v>
      </c>
      <c r="B766" t="s">
        <v>36</v>
      </c>
      <c r="C766">
        <v>5</v>
      </c>
      <c r="D766">
        <v>7</v>
      </c>
      <c r="E766">
        <v>1992</v>
      </c>
      <c r="F766">
        <v>87.3</v>
      </c>
      <c r="G766">
        <v>14.7</v>
      </c>
      <c r="H766">
        <v>12</v>
      </c>
      <c r="I766">
        <v>2.7</v>
      </c>
      <c r="J766">
        <v>18</v>
      </c>
      <c r="K766">
        <v>73.8</v>
      </c>
      <c r="L766">
        <v>239.4</v>
      </c>
      <c r="M766">
        <v>447</v>
      </c>
      <c r="N766">
        <v>424</v>
      </c>
      <c r="O766">
        <v>553</v>
      </c>
      <c r="P766">
        <v>129</v>
      </c>
      <c r="Q766">
        <v>374</v>
      </c>
      <c r="R766">
        <v>592</v>
      </c>
      <c r="S766">
        <v>218</v>
      </c>
      <c r="T766">
        <v>221.1</v>
      </c>
      <c r="U766">
        <v>426</v>
      </c>
      <c r="V766">
        <v>420</v>
      </c>
      <c r="W766">
        <v>500</v>
      </c>
      <c r="X766">
        <v>2.79</v>
      </c>
    </row>
    <row r="767" spans="1:24" hidden="1" outlineLevel="2" x14ac:dyDescent="0.25">
      <c r="A767" t="str">
        <f t="shared" si="116"/>
        <v>AK7 - 1992</v>
      </c>
      <c r="B767" t="s">
        <v>36</v>
      </c>
      <c r="C767">
        <v>6</v>
      </c>
      <c r="D767">
        <v>7</v>
      </c>
      <c r="E767">
        <v>1992</v>
      </c>
      <c r="F767">
        <v>102.6</v>
      </c>
      <c r="G767">
        <v>12</v>
      </c>
      <c r="H767">
        <v>12</v>
      </c>
      <c r="I767">
        <v>0</v>
      </c>
      <c r="J767">
        <v>0</v>
      </c>
      <c r="K767">
        <v>72.8</v>
      </c>
      <c r="L767">
        <v>330.7</v>
      </c>
      <c r="M767">
        <v>362</v>
      </c>
      <c r="N767">
        <v>362</v>
      </c>
      <c r="Q767">
        <v>282</v>
      </c>
      <c r="R767">
        <v>491</v>
      </c>
      <c r="S767">
        <v>209</v>
      </c>
      <c r="T767">
        <v>181.2</v>
      </c>
      <c r="U767">
        <v>379</v>
      </c>
      <c r="V767">
        <v>374</v>
      </c>
      <c r="W767">
        <v>500</v>
      </c>
      <c r="X767">
        <v>2.79</v>
      </c>
    </row>
    <row r="768" spans="1:24" hidden="1" outlineLevel="2" x14ac:dyDescent="0.25">
      <c r="A768" t="str">
        <f t="shared" si="116"/>
        <v>AK7 - 1992</v>
      </c>
      <c r="B768" t="s">
        <v>36</v>
      </c>
      <c r="C768">
        <v>7</v>
      </c>
      <c r="D768">
        <v>7</v>
      </c>
      <c r="E768">
        <v>1992</v>
      </c>
      <c r="F768">
        <v>60.5</v>
      </c>
      <c r="G768">
        <v>17.100000000000001</v>
      </c>
      <c r="H768">
        <v>15.9</v>
      </c>
      <c r="I768">
        <v>1.2</v>
      </c>
      <c r="J768">
        <v>7</v>
      </c>
      <c r="K768">
        <v>55.8</v>
      </c>
      <c r="L768">
        <v>115</v>
      </c>
      <c r="M768">
        <v>339</v>
      </c>
      <c r="N768">
        <v>325</v>
      </c>
      <c r="O768">
        <v>523</v>
      </c>
      <c r="P768">
        <v>198</v>
      </c>
      <c r="Q768">
        <v>266</v>
      </c>
      <c r="R768">
        <v>531</v>
      </c>
      <c r="S768">
        <v>265</v>
      </c>
      <c r="T768">
        <v>278.39999999999998</v>
      </c>
      <c r="U768">
        <v>367</v>
      </c>
      <c r="V768">
        <v>372</v>
      </c>
      <c r="W768">
        <v>500</v>
      </c>
      <c r="X768">
        <v>2.79</v>
      </c>
    </row>
    <row r="769" spans="1:24" hidden="1" outlineLevel="2" x14ac:dyDescent="0.25">
      <c r="A769" t="str">
        <f t="shared" si="116"/>
        <v>AK7 - 1992</v>
      </c>
      <c r="B769" t="s">
        <v>36</v>
      </c>
      <c r="C769">
        <v>8</v>
      </c>
      <c r="D769">
        <v>7</v>
      </c>
      <c r="E769">
        <v>1992</v>
      </c>
      <c r="F769">
        <v>105.4</v>
      </c>
      <c r="G769">
        <v>14.7</v>
      </c>
      <c r="H769">
        <v>13.2</v>
      </c>
      <c r="I769">
        <v>1.5</v>
      </c>
      <c r="J769">
        <v>10</v>
      </c>
      <c r="K769">
        <v>90.6</v>
      </c>
      <c r="L769">
        <v>349</v>
      </c>
      <c r="M769">
        <v>373</v>
      </c>
      <c r="N769">
        <v>355</v>
      </c>
      <c r="O769">
        <v>530</v>
      </c>
      <c r="P769">
        <v>175</v>
      </c>
      <c r="Q769">
        <v>292</v>
      </c>
      <c r="R769">
        <v>557</v>
      </c>
      <c r="S769">
        <v>265</v>
      </c>
      <c r="T769">
        <v>177.9</v>
      </c>
      <c r="U769">
        <v>438</v>
      </c>
      <c r="V769">
        <v>415</v>
      </c>
      <c r="W769">
        <v>500</v>
      </c>
      <c r="X769">
        <v>2.79</v>
      </c>
    </row>
    <row r="770" spans="1:24" hidden="1" outlineLevel="2" x14ac:dyDescent="0.25">
      <c r="A770" t="str">
        <f t="shared" si="116"/>
        <v>AK7 - 1992</v>
      </c>
      <c r="B770" t="s">
        <v>36</v>
      </c>
      <c r="C770">
        <v>9</v>
      </c>
      <c r="D770">
        <v>6</v>
      </c>
      <c r="E770">
        <v>1992</v>
      </c>
      <c r="F770">
        <v>90.4</v>
      </c>
      <c r="G770">
        <v>14.7</v>
      </c>
      <c r="H770">
        <v>13.2</v>
      </c>
      <c r="I770">
        <v>1.5</v>
      </c>
      <c r="J770">
        <v>10</v>
      </c>
      <c r="K770">
        <v>76.7</v>
      </c>
      <c r="L770">
        <v>256.7</v>
      </c>
      <c r="M770">
        <v>376</v>
      </c>
      <c r="N770">
        <v>360</v>
      </c>
      <c r="O770">
        <v>517</v>
      </c>
      <c r="P770">
        <v>157</v>
      </c>
      <c r="Q770">
        <v>298</v>
      </c>
      <c r="R770">
        <v>530</v>
      </c>
      <c r="S770">
        <v>232</v>
      </c>
      <c r="T770">
        <v>227.1</v>
      </c>
      <c r="U770">
        <v>411</v>
      </c>
      <c r="V770">
        <v>418</v>
      </c>
      <c r="W770">
        <v>500</v>
      </c>
      <c r="X770">
        <v>2.79</v>
      </c>
    </row>
    <row r="771" spans="1:24" hidden="1" outlineLevel="2" x14ac:dyDescent="0.25">
      <c r="A771" t="str">
        <f t="shared" si="116"/>
        <v>AK7 - 1992</v>
      </c>
      <c r="B771" t="s">
        <v>36</v>
      </c>
      <c r="C771">
        <v>10</v>
      </c>
      <c r="D771">
        <v>6</v>
      </c>
      <c r="E771">
        <v>1992</v>
      </c>
      <c r="F771">
        <v>55</v>
      </c>
      <c r="G771">
        <v>18.600000000000001</v>
      </c>
      <c r="H771">
        <v>18.600000000000001</v>
      </c>
      <c r="I771">
        <v>0</v>
      </c>
      <c r="J771">
        <v>0</v>
      </c>
      <c r="K771">
        <v>53.4</v>
      </c>
      <c r="L771">
        <v>95</v>
      </c>
      <c r="M771">
        <v>364</v>
      </c>
      <c r="N771">
        <v>364</v>
      </c>
      <c r="Q771">
        <v>284</v>
      </c>
      <c r="R771">
        <v>477</v>
      </c>
      <c r="S771">
        <v>193</v>
      </c>
      <c r="T771">
        <v>240.3</v>
      </c>
      <c r="U771">
        <v>373</v>
      </c>
      <c r="V771">
        <v>372</v>
      </c>
      <c r="W771">
        <v>500</v>
      </c>
      <c r="X771">
        <v>2.79</v>
      </c>
    </row>
    <row r="772" spans="1:24" hidden="1" outlineLevel="2" x14ac:dyDescent="0.25">
      <c r="A772" t="str">
        <f t="shared" si="116"/>
        <v>AK7 - 1992</v>
      </c>
      <c r="B772" t="s">
        <v>36</v>
      </c>
      <c r="C772">
        <v>11</v>
      </c>
      <c r="D772">
        <v>6</v>
      </c>
      <c r="E772">
        <v>1992</v>
      </c>
      <c r="F772">
        <v>64.2</v>
      </c>
      <c r="G772">
        <v>8.6999999999999993</v>
      </c>
      <c r="H772">
        <v>7.8</v>
      </c>
      <c r="I772">
        <v>0.9</v>
      </c>
      <c r="J772">
        <v>10</v>
      </c>
      <c r="K772">
        <v>32.700000000000003</v>
      </c>
      <c r="L772">
        <v>129.5</v>
      </c>
      <c r="M772">
        <v>414</v>
      </c>
      <c r="N772">
        <v>398</v>
      </c>
      <c r="O772">
        <v>549</v>
      </c>
      <c r="P772">
        <v>151</v>
      </c>
      <c r="Q772">
        <v>347</v>
      </c>
      <c r="R772">
        <v>583</v>
      </c>
      <c r="S772">
        <v>236</v>
      </c>
      <c r="T772">
        <v>137.69999999999999</v>
      </c>
      <c r="U772">
        <v>408</v>
      </c>
      <c r="V772">
        <v>408</v>
      </c>
      <c r="W772">
        <v>500</v>
      </c>
      <c r="X772">
        <v>2.79</v>
      </c>
    </row>
    <row r="773" spans="1:24" hidden="1" outlineLevel="2" x14ac:dyDescent="0.25">
      <c r="A773" t="str">
        <f t="shared" si="116"/>
        <v>AK7 - 1992</v>
      </c>
      <c r="B773" t="s">
        <v>36</v>
      </c>
      <c r="C773">
        <v>12</v>
      </c>
      <c r="D773">
        <v>7</v>
      </c>
      <c r="E773">
        <v>1992</v>
      </c>
      <c r="F773">
        <v>93</v>
      </c>
      <c r="G773">
        <v>11.4</v>
      </c>
      <c r="H773">
        <v>10.5</v>
      </c>
      <c r="I773">
        <v>0.9</v>
      </c>
      <c r="J773">
        <v>7</v>
      </c>
      <c r="K773">
        <v>62.5</v>
      </c>
      <c r="L773">
        <v>271.7</v>
      </c>
      <c r="M773">
        <v>385</v>
      </c>
      <c r="N773">
        <v>374</v>
      </c>
      <c r="O773">
        <v>520</v>
      </c>
      <c r="P773">
        <v>146</v>
      </c>
      <c r="Q773">
        <v>324</v>
      </c>
      <c r="R773">
        <v>531</v>
      </c>
      <c r="S773">
        <v>207</v>
      </c>
      <c r="T773">
        <v>144.9</v>
      </c>
      <c r="U773">
        <v>426</v>
      </c>
      <c r="V773">
        <v>418</v>
      </c>
      <c r="W773">
        <v>500</v>
      </c>
      <c r="X773">
        <v>2.79</v>
      </c>
    </row>
    <row r="774" spans="1:24" hidden="1" outlineLevel="2" x14ac:dyDescent="0.25">
      <c r="A774" t="str">
        <f t="shared" si="116"/>
        <v>AK7 - 1992</v>
      </c>
      <c r="B774" t="s">
        <v>36</v>
      </c>
      <c r="C774">
        <v>13</v>
      </c>
      <c r="D774">
        <v>7</v>
      </c>
      <c r="E774">
        <v>1992</v>
      </c>
      <c r="F774">
        <v>101</v>
      </c>
      <c r="G774">
        <v>17.399999999999999</v>
      </c>
      <c r="H774">
        <v>15.3</v>
      </c>
      <c r="I774">
        <v>2.1</v>
      </c>
      <c r="J774">
        <v>12</v>
      </c>
      <c r="K774">
        <v>100.9</v>
      </c>
      <c r="L774">
        <v>320.5</v>
      </c>
      <c r="M774">
        <v>394</v>
      </c>
      <c r="N774">
        <v>377</v>
      </c>
      <c r="O774">
        <v>522</v>
      </c>
      <c r="P774">
        <v>145</v>
      </c>
      <c r="Q774">
        <v>327</v>
      </c>
      <c r="R774">
        <v>540</v>
      </c>
      <c r="S774">
        <v>213</v>
      </c>
      <c r="T774">
        <v>226.2</v>
      </c>
      <c r="U774">
        <v>428</v>
      </c>
      <c r="V774">
        <v>431</v>
      </c>
      <c r="W774">
        <v>500</v>
      </c>
      <c r="X774">
        <v>2.79</v>
      </c>
    </row>
    <row r="775" spans="1:24" hidden="1" outlineLevel="2" x14ac:dyDescent="0.25">
      <c r="A775" t="str">
        <f t="shared" si="116"/>
        <v>AK7 - 1992</v>
      </c>
      <c r="B775" t="s">
        <v>36</v>
      </c>
      <c r="C775">
        <v>14</v>
      </c>
      <c r="D775">
        <v>7</v>
      </c>
      <c r="E775">
        <v>1992</v>
      </c>
      <c r="F775">
        <v>114.9</v>
      </c>
      <c r="G775">
        <v>14.1</v>
      </c>
      <c r="H775">
        <v>14.1</v>
      </c>
      <c r="I775">
        <v>0</v>
      </c>
      <c r="J775">
        <v>0</v>
      </c>
      <c r="K775">
        <v>95.5</v>
      </c>
      <c r="L775">
        <v>414.8</v>
      </c>
      <c r="M775">
        <v>348</v>
      </c>
      <c r="N775">
        <v>348</v>
      </c>
      <c r="Q775">
        <v>284</v>
      </c>
      <c r="R775">
        <v>493</v>
      </c>
      <c r="S775">
        <v>209</v>
      </c>
      <c r="T775">
        <v>193.2</v>
      </c>
      <c r="U775">
        <v>390</v>
      </c>
      <c r="V775">
        <v>377</v>
      </c>
      <c r="W775">
        <v>500</v>
      </c>
      <c r="X775">
        <v>2.79</v>
      </c>
    </row>
    <row r="776" spans="1:24" hidden="1" outlineLevel="2" x14ac:dyDescent="0.25">
      <c r="A776" t="str">
        <f t="shared" si="116"/>
        <v>AK7 - 1992</v>
      </c>
      <c r="B776" t="s">
        <v>36</v>
      </c>
      <c r="C776">
        <v>15</v>
      </c>
      <c r="D776">
        <v>7</v>
      </c>
      <c r="E776">
        <v>1992</v>
      </c>
      <c r="F776">
        <v>100.4</v>
      </c>
      <c r="G776">
        <v>13.2</v>
      </c>
      <c r="H776">
        <v>12.9</v>
      </c>
      <c r="I776">
        <v>0.3</v>
      </c>
      <c r="J776">
        <v>2</v>
      </c>
      <c r="K776">
        <v>77.8</v>
      </c>
      <c r="L776">
        <v>316.7</v>
      </c>
      <c r="M776">
        <v>369</v>
      </c>
      <c r="N776">
        <v>365</v>
      </c>
      <c r="O776">
        <v>503</v>
      </c>
      <c r="P776">
        <v>138</v>
      </c>
      <c r="Q776">
        <v>298</v>
      </c>
      <c r="R776">
        <v>503</v>
      </c>
      <c r="S776">
        <v>205</v>
      </c>
      <c r="T776">
        <v>172.5</v>
      </c>
      <c r="U776">
        <v>414</v>
      </c>
      <c r="V776">
        <v>397</v>
      </c>
      <c r="W776">
        <v>500</v>
      </c>
      <c r="X776">
        <v>2.79</v>
      </c>
    </row>
    <row r="777" spans="1:24" outlineLevel="1" collapsed="1" x14ac:dyDescent="0.25">
      <c r="A777" s="8" t="s">
        <v>95</v>
      </c>
      <c r="D777">
        <f t="shared" ref="D777:V777" si="117">SUBTOTAL(1,D763:D776)</f>
        <v>6.7857142857142856</v>
      </c>
      <c r="E777">
        <f t="shared" si="117"/>
        <v>1992</v>
      </c>
      <c r="F777">
        <f t="shared" si="117"/>
        <v>91.007142857142867</v>
      </c>
      <c r="G777">
        <f t="shared" si="117"/>
        <v>14.721428571428572</v>
      </c>
      <c r="H777">
        <f t="shared" si="117"/>
        <v>13.714285714285717</v>
      </c>
      <c r="I777">
        <f t="shared" si="117"/>
        <v>1.0071428571428571</v>
      </c>
      <c r="J777">
        <f t="shared" si="117"/>
        <v>6.9285714285714288</v>
      </c>
      <c r="K777">
        <f t="shared" si="117"/>
        <v>76.235714285714295</v>
      </c>
      <c r="L777">
        <f t="shared" si="117"/>
        <v>273.8</v>
      </c>
      <c r="M777">
        <f t="shared" si="117"/>
        <v>377.42857142857144</v>
      </c>
      <c r="N777">
        <f t="shared" si="117"/>
        <v>366.42857142857144</v>
      </c>
      <c r="O777">
        <f t="shared" si="117"/>
        <v>525.18181818181813</v>
      </c>
      <c r="P777">
        <f t="shared" si="117"/>
        <v>156.45454545454547</v>
      </c>
      <c r="Q777">
        <f t="shared" si="117"/>
        <v>306.42857142857144</v>
      </c>
      <c r="R777">
        <f t="shared" si="117"/>
        <v>530.07142857142856</v>
      </c>
      <c r="S777">
        <f t="shared" si="117"/>
        <v>223.64285714285714</v>
      </c>
      <c r="T777">
        <f t="shared" si="117"/>
        <v>202.39285714285711</v>
      </c>
      <c r="U777">
        <f t="shared" si="117"/>
        <v>405.85714285714283</v>
      </c>
      <c r="V777">
        <f t="shared" si="117"/>
        <v>400.78571428571428</v>
      </c>
    </row>
    <row r="778" spans="1:24" hidden="1" outlineLevel="2" x14ac:dyDescent="0.25">
      <c r="A778" t="str">
        <f t="shared" ref="A778:A791" si="118">CONCATENATE(B778," - ",E778)</f>
        <v>AK7 - 1993</v>
      </c>
      <c r="B778" t="s">
        <v>36</v>
      </c>
      <c r="C778">
        <v>1</v>
      </c>
      <c r="D778">
        <v>8</v>
      </c>
      <c r="E778">
        <v>1993</v>
      </c>
      <c r="F778">
        <v>111.4</v>
      </c>
      <c r="G778">
        <v>12</v>
      </c>
      <c r="H778">
        <v>9.9</v>
      </c>
      <c r="I778">
        <v>2.1</v>
      </c>
      <c r="J778">
        <v>17</v>
      </c>
      <c r="K778">
        <v>79.5</v>
      </c>
      <c r="L778">
        <v>389.9</v>
      </c>
      <c r="M778">
        <v>414</v>
      </c>
      <c r="N778">
        <v>387</v>
      </c>
      <c r="O778">
        <v>541</v>
      </c>
      <c r="P778">
        <v>154</v>
      </c>
      <c r="Q778">
        <v>340</v>
      </c>
      <c r="R778">
        <v>570</v>
      </c>
      <c r="S778">
        <v>230</v>
      </c>
      <c r="T778">
        <v>184.2</v>
      </c>
      <c r="U778">
        <v>438</v>
      </c>
      <c r="V778">
        <v>433</v>
      </c>
      <c r="W778">
        <v>500</v>
      </c>
      <c r="X778">
        <v>2.79</v>
      </c>
    </row>
    <row r="779" spans="1:24" hidden="1" outlineLevel="2" x14ac:dyDescent="0.25">
      <c r="A779" t="str">
        <f t="shared" si="118"/>
        <v>AK7 - 1993</v>
      </c>
      <c r="B779" t="s">
        <v>36</v>
      </c>
      <c r="C779">
        <v>2</v>
      </c>
      <c r="D779">
        <v>8</v>
      </c>
      <c r="E779">
        <v>1993</v>
      </c>
      <c r="F779">
        <v>83.8</v>
      </c>
      <c r="G779">
        <v>13.5</v>
      </c>
      <c r="H779">
        <v>12.6</v>
      </c>
      <c r="I779">
        <v>0.9</v>
      </c>
      <c r="J779">
        <v>6</v>
      </c>
      <c r="K779">
        <v>65.400000000000006</v>
      </c>
      <c r="L779">
        <v>220.6</v>
      </c>
      <c r="M779">
        <v>387</v>
      </c>
      <c r="N779">
        <v>376</v>
      </c>
      <c r="O779">
        <v>542</v>
      </c>
      <c r="P779">
        <v>166</v>
      </c>
      <c r="Q779">
        <v>317</v>
      </c>
      <c r="R779">
        <v>552</v>
      </c>
      <c r="S779">
        <v>235</v>
      </c>
      <c r="T779">
        <v>195.9</v>
      </c>
      <c r="U779">
        <v>414</v>
      </c>
      <c r="V779">
        <v>411</v>
      </c>
      <c r="W779">
        <v>500</v>
      </c>
      <c r="X779">
        <v>2.79</v>
      </c>
    </row>
    <row r="780" spans="1:24" hidden="1" outlineLevel="2" x14ac:dyDescent="0.25">
      <c r="A780" t="str">
        <f t="shared" si="118"/>
        <v>AK7 - 1993</v>
      </c>
      <c r="B780" t="s">
        <v>36</v>
      </c>
      <c r="C780">
        <v>3</v>
      </c>
      <c r="D780">
        <v>8</v>
      </c>
      <c r="E780">
        <v>1993</v>
      </c>
      <c r="F780">
        <v>142.6</v>
      </c>
      <c r="G780">
        <v>12.9</v>
      </c>
      <c r="H780">
        <v>11.7</v>
      </c>
      <c r="I780">
        <v>1.2</v>
      </c>
      <c r="J780">
        <v>9</v>
      </c>
      <c r="K780">
        <v>110.4</v>
      </c>
      <c r="L780">
        <v>638.79999999999995</v>
      </c>
      <c r="M780">
        <v>353</v>
      </c>
      <c r="N780">
        <v>335</v>
      </c>
      <c r="O780">
        <v>531</v>
      </c>
      <c r="P780">
        <v>196</v>
      </c>
      <c r="Q780">
        <v>277</v>
      </c>
      <c r="R780">
        <v>551</v>
      </c>
      <c r="S780">
        <v>274</v>
      </c>
      <c r="T780">
        <v>252.9</v>
      </c>
      <c r="U780">
        <v>370</v>
      </c>
      <c r="V780">
        <v>365</v>
      </c>
      <c r="W780">
        <v>500</v>
      </c>
      <c r="X780">
        <v>2.79</v>
      </c>
    </row>
    <row r="781" spans="1:24" hidden="1" outlineLevel="2" x14ac:dyDescent="0.25">
      <c r="A781" t="str">
        <f t="shared" si="118"/>
        <v>AK7 - 1993</v>
      </c>
      <c r="B781" t="s">
        <v>36</v>
      </c>
      <c r="C781">
        <v>5</v>
      </c>
      <c r="D781">
        <v>8</v>
      </c>
      <c r="E781">
        <v>1993</v>
      </c>
      <c r="F781">
        <v>102.6</v>
      </c>
      <c r="G781">
        <v>15.3</v>
      </c>
      <c r="H781">
        <v>12.3</v>
      </c>
      <c r="I781">
        <v>3</v>
      </c>
      <c r="J781">
        <v>19</v>
      </c>
      <c r="K781">
        <v>91.3</v>
      </c>
      <c r="L781">
        <v>330.7</v>
      </c>
      <c r="M781">
        <v>443</v>
      </c>
      <c r="N781">
        <v>421</v>
      </c>
      <c r="O781">
        <v>536</v>
      </c>
      <c r="P781">
        <v>115</v>
      </c>
      <c r="Q781">
        <v>367</v>
      </c>
      <c r="R781">
        <v>583</v>
      </c>
      <c r="S781">
        <v>216</v>
      </c>
      <c r="T781">
        <v>221.1</v>
      </c>
      <c r="U781">
        <v>426</v>
      </c>
      <c r="V781">
        <v>420</v>
      </c>
      <c r="W781">
        <v>500</v>
      </c>
      <c r="X781">
        <v>2.79</v>
      </c>
    </row>
    <row r="782" spans="1:24" hidden="1" outlineLevel="2" x14ac:dyDescent="0.25">
      <c r="A782" t="str">
        <f t="shared" si="118"/>
        <v>AK7 - 1993</v>
      </c>
      <c r="B782" t="s">
        <v>36</v>
      </c>
      <c r="C782">
        <v>6</v>
      </c>
      <c r="D782">
        <v>8</v>
      </c>
      <c r="E782">
        <v>1993</v>
      </c>
      <c r="F782">
        <v>114</v>
      </c>
      <c r="G782">
        <v>11.4</v>
      </c>
      <c r="H782">
        <v>11.1</v>
      </c>
      <c r="I782">
        <v>0.3</v>
      </c>
      <c r="J782">
        <v>2</v>
      </c>
      <c r="K782">
        <v>77.599999999999994</v>
      </c>
      <c r="L782">
        <v>408.3</v>
      </c>
      <c r="M782">
        <v>374</v>
      </c>
      <c r="N782">
        <v>371</v>
      </c>
      <c r="O782">
        <v>505</v>
      </c>
      <c r="P782">
        <v>134</v>
      </c>
      <c r="Q782">
        <v>303</v>
      </c>
      <c r="R782">
        <v>505</v>
      </c>
      <c r="S782">
        <v>202</v>
      </c>
      <c r="T782">
        <v>181.2</v>
      </c>
      <c r="U782">
        <v>379</v>
      </c>
      <c r="V782">
        <v>374</v>
      </c>
      <c r="W782">
        <v>500</v>
      </c>
      <c r="X782">
        <v>2.79</v>
      </c>
    </row>
    <row r="783" spans="1:24" hidden="1" outlineLevel="2" x14ac:dyDescent="0.25">
      <c r="A783" t="str">
        <f t="shared" si="118"/>
        <v>AK7 - 1993</v>
      </c>
      <c r="B783" t="s">
        <v>36</v>
      </c>
      <c r="C783">
        <v>7</v>
      </c>
      <c r="D783">
        <v>8</v>
      </c>
      <c r="E783">
        <v>1993</v>
      </c>
      <c r="F783">
        <v>75.5</v>
      </c>
      <c r="G783">
        <v>15</v>
      </c>
      <c r="H783">
        <v>15</v>
      </c>
      <c r="I783">
        <v>0</v>
      </c>
      <c r="J783">
        <v>0</v>
      </c>
      <c r="K783">
        <v>64.099999999999994</v>
      </c>
      <c r="L783">
        <v>179.1</v>
      </c>
      <c r="M783">
        <v>376</v>
      </c>
      <c r="N783">
        <v>376</v>
      </c>
      <c r="Q783">
        <v>293</v>
      </c>
      <c r="R783">
        <v>498</v>
      </c>
      <c r="S783">
        <v>205</v>
      </c>
      <c r="T783">
        <v>278.39999999999998</v>
      </c>
      <c r="U783">
        <v>367</v>
      </c>
      <c r="V783">
        <v>372</v>
      </c>
      <c r="W783">
        <v>500</v>
      </c>
      <c r="X783">
        <v>2.79</v>
      </c>
    </row>
    <row r="784" spans="1:24" hidden="1" outlineLevel="2" x14ac:dyDescent="0.25">
      <c r="A784" t="str">
        <f t="shared" si="118"/>
        <v>AK7 - 1993</v>
      </c>
      <c r="B784" t="s">
        <v>36</v>
      </c>
      <c r="C784">
        <v>8</v>
      </c>
      <c r="D784">
        <v>8</v>
      </c>
      <c r="E784">
        <v>1993</v>
      </c>
      <c r="F784">
        <v>119.2</v>
      </c>
      <c r="G784">
        <v>13.8</v>
      </c>
      <c r="H784">
        <v>12.3</v>
      </c>
      <c r="I784">
        <v>1.5</v>
      </c>
      <c r="J784">
        <v>10</v>
      </c>
      <c r="K784">
        <v>97.4</v>
      </c>
      <c r="L784">
        <v>446.4</v>
      </c>
      <c r="M784">
        <v>408</v>
      </c>
      <c r="N784">
        <v>394</v>
      </c>
      <c r="O784">
        <v>524</v>
      </c>
      <c r="P784">
        <v>130</v>
      </c>
      <c r="Q784">
        <v>330</v>
      </c>
      <c r="R784">
        <v>540</v>
      </c>
      <c r="S784">
        <v>210</v>
      </c>
      <c r="T784">
        <v>177.9</v>
      </c>
      <c r="U784">
        <v>438</v>
      </c>
      <c r="V784">
        <v>415</v>
      </c>
      <c r="W784">
        <v>500</v>
      </c>
      <c r="X784">
        <v>2.79</v>
      </c>
    </row>
    <row r="785" spans="1:24" hidden="1" outlineLevel="2" x14ac:dyDescent="0.25">
      <c r="A785" t="str">
        <f t="shared" si="118"/>
        <v>AK7 - 1993</v>
      </c>
      <c r="B785" t="s">
        <v>36</v>
      </c>
      <c r="C785">
        <v>9</v>
      </c>
      <c r="D785">
        <v>7</v>
      </c>
      <c r="E785">
        <v>1993</v>
      </c>
      <c r="F785">
        <v>100.3</v>
      </c>
      <c r="G785">
        <v>9.9</v>
      </c>
      <c r="H785">
        <v>8.4</v>
      </c>
      <c r="I785">
        <v>1.5</v>
      </c>
      <c r="J785">
        <v>15</v>
      </c>
      <c r="K785">
        <v>59.3</v>
      </c>
      <c r="L785">
        <v>316</v>
      </c>
      <c r="M785">
        <v>390</v>
      </c>
      <c r="N785">
        <v>364</v>
      </c>
      <c r="O785">
        <v>536</v>
      </c>
      <c r="P785">
        <v>172</v>
      </c>
      <c r="Q785">
        <v>314</v>
      </c>
      <c r="R785">
        <v>583</v>
      </c>
      <c r="S785">
        <v>269</v>
      </c>
      <c r="T785">
        <v>227.1</v>
      </c>
      <c r="U785">
        <v>411</v>
      </c>
      <c r="V785">
        <v>418</v>
      </c>
      <c r="W785">
        <v>500</v>
      </c>
      <c r="X785">
        <v>2.79</v>
      </c>
    </row>
    <row r="786" spans="1:24" hidden="1" outlineLevel="2" x14ac:dyDescent="0.25">
      <c r="A786" t="str">
        <f t="shared" si="118"/>
        <v>AK7 - 1993</v>
      </c>
      <c r="B786" t="s">
        <v>36</v>
      </c>
      <c r="C786">
        <v>10</v>
      </c>
      <c r="D786">
        <v>7</v>
      </c>
      <c r="E786">
        <v>1993</v>
      </c>
      <c r="F786">
        <v>73.599999999999994</v>
      </c>
      <c r="G786">
        <v>18.600000000000001</v>
      </c>
      <c r="H786">
        <v>18.3</v>
      </c>
      <c r="I786">
        <v>0.3</v>
      </c>
      <c r="J786">
        <v>1</v>
      </c>
      <c r="K786">
        <v>75.099999999999994</v>
      </c>
      <c r="L786">
        <v>170.2</v>
      </c>
      <c r="M786">
        <v>360</v>
      </c>
      <c r="N786">
        <v>357</v>
      </c>
      <c r="O786">
        <v>525</v>
      </c>
      <c r="P786">
        <v>168</v>
      </c>
      <c r="Q786">
        <v>296</v>
      </c>
      <c r="R786">
        <v>525</v>
      </c>
      <c r="S786">
        <v>229</v>
      </c>
      <c r="T786">
        <v>240.3</v>
      </c>
      <c r="U786">
        <v>373</v>
      </c>
      <c r="V786">
        <v>372</v>
      </c>
      <c r="W786">
        <v>500</v>
      </c>
      <c r="X786">
        <v>2.79</v>
      </c>
    </row>
    <row r="787" spans="1:24" hidden="1" outlineLevel="2" x14ac:dyDescent="0.25">
      <c r="A787" t="str">
        <f t="shared" si="118"/>
        <v>AK7 - 1993</v>
      </c>
      <c r="B787" t="s">
        <v>36</v>
      </c>
      <c r="C787">
        <v>11</v>
      </c>
      <c r="D787">
        <v>7</v>
      </c>
      <c r="E787">
        <v>1993</v>
      </c>
      <c r="F787">
        <v>69.900000000000006</v>
      </c>
      <c r="G787">
        <v>5.7</v>
      </c>
      <c r="H787">
        <v>4.8</v>
      </c>
      <c r="I787">
        <v>0.9</v>
      </c>
      <c r="J787">
        <v>15</v>
      </c>
      <c r="K787">
        <v>24</v>
      </c>
      <c r="L787">
        <v>153.5</v>
      </c>
      <c r="M787">
        <v>412</v>
      </c>
      <c r="N787">
        <v>385</v>
      </c>
      <c r="O787">
        <v>555</v>
      </c>
      <c r="P787">
        <v>170</v>
      </c>
      <c r="Q787">
        <v>354</v>
      </c>
      <c r="R787">
        <v>583</v>
      </c>
      <c r="S787">
        <v>229</v>
      </c>
      <c r="T787">
        <v>137.69999999999999</v>
      </c>
      <c r="U787">
        <v>408</v>
      </c>
      <c r="V787">
        <v>408</v>
      </c>
      <c r="W787">
        <v>500</v>
      </c>
      <c r="X787">
        <v>2.79</v>
      </c>
    </row>
    <row r="788" spans="1:24" hidden="1" outlineLevel="2" x14ac:dyDescent="0.25">
      <c r="A788" t="str">
        <f t="shared" si="118"/>
        <v>AK7 - 1993</v>
      </c>
      <c r="B788" t="s">
        <v>36</v>
      </c>
      <c r="C788">
        <v>12</v>
      </c>
      <c r="D788">
        <v>8</v>
      </c>
      <c r="E788">
        <v>1993</v>
      </c>
      <c r="F788">
        <v>100.2</v>
      </c>
      <c r="G788">
        <v>7.2</v>
      </c>
      <c r="H788">
        <v>6.3</v>
      </c>
      <c r="I788">
        <v>0.9</v>
      </c>
      <c r="J788">
        <v>12</v>
      </c>
      <c r="K788">
        <v>43.7</v>
      </c>
      <c r="L788">
        <v>315.39999999999998</v>
      </c>
      <c r="M788">
        <v>417</v>
      </c>
      <c r="N788">
        <v>400</v>
      </c>
      <c r="O788">
        <v>541</v>
      </c>
      <c r="P788">
        <v>141</v>
      </c>
      <c r="Q788">
        <v>345</v>
      </c>
      <c r="R788">
        <v>568</v>
      </c>
      <c r="S788">
        <v>223</v>
      </c>
      <c r="T788">
        <v>144.9</v>
      </c>
      <c r="U788">
        <v>426</v>
      </c>
      <c r="V788">
        <v>418</v>
      </c>
      <c r="W788">
        <v>500</v>
      </c>
      <c r="X788">
        <v>2.79</v>
      </c>
    </row>
    <row r="789" spans="1:24" hidden="1" outlineLevel="2" x14ac:dyDescent="0.25">
      <c r="A789" t="str">
        <f t="shared" si="118"/>
        <v>AK7 - 1993</v>
      </c>
      <c r="B789" t="s">
        <v>36</v>
      </c>
      <c r="C789">
        <v>13</v>
      </c>
      <c r="D789">
        <v>8</v>
      </c>
      <c r="E789">
        <v>1993</v>
      </c>
      <c r="F789">
        <v>109.1</v>
      </c>
      <c r="G789">
        <v>8.1</v>
      </c>
      <c r="H789">
        <v>6.9</v>
      </c>
      <c r="I789">
        <v>1.2</v>
      </c>
      <c r="J789">
        <v>14</v>
      </c>
      <c r="K789">
        <v>53.5</v>
      </c>
      <c r="L789">
        <v>373.9</v>
      </c>
      <c r="M789">
        <v>410</v>
      </c>
      <c r="N789">
        <v>388</v>
      </c>
      <c r="O789">
        <v>538</v>
      </c>
      <c r="P789">
        <v>150</v>
      </c>
      <c r="Q789">
        <v>346</v>
      </c>
      <c r="R789">
        <v>573</v>
      </c>
      <c r="S789">
        <v>227</v>
      </c>
      <c r="T789">
        <v>226.2</v>
      </c>
      <c r="U789">
        <v>428</v>
      </c>
      <c r="V789">
        <v>431</v>
      </c>
      <c r="W789">
        <v>500</v>
      </c>
      <c r="X789">
        <v>2.79</v>
      </c>
    </row>
    <row r="790" spans="1:24" hidden="1" outlineLevel="2" x14ac:dyDescent="0.25">
      <c r="A790" t="str">
        <f t="shared" si="118"/>
        <v>AK7 - 1993</v>
      </c>
      <c r="B790" t="s">
        <v>36</v>
      </c>
      <c r="C790">
        <v>14</v>
      </c>
      <c r="D790">
        <v>8</v>
      </c>
      <c r="E790">
        <v>1993</v>
      </c>
      <c r="F790">
        <v>122.1</v>
      </c>
      <c r="G790">
        <v>7.2</v>
      </c>
      <c r="H790">
        <v>6.3</v>
      </c>
      <c r="I790">
        <v>0.9</v>
      </c>
      <c r="J790">
        <v>12</v>
      </c>
      <c r="K790">
        <v>53.6</v>
      </c>
      <c r="L790">
        <v>468.4</v>
      </c>
      <c r="M790">
        <v>366</v>
      </c>
      <c r="N790">
        <v>345</v>
      </c>
      <c r="O790">
        <v>516</v>
      </c>
      <c r="P790">
        <v>171</v>
      </c>
      <c r="Q790">
        <v>311</v>
      </c>
      <c r="R790">
        <v>525</v>
      </c>
      <c r="S790">
        <v>214</v>
      </c>
      <c r="T790">
        <v>193.2</v>
      </c>
      <c r="U790">
        <v>390</v>
      </c>
      <c r="V790">
        <v>377</v>
      </c>
      <c r="W790">
        <v>500</v>
      </c>
      <c r="X790">
        <v>2.79</v>
      </c>
    </row>
    <row r="791" spans="1:24" hidden="1" outlineLevel="2" x14ac:dyDescent="0.25">
      <c r="A791" t="str">
        <f t="shared" si="118"/>
        <v>AK7 - 1993</v>
      </c>
      <c r="B791" t="s">
        <v>36</v>
      </c>
      <c r="C791">
        <v>15</v>
      </c>
      <c r="D791">
        <v>8</v>
      </c>
      <c r="E791">
        <v>1993</v>
      </c>
      <c r="F791">
        <v>108.8</v>
      </c>
      <c r="G791">
        <v>8.4</v>
      </c>
      <c r="H791">
        <v>7.8</v>
      </c>
      <c r="I791">
        <v>0.6</v>
      </c>
      <c r="J791">
        <v>7</v>
      </c>
      <c r="K791">
        <v>55.2</v>
      </c>
      <c r="L791">
        <v>371.9</v>
      </c>
      <c r="M791">
        <v>362</v>
      </c>
      <c r="N791">
        <v>349</v>
      </c>
      <c r="O791">
        <v>527</v>
      </c>
      <c r="P791">
        <v>178</v>
      </c>
      <c r="Q791">
        <v>307</v>
      </c>
      <c r="R791">
        <v>540</v>
      </c>
      <c r="S791">
        <v>233</v>
      </c>
      <c r="T791">
        <v>172.5</v>
      </c>
      <c r="U791">
        <v>414</v>
      </c>
      <c r="V791">
        <v>397</v>
      </c>
      <c r="W791">
        <v>500</v>
      </c>
      <c r="X791">
        <v>2.79</v>
      </c>
    </row>
    <row r="792" spans="1:24" outlineLevel="1" collapsed="1" x14ac:dyDescent="0.25">
      <c r="A792" s="8" t="s">
        <v>96</v>
      </c>
      <c r="D792">
        <f t="shared" ref="D792:V792" si="119">SUBTOTAL(1,D778:D791)</f>
        <v>7.7857142857142856</v>
      </c>
      <c r="E792">
        <f t="shared" si="119"/>
        <v>1993</v>
      </c>
      <c r="F792">
        <f t="shared" si="119"/>
        <v>102.36428571428569</v>
      </c>
      <c r="G792">
        <f t="shared" si="119"/>
        <v>11.357142857142856</v>
      </c>
      <c r="H792">
        <f t="shared" si="119"/>
        <v>10.264285714285716</v>
      </c>
      <c r="I792">
        <f t="shared" si="119"/>
        <v>1.092857142857143</v>
      </c>
      <c r="J792">
        <f t="shared" si="119"/>
        <v>9.9285714285714288</v>
      </c>
      <c r="K792">
        <f t="shared" si="119"/>
        <v>67.864285714285728</v>
      </c>
      <c r="L792">
        <f t="shared" si="119"/>
        <v>341.65</v>
      </c>
      <c r="M792">
        <f t="shared" si="119"/>
        <v>390.85714285714283</v>
      </c>
      <c r="N792">
        <f t="shared" si="119"/>
        <v>374.85714285714283</v>
      </c>
      <c r="O792">
        <f t="shared" si="119"/>
        <v>532.07692307692309</v>
      </c>
      <c r="P792">
        <f t="shared" si="119"/>
        <v>157.30769230769232</v>
      </c>
      <c r="Q792">
        <f t="shared" si="119"/>
        <v>321.42857142857144</v>
      </c>
      <c r="R792">
        <f t="shared" si="119"/>
        <v>549.71428571428567</v>
      </c>
      <c r="S792">
        <f t="shared" si="119"/>
        <v>228.28571428571428</v>
      </c>
      <c r="T792">
        <f t="shared" si="119"/>
        <v>202.39285714285711</v>
      </c>
      <c r="U792">
        <f t="shared" si="119"/>
        <v>405.85714285714283</v>
      </c>
      <c r="V792">
        <f t="shared" si="119"/>
        <v>400.78571428571428</v>
      </c>
    </row>
    <row r="793" spans="1:24" hidden="1" outlineLevel="2" x14ac:dyDescent="0.25">
      <c r="A793" t="str">
        <f t="shared" ref="A793:A806" si="120">CONCATENATE(B793," - ",E793)</f>
        <v>AK7 - 1994</v>
      </c>
      <c r="B793" t="s">
        <v>36</v>
      </c>
      <c r="C793">
        <v>1</v>
      </c>
      <c r="D793">
        <v>9</v>
      </c>
      <c r="E793">
        <v>1994</v>
      </c>
      <c r="F793">
        <v>120.1</v>
      </c>
      <c r="G793">
        <v>8.6999999999999993</v>
      </c>
      <c r="H793">
        <v>7.2</v>
      </c>
      <c r="I793">
        <v>1.5</v>
      </c>
      <c r="J793">
        <v>17</v>
      </c>
      <c r="K793">
        <v>63.3</v>
      </c>
      <c r="L793">
        <v>453.1</v>
      </c>
      <c r="M793">
        <v>417</v>
      </c>
      <c r="N793">
        <v>394</v>
      </c>
      <c r="O793">
        <v>528</v>
      </c>
      <c r="P793">
        <v>134</v>
      </c>
      <c r="Q793">
        <v>326</v>
      </c>
      <c r="R793">
        <v>551</v>
      </c>
      <c r="S793">
        <v>225</v>
      </c>
      <c r="T793">
        <v>184.2</v>
      </c>
      <c r="U793">
        <v>438</v>
      </c>
      <c r="V793">
        <v>433</v>
      </c>
      <c r="W793">
        <v>500</v>
      </c>
      <c r="X793">
        <v>2.79</v>
      </c>
    </row>
    <row r="794" spans="1:24" hidden="1" outlineLevel="2" x14ac:dyDescent="0.25">
      <c r="A794" t="str">
        <f t="shared" si="120"/>
        <v>AK7 - 1994</v>
      </c>
      <c r="B794" t="s">
        <v>36</v>
      </c>
      <c r="C794">
        <v>2</v>
      </c>
      <c r="D794">
        <v>9</v>
      </c>
      <c r="E794">
        <v>1994</v>
      </c>
      <c r="F794">
        <v>92.8</v>
      </c>
      <c r="G794">
        <v>9</v>
      </c>
      <c r="H794">
        <v>8.4</v>
      </c>
      <c r="I794">
        <v>0.6</v>
      </c>
      <c r="J794">
        <v>6</v>
      </c>
      <c r="K794">
        <v>49.9</v>
      </c>
      <c r="L794">
        <v>270.5</v>
      </c>
      <c r="M794">
        <v>404</v>
      </c>
      <c r="N794">
        <v>396</v>
      </c>
      <c r="O794">
        <v>520</v>
      </c>
      <c r="P794">
        <v>124</v>
      </c>
      <c r="Q794">
        <v>302</v>
      </c>
      <c r="R794">
        <v>532</v>
      </c>
      <c r="S794">
        <v>230</v>
      </c>
      <c r="T794">
        <v>195.9</v>
      </c>
      <c r="U794">
        <v>414</v>
      </c>
      <c r="V794">
        <v>411</v>
      </c>
      <c r="W794">
        <v>500</v>
      </c>
      <c r="X794">
        <v>2.79</v>
      </c>
    </row>
    <row r="795" spans="1:24" hidden="1" outlineLevel="2" x14ac:dyDescent="0.25">
      <c r="A795" t="str">
        <f t="shared" si="120"/>
        <v>AK7 - 1994</v>
      </c>
      <c r="B795" t="s">
        <v>36</v>
      </c>
      <c r="C795">
        <v>3</v>
      </c>
      <c r="D795">
        <v>9</v>
      </c>
      <c r="E795">
        <v>1994</v>
      </c>
      <c r="F795">
        <v>157</v>
      </c>
      <c r="G795">
        <v>14.4</v>
      </c>
      <c r="H795">
        <v>13.5</v>
      </c>
      <c r="I795">
        <v>0.9</v>
      </c>
      <c r="J795">
        <v>6</v>
      </c>
      <c r="K795">
        <v>135.5</v>
      </c>
      <c r="L795">
        <v>774.4</v>
      </c>
      <c r="M795">
        <v>344</v>
      </c>
      <c r="N795">
        <v>332</v>
      </c>
      <c r="O795">
        <v>521</v>
      </c>
      <c r="P795">
        <v>189</v>
      </c>
      <c r="Q795">
        <v>278</v>
      </c>
      <c r="R795">
        <v>530</v>
      </c>
      <c r="S795">
        <v>252</v>
      </c>
      <c r="T795">
        <v>252.9</v>
      </c>
      <c r="U795">
        <v>370</v>
      </c>
      <c r="V795">
        <v>365</v>
      </c>
      <c r="W795">
        <v>500</v>
      </c>
      <c r="X795">
        <v>2.79</v>
      </c>
    </row>
    <row r="796" spans="1:24" hidden="1" outlineLevel="2" x14ac:dyDescent="0.25">
      <c r="A796" t="str">
        <f t="shared" si="120"/>
        <v>AK7 - 1994</v>
      </c>
      <c r="B796" t="s">
        <v>36</v>
      </c>
      <c r="C796">
        <v>5</v>
      </c>
      <c r="D796">
        <v>9</v>
      </c>
      <c r="E796">
        <v>1994</v>
      </c>
      <c r="F796">
        <v>119.1</v>
      </c>
      <c r="G796">
        <v>16.5</v>
      </c>
      <c r="H796">
        <v>15.3</v>
      </c>
      <c r="I796">
        <v>1.2</v>
      </c>
      <c r="J796">
        <v>7</v>
      </c>
      <c r="K796">
        <v>114.9</v>
      </c>
      <c r="L796">
        <v>445.6</v>
      </c>
      <c r="M796">
        <v>411</v>
      </c>
      <c r="N796">
        <v>403</v>
      </c>
      <c r="O796">
        <v>515</v>
      </c>
      <c r="P796">
        <v>112</v>
      </c>
      <c r="Q796">
        <v>354</v>
      </c>
      <c r="R796">
        <v>537</v>
      </c>
      <c r="S796">
        <v>183</v>
      </c>
      <c r="T796">
        <v>221.1</v>
      </c>
      <c r="U796">
        <v>426</v>
      </c>
      <c r="V796">
        <v>420</v>
      </c>
      <c r="W796">
        <v>500</v>
      </c>
      <c r="X796">
        <v>2.79</v>
      </c>
    </row>
    <row r="797" spans="1:24" hidden="1" outlineLevel="2" x14ac:dyDescent="0.25">
      <c r="A797" t="str">
        <f t="shared" si="120"/>
        <v>AK7 - 1994</v>
      </c>
      <c r="B797" t="s">
        <v>36</v>
      </c>
      <c r="C797">
        <v>6</v>
      </c>
      <c r="D797">
        <v>9</v>
      </c>
      <c r="E797">
        <v>1994</v>
      </c>
      <c r="F797">
        <v>125.4</v>
      </c>
      <c r="G797">
        <v>11.4</v>
      </c>
      <c r="H797">
        <v>11.4</v>
      </c>
      <c r="I797">
        <v>0</v>
      </c>
      <c r="J797">
        <v>0</v>
      </c>
      <c r="K797">
        <v>85.7</v>
      </c>
      <c r="L797">
        <v>494</v>
      </c>
      <c r="M797">
        <v>367</v>
      </c>
      <c r="N797">
        <v>367</v>
      </c>
      <c r="Q797">
        <v>244</v>
      </c>
      <c r="R797">
        <v>483</v>
      </c>
      <c r="S797">
        <v>239</v>
      </c>
      <c r="T797">
        <v>181.2</v>
      </c>
      <c r="U797">
        <v>379</v>
      </c>
      <c r="V797">
        <v>374</v>
      </c>
      <c r="W797">
        <v>500</v>
      </c>
      <c r="X797">
        <v>2.79</v>
      </c>
    </row>
    <row r="798" spans="1:24" hidden="1" outlineLevel="2" x14ac:dyDescent="0.25">
      <c r="A798" t="str">
        <f t="shared" si="120"/>
        <v>AK7 - 1994</v>
      </c>
      <c r="B798" t="s">
        <v>36</v>
      </c>
      <c r="C798">
        <v>7</v>
      </c>
      <c r="D798">
        <v>9</v>
      </c>
      <c r="E798">
        <v>1994</v>
      </c>
      <c r="F798">
        <v>94.4</v>
      </c>
      <c r="G798">
        <v>18.899999999999999</v>
      </c>
      <c r="H798">
        <v>18</v>
      </c>
      <c r="I798">
        <v>0.9</v>
      </c>
      <c r="J798">
        <v>4</v>
      </c>
      <c r="K798">
        <v>100.9</v>
      </c>
      <c r="L798">
        <v>280</v>
      </c>
      <c r="M798">
        <v>360</v>
      </c>
      <c r="N798">
        <v>352</v>
      </c>
      <c r="O798">
        <v>521</v>
      </c>
      <c r="P798">
        <v>169</v>
      </c>
      <c r="Q798">
        <v>247</v>
      </c>
      <c r="R798">
        <v>535</v>
      </c>
      <c r="S798">
        <v>288</v>
      </c>
      <c r="T798">
        <v>278.39999999999998</v>
      </c>
      <c r="U798">
        <v>367</v>
      </c>
      <c r="V798">
        <v>372</v>
      </c>
      <c r="W798">
        <v>500</v>
      </c>
      <c r="X798">
        <v>2.79</v>
      </c>
    </row>
    <row r="799" spans="1:24" hidden="1" outlineLevel="2" x14ac:dyDescent="0.25">
      <c r="A799" t="str">
        <f t="shared" si="120"/>
        <v>AK7 - 1994</v>
      </c>
      <c r="B799" t="s">
        <v>36</v>
      </c>
      <c r="C799">
        <v>8</v>
      </c>
      <c r="D799">
        <v>9</v>
      </c>
      <c r="E799">
        <v>1994</v>
      </c>
      <c r="F799">
        <v>125.8</v>
      </c>
      <c r="G799">
        <v>6.6</v>
      </c>
      <c r="H799">
        <v>6.3</v>
      </c>
      <c r="I799">
        <v>0.3</v>
      </c>
      <c r="J799">
        <v>4</v>
      </c>
      <c r="K799">
        <v>50.8</v>
      </c>
      <c r="L799">
        <v>497.2</v>
      </c>
      <c r="M799">
        <v>348</v>
      </c>
      <c r="N799">
        <v>341</v>
      </c>
      <c r="O799">
        <v>512</v>
      </c>
      <c r="P799">
        <v>171</v>
      </c>
      <c r="Q799">
        <v>269</v>
      </c>
      <c r="R799">
        <v>512</v>
      </c>
      <c r="S799">
        <v>243</v>
      </c>
      <c r="T799">
        <v>177.9</v>
      </c>
      <c r="U799">
        <v>438</v>
      </c>
      <c r="V799">
        <v>415</v>
      </c>
      <c r="W799">
        <v>500</v>
      </c>
      <c r="X799">
        <v>2.79</v>
      </c>
    </row>
    <row r="800" spans="1:24" hidden="1" outlineLevel="2" x14ac:dyDescent="0.25">
      <c r="A800" t="str">
        <f t="shared" si="120"/>
        <v>AK7 - 1994</v>
      </c>
      <c r="B800" t="s">
        <v>36</v>
      </c>
      <c r="C800">
        <v>9</v>
      </c>
      <c r="D800">
        <v>8</v>
      </c>
      <c r="E800">
        <v>1994</v>
      </c>
      <c r="F800">
        <v>108.4</v>
      </c>
      <c r="G800">
        <v>8.1</v>
      </c>
      <c r="H800">
        <v>7.5</v>
      </c>
      <c r="I800">
        <v>0.6</v>
      </c>
      <c r="J800">
        <v>7</v>
      </c>
      <c r="K800">
        <v>53.1</v>
      </c>
      <c r="L800">
        <v>369.2</v>
      </c>
      <c r="M800">
        <v>373</v>
      </c>
      <c r="N800">
        <v>360</v>
      </c>
      <c r="O800">
        <v>537</v>
      </c>
      <c r="P800">
        <v>177</v>
      </c>
      <c r="Q800">
        <v>273</v>
      </c>
      <c r="R800">
        <v>545</v>
      </c>
      <c r="S800">
        <v>272</v>
      </c>
      <c r="T800">
        <v>227.1</v>
      </c>
      <c r="U800">
        <v>411</v>
      </c>
      <c r="V800">
        <v>418</v>
      </c>
      <c r="W800">
        <v>500</v>
      </c>
      <c r="X800">
        <v>2.79</v>
      </c>
    </row>
    <row r="801" spans="1:24" hidden="1" outlineLevel="2" x14ac:dyDescent="0.25">
      <c r="A801" t="str">
        <f t="shared" si="120"/>
        <v>AK7 - 1994</v>
      </c>
      <c r="B801" t="s">
        <v>36</v>
      </c>
      <c r="C801">
        <v>10</v>
      </c>
      <c r="D801">
        <v>8</v>
      </c>
      <c r="E801">
        <v>1994</v>
      </c>
      <c r="F801">
        <v>92.5</v>
      </c>
      <c r="G801">
        <v>18.899999999999999</v>
      </c>
      <c r="H801">
        <v>16.5</v>
      </c>
      <c r="I801">
        <v>2.4</v>
      </c>
      <c r="J801">
        <v>12</v>
      </c>
      <c r="K801">
        <v>98.6</v>
      </c>
      <c r="L801">
        <v>268.8</v>
      </c>
      <c r="M801">
        <v>384</v>
      </c>
      <c r="N801">
        <v>365</v>
      </c>
      <c r="O801">
        <v>519</v>
      </c>
      <c r="P801">
        <v>154</v>
      </c>
      <c r="Q801">
        <v>256</v>
      </c>
      <c r="R801">
        <v>549</v>
      </c>
      <c r="S801">
        <v>293</v>
      </c>
      <c r="T801">
        <v>240.3</v>
      </c>
      <c r="U801">
        <v>373</v>
      </c>
      <c r="V801">
        <v>372</v>
      </c>
      <c r="W801">
        <v>500</v>
      </c>
      <c r="X801">
        <v>2.79</v>
      </c>
    </row>
    <row r="802" spans="1:24" hidden="1" outlineLevel="2" x14ac:dyDescent="0.25">
      <c r="A802" t="str">
        <f t="shared" si="120"/>
        <v>AK7 - 1994</v>
      </c>
      <c r="B802" t="s">
        <v>36</v>
      </c>
      <c r="C802">
        <v>11</v>
      </c>
      <c r="D802">
        <v>8</v>
      </c>
      <c r="E802">
        <v>1994</v>
      </c>
      <c r="F802">
        <v>75.3</v>
      </c>
      <c r="G802">
        <v>5.4</v>
      </c>
      <c r="H802">
        <v>5.0999999999999996</v>
      </c>
      <c r="I802">
        <v>0.3</v>
      </c>
      <c r="J802">
        <v>5</v>
      </c>
      <c r="K802">
        <v>24.6</v>
      </c>
      <c r="L802">
        <v>178.1</v>
      </c>
      <c r="M802">
        <v>427</v>
      </c>
      <c r="N802">
        <v>421</v>
      </c>
      <c r="O802">
        <v>537</v>
      </c>
      <c r="P802">
        <v>116</v>
      </c>
      <c r="Q802">
        <v>338</v>
      </c>
      <c r="R802">
        <v>537</v>
      </c>
      <c r="S802">
        <v>199</v>
      </c>
      <c r="T802">
        <v>137.69999999999999</v>
      </c>
      <c r="U802">
        <v>408</v>
      </c>
      <c r="V802">
        <v>408</v>
      </c>
      <c r="W802">
        <v>500</v>
      </c>
      <c r="X802">
        <v>2.79</v>
      </c>
    </row>
    <row r="803" spans="1:24" hidden="1" outlineLevel="2" x14ac:dyDescent="0.25">
      <c r="A803" t="str">
        <f t="shared" si="120"/>
        <v>AK7 - 1994</v>
      </c>
      <c r="B803" t="s">
        <v>36</v>
      </c>
      <c r="C803">
        <v>12</v>
      </c>
      <c r="D803">
        <v>9</v>
      </c>
      <c r="E803">
        <v>1994</v>
      </c>
      <c r="F803">
        <v>108.6</v>
      </c>
      <c r="G803">
        <v>8.4</v>
      </c>
      <c r="H803">
        <v>8.4</v>
      </c>
      <c r="I803">
        <v>0</v>
      </c>
      <c r="J803">
        <v>0</v>
      </c>
      <c r="K803">
        <v>55.1</v>
      </c>
      <c r="L803">
        <v>370.5</v>
      </c>
      <c r="M803">
        <v>392</v>
      </c>
      <c r="N803">
        <v>392</v>
      </c>
      <c r="Q803">
        <v>300</v>
      </c>
      <c r="R803">
        <v>496</v>
      </c>
      <c r="S803">
        <v>196</v>
      </c>
      <c r="T803">
        <v>144.9</v>
      </c>
      <c r="U803">
        <v>426</v>
      </c>
      <c r="V803">
        <v>418</v>
      </c>
      <c r="W803">
        <v>500</v>
      </c>
      <c r="X803">
        <v>2.79</v>
      </c>
    </row>
    <row r="804" spans="1:24" hidden="1" outlineLevel="2" x14ac:dyDescent="0.25">
      <c r="A804" t="str">
        <f t="shared" si="120"/>
        <v>AK7 - 1994</v>
      </c>
      <c r="B804" t="s">
        <v>36</v>
      </c>
      <c r="C804">
        <v>13</v>
      </c>
      <c r="D804">
        <v>9</v>
      </c>
      <c r="E804">
        <v>1994</v>
      </c>
      <c r="F804">
        <v>114.8</v>
      </c>
      <c r="G804">
        <v>5.7</v>
      </c>
      <c r="H804">
        <v>4.2</v>
      </c>
      <c r="I804">
        <v>1.5</v>
      </c>
      <c r="J804">
        <v>26</v>
      </c>
      <c r="K804">
        <v>40.1</v>
      </c>
      <c r="L804">
        <v>414</v>
      </c>
      <c r="M804">
        <v>434</v>
      </c>
      <c r="N804">
        <v>394</v>
      </c>
      <c r="O804">
        <v>547</v>
      </c>
      <c r="P804">
        <v>153</v>
      </c>
      <c r="Q804">
        <v>332</v>
      </c>
      <c r="R804">
        <v>572</v>
      </c>
      <c r="S804">
        <v>240</v>
      </c>
      <c r="T804">
        <v>226.2</v>
      </c>
      <c r="U804">
        <v>428</v>
      </c>
      <c r="V804">
        <v>431</v>
      </c>
      <c r="W804">
        <v>500</v>
      </c>
      <c r="X804">
        <v>2.79</v>
      </c>
    </row>
    <row r="805" spans="1:24" hidden="1" outlineLevel="2" x14ac:dyDescent="0.25">
      <c r="A805" t="str">
        <f t="shared" si="120"/>
        <v>AK7 - 1994</v>
      </c>
      <c r="B805" t="s">
        <v>36</v>
      </c>
      <c r="C805">
        <v>14</v>
      </c>
      <c r="D805">
        <v>9</v>
      </c>
      <c r="E805">
        <v>1994</v>
      </c>
      <c r="F805">
        <v>129.30000000000001</v>
      </c>
      <c r="G805">
        <v>7.2</v>
      </c>
      <c r="H805">
        <v>6.3</v>
      </c>
      <c r="I805">
        <v>0.9</v>
      </c>
      <c r="J805">
        <v>12</v>
      </c>
      <c r="K805">
        <v>56.9</v>
      </c>
      <c r="L805">
        <v>525.20000000000005</v>
      </c>
      <c r="M805">
        <v>374</v>
      </c>
      <c r="N805">
        <v>350</v>
      </c>
      <c r="O805">
        <v>542</v>
      </c>
      <c r="P805">
        <v>192</v>
      </c>
      <c r="Q805">
        <v>284</v>
      </c>
      <c r="R805">
        <v>572</v>
      </c>
      <c r="S805">
        <v>288</v>
      </c>
      <c r="T805">
        <v>193.2</v>
      </c>
      <c r="U805">
        <v>390</v>
      </c>
      <c r="V805">
        <v>377</v>
      </c>
      <c r="W805">
        <v>500</v>
      </c>
      <c r="X805">
        <v>2.79</v>
      </c>
    </row>
    <row r="806" spans="1:24" hidden="1" outlineLevel="2" x14ac:dyDescent="0.25">
      <c r="A806" t="str">
        <f t="shared" si="120"/>
        <v>AK7 - 1994</v>
      </c>
      <c r="B806" t="s">
        <v>36</v>
      </c>
      <c r="C806">
        <v>15</v>
      </c>
      <c r="D806">
        <v>9</v>
      </c>
      <c r="E806">
        <v>1994</v>
      </c>
      <c r="F806">
        <v>114.8</v>
      </c>
      <c r="G806">
        <v>6</v>
      </c>
      <c r="H806">
        <v>5.7</v>
      </c>
      <c r="I806">
        <v>0.3</v>
      </c>
      <c r="J806">
        <v>5</v>
      </c>
      <c r="K806">
        <v>42.1</v>
      </c>
      <c r="L806">
        <v>414</v>
      </c>
      <c r="M806">
        <v>378</v>
      </c>
      <c r="N806">
        <v>371</v>
      </c>
      <c r="O806">
        <v>507</v>
      </c>
      <c r="P806">
        <v>136</v>
      </c>
      <c r="Q806">
        <v>269</v>
      </c>
      <c r="R806">
        <v>507</v>
      </c>
      <c r="S806">
        <v>238</v>
      </c>
      <c r="T806">
        <v>172.5</v>
      </c>
      <c r="U806">
        <v>414</v>
      </c>
      <c r="V806">
        <v>397</v>
      </c>
      <c r="W806">
        <v>500</v>
      </c>
      <c r="X806">
        <v>2.79</v>
      </c>
    </row>
    <row r="807" spans="1:24" outlineLevel="1" collapsed="1" x14ac:dyDescent="0.25">
      <c r="A807" s="8" t="s">
        <v>97</v>
      </c>
      <c r="D807">
        <f t="shared" ref="D807:V807" si="121">SUBTOTAL(1,D793:D806)</f>
        <v>8.7857142857142865</v>
      </c>
      <c r="E807">
        <f t="shared" si="121"/>
        <v>1994</v>
      </c>
      <c r="F807">
        <f t="shared" si="121"/>
        <v>112.73571428571427</v>
      </c>
      <c r="G807">
        <f t="shared" si="121"/>
        <v>10.37142857142857</v>
      </c>
      <c r="H807">
        <f t="shared" si="121"/>
        <v>9.5571428571428587</v>
      </c>
      <c r="I807">
        <f t="shared" si="121"/>
        <v>0.81428571428571439</v>
      </c>
      <c r="J807">
        <f t="shared" si="121"/>
        <v>7.9285714285714288</v>
      </c>
      <c r="K807">
        <f t="shared" si="121"/>
        <v>69.392857142857153</v>
      </c>
      <c r="L807">
        <f t="shared" si="121"/>
        <v>411.04285714285709</v>
      </c>
      <c r="M807">
        <f t="shared" si="121"/>
        <v>386.64285714285717</v>
      </c>
      <c r="N807">
        <f t="shared" si="121"/>
        <v>374.14285714285717</v>
      </c>
      <c r="O807">
        <f t="shared" si="121"/>
        <v>525.5</v>
      </c>
      <c r="P807">
        <f t="shared" si="121"/>
        <v>152.25</v>
      </c>
      <c r="Q807">
        <f t="shared" si="121"/>
        <v>290.85714285714283</v>
      </c>
      <c r="R807">
        <f t="shared" si="121"/>
        <v>532.71428571428567</v>
      </c>
      <c r="S807">
        <f t="shared" si="121"/>
        <v>241.85714285714286</v>
      </c>
      <c r="T807">
        <f t="shared" si="121"/>
        <v>202.39285714285711</v>
      </c>
      <c r="U807">
        <f t="shared" si="121"/>
        <v>405.85714285714283</v>
      </c>
      <c r="V807">
        <f t="shared" si="121"/>
        <v>400.78571428571428</v>
      </c>
    </row>
    <row r="808" spans="1:24" hidden="1" outlineLevel="2" x14ac:dyDescent="0.25">
      <c r="A808" t="str">
        <f t="shared" ref="A808:A821" si="122">CONCATENATE(B808," - ",E808)</f>
        <v>AK7 - 1995</v>
      </c>
      <c r="B808" t="s">
        <v>36</v>
      </c>
      <c r="C808">
        <v>1</v>
      </c>
      <c r="D808">
        <v>10</v>
      </c>
      <c r="E808">
        <v>1995</v>
      </c>
      <c r="F808">
        <v>126.7</v>
      </c>
      <c r="G808">
        <v>6.6</v>
      </c>
      <c r="H808">
        <v>6</v>
      </c>
      <c r="I808">
        <v>0.6</v>
      </c>
      <c r="J808">
        <v>9</v>
      </c>
      <c r="K808">
        <v>51.2</v>
      </c>
      <c r="L808">
        <v>504.3</v>
      </c>
      <c r="M808">
        <v>419</v>
      </c>
      <c r="N808">
        <v>407</v>
      </c>
      <c r="O808">
        <v>546</v>
      </c>
      <c r="P808">
        <v>139</v>
      </c>
      <c r="Q808">
        <v>318</v>
      </c>
      <c r="R808">
        <v>566</v>
      </c>
      <c r="S808">
        <v>248</v>
      </c>
      <c r="T808">
        <v>184.2</v>
      </c>
      <c r="U808">
        <v>438</v>
      </c>
      <c r="V808">
        <v>433</v>
      </c>
      <c r="W808">
        <v>500</v>
      </c>
      <c r="X808">
        <v>2.79</v>
      </c>
    </row>
    <row r="809" spans="1:24" hidden="1" outlineLevel="2" x14ac:dyDescent="0.25">
      <c r="A809" t="str">
        <f t="shared" si="122"/>
        <v>AK7 - 1995</v>
      </c>
      <c r="B809" t="s">
        <v>36</v>
      </c>
      <c r="C809">
        <v>2</v>
      </c>
      <c r="D809">
        <v>10</v>
      </c>
      <c r="E809">
        <v>1995</v>
      </c>
      <c r="F809">
        <v>101.2</v>
      </c>
      <c r="G809">
        <v>8.4</v>
      </c>
      <c r="H809">
        <v>7.2</v>
      </c>
      <c r="I809">
        <v>1.2</v>
      </c>
      <c r="J809">
        <v>14</v>
      </c>
      <c r="K809">
        <v>51.2</v>
      </c>
      <c r="L809">
        <v>321.7</v>
      </c>
      <c r="M809">
        <v>396</v>
      </c>
      <c r="N809">
        <v>375</v>
      </c>
      <c r="O809">
        <v>525</v>
      </c>
      <c r="P809">
        <v>150</v>
      </c>
      <c r="Q809">
        <v>328</v>
      </c>
      <c r="R809">
        <v>547</v>
      </c>
      <c r="S809">
        <v>219</v>
      </c>
      <c r="T809">
        <v>195.9</v>
      </c>
      <c r="U809">
        <v>414</v>
      </c>
      <c r="V809">
        <v>411</v>
      </c>
      <c r="W809">
        <v>500</v>
      </c>
      <c r="X809">
        <v>2.79</v>
      </c>
    </row>
    <row r="810" spans="1:24" hidden="1" outlineLevel="2" x14ac:dyDescent="0.25">
      <c r="A810" t="str">
        <f t="shared" si="122"/>
        <v>AK7 - 1995</v>
      </c>
      <c r="B810" t="s">
        <v>36</v>
      </c>
      <c r="C810">
        <v>3</v>
      </c>
      <c r="D810">
        <v>10</v>
      </c>
      <c r="E810">
        <v>1995</v>
      </c>
      <c r="F810">
        <v>167.2</v>
      </c>
      <c r="G810">
        <v>10.199999999999999</v>
      </c>
      <c r="H810">
        <v>10.199999999999999</v>
      </c>
      <c r="I810">
        <v>0</v>
      </c>
      <c r="J810">
        <v>0</v>
      </c>
      <c r="K810">
        <v>103.9</v>
      </c>
      <c r="L810">
        <v>878.3</v>
      </c>
      <c r="M810">
        <v>345</v>
      </c>
      <c r="N810">
        <v>345</v>
      </c>
      <c r="Q810">
        <v>292</v>
      </c>
      <c r="R810">
        <v>467</v>
      </c>
      <c r="S810">
        <v>175</v>
      </c>
      <c r="T810">
        <v>252.9</v>
      </c>
      <c r="U810">
        <v>370</v>
      </c>
      <c r="V810">
        <v>365</v>
      </c>
      <c r="W810">
        <v>500</v>
      </c>
      <c r="X810">
        <v>2.79</v>
      </c>
    </row>
    <row r="811" spans="1:24" hidden="1" outlineLevel="2" x14ac:dyDescent="0.25">
      <c r="A811" t="str">
        <f t="shared" si="122"/>
        <v>AK7 - 1995</v>
      </c>
      <c r="B811" t="s">
        <v>36</v>
      </c>
      <c r="C811">
        <v>5</v>
      </c>
      <c r="D811">
        <v>10</v>
      </c>
      <c r="E811">
        <v>1995</v>
      </c>
      <c r="F811">
        <v>130.5</v>
      </c>
      <c r="G811">
        <v>11.4</v>
      </c>
      <c r="H811">
        <v>10.5</v>
      </c>
      <c r="I811">
        <v>0.9</v>
      </c>
      <c r="J811">
        <v>7</v>
      </c>
      <c r="K811">
        <v>89.4</v>
      </c>
      <c r="L811">
        <v>535</v>
      </c>
      <c r="M811">
        <v>422</v>
      </c>
      <c r="N811">
        <v>414</v>
      </c>
      <c r="O811">
        <v>521</v>
      </c>
      <c r="P811">
        <v>107</v>
      </c>
      <c r="Q811">
        <v>355</v>
      </c>
      <c r="R811">
        <v>540</v>
      </c>
      <c r="S811">
        <v>185</v>
      </c>
      <c r="T811">
        <v>221.1</v>
      </c>
      <c r="U811">
        <v>426</v>
      </c>
      <c r="V811">
        <v>420</v>
      </c>
      <c r="W811">
        <v>500</v>
      </c>
      <c r="X811">
        <v>2.79</v>
      </c>
    </row>
    <row r="812" spans="1:24" hidden="1" outlineLevel="2" x14ac:dyDescent="0.25">
      <c r="A812" t="str">
        <f t="shared" si="122"/>
        <v>AK7 - 1995</v>
      </c>
      <c r="B812" t="s">
        <v>36</v>
      </c>
      <c r="C812">
        <v>6</v>
      </c>
      <c r="D812">
        <v>10</v>
      </c>
      <c r="E812">
        <v>1995</v>
      </c>
      <c r="F812">
        <v>130.5</v>
      </c>
      <c r="G812">
        <v>5.0999999999999996</v>
      </c>
      <c r="H812">
        <v>5.0999999999999996</v>
      </c>
      <c r="I812">
        <v>0</v>
      </c>
      <c r="J812">
        <v>0</v>
      </c>
      <c r="K812">
        <v>41</v>
      </c>
      <c r="L812">
        <v>535</v>
      </c>
      <c r="M812">
        <v>349</v>
      </c>
      <c r="N812">
        <v>349</v>
      </c>
      <c r="Q812">
        <v>275</v>
      </c>
      <c r="R812">
        <v>495</v>
      </c>
      <c r="S812">
        <v>220</v>
      </c>
      <c r="T812">
        <v>181.2</v>
      </c>
      <c r="U812">
        <v>379</v>
      </c>
      <c r="V812">
        <v>374</v>
      </c>
      <c r="W812">
        <v>500</v>
      </c>
      <c r="X812">
        <v>2.79</v>
      </c>
    </row>
    <row r="813" spans="1:24" hidden="1" outlineLevel="2" x14ac:dyDescent="0.25">
      <c r="A813" t="str">
        <f t="shared" si="122"/>
        <v>AK7 - 1995</v>
      </c>
      <c r="B813" t="s">
        <v>36</v>
      </c>
      <c r="C813">
        <v>7</v>
      </c>
      <c r="D813">
        <v>10</v>
      </c>
      <c r="E813">
        <v>1995</v>
      </c>
      <c r="F813">
        <v>110.9</v>
      </c>
      <c r="G813">
        <v>16.5</v>
      </c>
      <c r="H813">
        <v>15.9</v>
      </c>
      <c r="I813">
        <v>0.6</v>
      </c>
      <c r="J813">
        <v>3</v>
      </c>
      <c r="K813">
        <v>106.4</v>
      </c>
      <c r="L813">
        <v>386.4</v>
      </c>
      <c r="M813">
        <v>364</v>
      </c>
      <c r="N813">
        <v>358</v>
      </c>
      <c r="O813">
        <v>528</v>
      </c>
      <c r="P813">
        <v>170</v>
      </c>
      <c r="Q813">
        <v>281</v>
      </c>
      <c r="R813">
        <v>538</v>
      </c>
      <c r="S813">
        <v>257</v>
      </c>
      <c r="T813">
        <v>278.39999999999998</v>
      </c>
      <c r="U813">
        <v>367</v>
      </c>
      <c r="V813">
        <v>372</v>
      </c>
      <c r="W813">
        <v>500</v>
      </c>
      <c r="X813">
        <v>2.79</v>
      </c>
    </row>
    <row r="814" spans="1:24" hidden="1" outlineLevel="2" x14ac:dyDescent="0.25">
      <c r="A814" t="str">
        <f t="shared" si="122"/>
        <v>AK7 - 1995</v>
      </c>
      <c r="B814" t="s">
        <v>36</v>
      </c>
      <c r="C814">
        <v>8</v>
      </c>
      <c r="D814">
        <v>10</v>
      </c>
      <c r="E814">
        <v>1995</v>
      </c>
      <c r="F814">
        <v>132.69999999999999</v>
      </c>
      <c r="G814">
        <v>6.9</v>
      </c>
      <c r="H814">
        <v>6.3</v>
      </c>
      <c r="I814">
        <v>0.6</v>
      </c>
      <c r="J814">
        <v>8</v>
      </c>
      <c r="K814">
        <v>56</v>
      </c>
      <c r="L814">
        <v>553.20000000000005</v>
      </c>
      <c r="M814">
        <v>397</v>
      </c>
      <c r="N814">
        <v>385</v>
      </c>
      <c r="O814">
        <v>516</v>
      </c>
      <c r="P814">
        <v>131</v>
      </c>
      <c r="Q814">
        <v>324</v>
      </c>
      <c r="R814">
        <v>517</v>
      </c>
      <c r="S814">
        <v>193</v>
      </c>
      <c r="T814">
        <v>177.9</v>
      </c>
      <c r="U814">
        <v>438</v>
      </c>
      <c r="V814">
        <v>415</v>
      </c>
      <c r="W814">
        <v>500</v>
      </c>
      <c r="X814">
        <v>2.79</v>
      </c>
    </row>
    <row r="815" spans="1:24" hidden="1" outlineLevel="2" x14ac:dyDescent="0.25">
      <c r="A815" t="str">
        <f t="shared" si="122"/>
        <v>AK7 - 1995</v>
      </c>
      <c r="B815" t="s">
        <v>36</v>
      </c>
      <c r="C815">
        <v>9</v>
      </c>
      <c r="D815">
        <v>9</v>
      </c>
      <c r="E815">
        <v>1995</v>
      </c>
      <c r="F815">
        <v>116.2</v>
      </c>
      <c r="G815">
        <v>7.8</v>
      </c>
      <c r="H815">
        <v>7.5</v>
      </c>
      <c r="I815">
        <v>0.3</v>
      </c>
      <c r="J815">
        <v>3</v>
      </c>
      <c r="K815">
        <v>55</v>
      </c>
      <c r="L815">
        <v>424.2</v>
      </c>
      <c r="M815">
        <v>400</v>
      </c>
      <c r="N815">
        <v>395</v>
      </c>
      <c r="O815">
        <v>525</v>
      </c>
      <c r="P815">
        <v>130</v>
      </c>
      <c r="Q815">
        <v>296</v>
      </c>
      <c r="R815">
        <v>525</v>
      </c>
      <c r="S815">
        <v>229</v>
      </c>
      <c r="T815">
        <v>227.1</v>
      </c>
      <c r="U815">
        <v>411</v>
      </c>
      <c r="V815">
        <v>418</v>
      </c>
      <c r="W815">
        <v>500</v>
      </c>
      <c r="X815">
        <v>2.79</v>
      </c>
    </row>
    <row r="816" spans="1:24" hidden="1" outlineLevel="2" x14ac:dyDescent="0.25">
      <c r="A816" t="str">
        <f t="shared" si="122"/>
        <v>AK7 - 1995</v>
      </c>
      <c r="B816" t="s">
        <v>36</v>
      </c>
      <c r="C816">
        <v>10</v>
      </c>
      <c r="D816">
        <v>9</v>
      </c>
      <c r="E816">
        <v>1995</v>
      </c>
      <c r="F816">
        <v>106.3</v>
      </c>
      <c r="G816">
        <v>13.8</v>
      </c>
      <c r="H816">
        <v>13.5</v>
      </c>
      <c r="I816">
        <v>0.3</v>
      </c>
      <c r="J816">
        <v>2</v>
      </c>
      <c r="K816">
        <v>86.2</v>
      </c>
      <c r="L816">
        <v>355</v>
      </c>
      <c r="M816">
        <v>368</v>
      </c>
      <c r="N816">
        <v>365</v>
      </c>
      <c r="O816">
        <v>523</v>
      </c>
      <c r="P816">
        <v>158</v>
      </c>
      <c r="Q816">
        <v>294</v>
      </c>
      <c r="R816">
        <v>523</v>
      </c>
      <c r="S816">
        <v>229</v>
      </c>
      <c r="T816">
        <v>240.3</v>
      </c>
      <c r="U816">
        <v>373</v>
      </c>
      <c r="V816">
        <v>372</v>
      </c>
      <c r="W816">
        <v>500</v>
      </c>
      <c r="X816">
        <v>2.79</v>
      </c>
    </row>
    <row r="817" spans="1:24" hidden="1" outlineLevel="2" x14ac:dyDescent="0.25">
      <c r="A817" t="str">
        <f t="shared" si="122"/>
        <v>AK7 - 1995</v>
      </c>
      <c r="B817" t="s">
        <v>36</v>
      </c>
      <c r="C817">
        <v>11</v>
      </c>
      <c r="D817">
        <v>9</v>
      </c>
      <c r="E817">
        <v>1995</v>
      </c>
      <c r="F817">
        <v>82.8</v>
      </c>
      <c r="G817">
        <v>7.5</v>
      </c>
      <c r="H817">
        <v>7.2</v>
      </c>
      <c r="I817">
        <v>0.3</v>
      </c>
      <c r="J817">
        <v>4</v>
      </c>
      <c r="K817">
        <v>37.299999999999997</v>
      </c>
      <c r="L817">
        <v>215.4</v>
      </c>
      <c r="M817">
        <v>409</v>
      </c>
      <c r="N817">
        <v>403</v>
      </c>
      <c r="O817">
        <v>549</v>
      </c>
      <c r="P817">
        <v>146</v>
      </c>
      <c r="Q817">
        <v>350</v>
      </c>
      <c r="R817">
        <v>549</v>
      </c>
      <c r="S817">
        <v>199</v>
      </c>
      <c r="T817">
        <v>137.69999999999999</v>
      </c>
      <c r="U817">
        <v>408</v>
      </c>
      <c r="V817">
        <v>408</v>
      </c>
      <c r="W817">
        <v>500</v>
      </c>
      <c r="X817">
        <v>2.79</v>
      </c>
    </row>
    <row r="818" spans="1:24" hidden="1" outlineLevel="2" x14ac:dyDescent="0.25">
      <c r="A818" t="str">
        <f t="shared" si="122"/>
        <v>AK7 - 1995</v>
      </c>
      <c r="B818" t="s">
        <v>36</v>
      </c>
      <c r="C818">
        <v>12</v>
      </c>
      <c r="D818">
        <v>10</v>
      </c>
      <c r="E818">
        <v>1995</v>
      </c>
      <c r="F818">
        <v>114</v>
      </c>
      <c r="G818">
        <v>5.4</v>
      </c>
      <c r="H818">
        <v>4.8</v>
      </c>
      <c r="I818">
        <v>0.6</v>
      </c>
      <c r="J818">
        <v>11</v>
      </c>
      <c r="K818">
        <v>37.799999999999997</v>
      </c>
      <c r="L818">
        <v>408.3</v>
      </c>
      <c r="M818">
        <v>418</v>
      </c>
      <c r="N818">
        <v>402</v>
      </c>
      <c r="O818">
        <v>544</v>
      </c>
      <c r="P818">
        <v>142</v>
      </c>
      <c r="Q818">
        <v>312</v>
      </c>
      <c r="R818">
        <v>560</v>
      </c>
      <c r="S818">
        <v>248</v>
      </c>
      <c r="T818">
        <v>144.9</v>
      </c>
      <c r="U818">
        <v>426</v>
      </c>
      <c r="V818">
        <v>418</v>
      </c>
      <c r="W818">
        <v>500</v>
      </c>
      <c r="X818">
        <v>2.79</v>
      </c>
    </row>
    <row r="819" spans="1:24" hidden="1" outlineLevel="2" x14ac:dyDescent="0.25">
      <c r="A819" t="str">
        <f t="shared" si="122"/>
        <v>AK7 - 1995</v>
      </c>
      <c r="B819" t="s">
        <v>36</v>
      </c>
      <c r="C819">
        <v>13</v>
      </c>
      <c r="D819">
        <v>10</v>
      </c>
      <c r="E819">
        <v>1995</v>
      </c>
      <c r="F819">
        <v>120.2</v>
      </c>
      <c r="G819">
        <v>5.4</v>
      </c>
      <c r="H819">
        <v>3.9</v>
      </c>
      <c r="I819">
        <v>1.5</v>
      </c>
      <c r="J819">
        <v>27</v>
      </c>
      <c r="K819">
        <v>39.9</v>
      </c>
      <c r="L819">
        <v>453.9</v>
      </c>
      <c r="M819">
        <v>443</v>
      </c>
      <c r="N819">
        <v>409</v>
      </c>
      <c r="O819">
        <v>529</v>
      </c>
      <c r="P819">
        <v>120</v>
      </c>
      <c r="Q819">
        <v>342</v>
      </c>
      <c r="R819">
        <v>562</v>
      </c>
      <c r="S819">
        <v>220</v>
      </c>
      <c r="T819">
        <v>226.2</v>
      </c>
      <c r="U819">
        <v>428</v>
      </c>
      <c r="V819">
        <v>431</v>
      </c>
      <c r="W819">
        <v>500</v>
      </c>
      <c r="X819">
        <v>2.79</v>
      </c>
    </row>
    <row r="820" spans="1:24" hidden="1" outlineLevel="2" x14ac:dyDescent="0.25">
      <c r="A820" t="str">
        <f t="shared" si="122"/>
        <v>AK7 - 1995</v>
      </c>
      <c r="B820" t="s">
        <v>36</v>
      </c>
      <c r="C820">
        <v>14</v>
      </c>
      <c r="D820">
        <v>10</v>
      </c>
      <c r="E820">
        <v>1995</v>
      </c>
      <c r="F820">
        <v>135.9</v>
      </c>
      <c r="G820">
        <v>6.6</v>
      </c>
      <c r="H820">
        <v>5.7</v>
      </c>
      <c r="I820">
        <v>0.9</v>
      </c>
      <c r="J820">
        <v>13</v>
      </c>
      <c r="K820">
        <v>55</v>
      </c>
      <c r="L820">
        <v>580.20000000000005</v>
      </c>
      <c r="M820">
        <v>385</v>
      </c>
      <c r="N820">
        <v>363</v>
      </c>
      <c r="O820">
        <v>522</v>
      </c>
      <c r="P820">
        <v>159</v>
      </c>
      <c r="Q820">
        <v>286</v>
      </c>
      <c r="R820">
        <v>535</v>
      </c>
      <c r="S820">
        <v>249</v>
      </c>
      <c r="T820">
        <v>193.2</v>
      </c>
      <c r="U820">
        <v>390</v>
      </c>
      <c r="V820">
        <v>377</v>
      </c>
      <c r="W820">
        <v>500</v>
      </c>
      <c r="X820">
        <v>2.79</v>
      </c>
    </row>
    <row r="821" spans="1:24" hidden="1" outlineLevel="2" x14ac:dyDescent="0.25">
      <c r="A821" t="str">
        <f t="shared" si="122"/>
        <v>AK7 - 1995</v>
      </c>
      <c r="B821" t="s">
        <v>36</v>
      </c>
      <c r="C821">
        <v>15</v>
      </c>
      <c r="D821">
        <v>10</v>
      </c>
      <c r="E821">
        <v>1995</v>
      </c>
      <c r="F821">
        <v>119.9</v>
      </c>
      <c r="G821">
        <v>5.0999999999999996</v>
      </c>
      <c r="H821">
        <v>4.2</v>
      </c>
      <c r="I821">
        <v>0.9</v>
      </c>
      <c r="J821">
        <v>17</v>
      </c>
      <c r="K821">
        <v>37.6</v>
      </c>
      <c r="L821">
        <v>451.6</v>
      </c>
      <c r="M821">
        <v>426</v>
      </c>
      <c r="N821">
        <v>403</v>
      </c>
      <c r="O821">
        <v>535</v>
      </c>
      <c r="P821">
        <v>132</v>
      </c>
      <c r="Q821">
        <v>313</v>
      </c>
      <c r="R821">
        <v>579</v>
      </c>
      <c r="S821">
        <v>266</v>
      </c>
      <c r="T821">
        <v>172.5</v>
      </c>
      <c r="U821">
        <v>414</v>
      </c>
      <c r="V821">
        <v>397</v>
      </c>
      <c r="W821">
        <v>500</v>
      </c>
      <c r="X821">
        <v>2.79</v>
      </c>
    </row>
    <row r="822" spans="1:24" outlineLevel="1" collapsed="1" x14ac:dyDescent="0.25">
      <c r="A822" s="8" t="s">
        <v>98</v>
      </c>
      <c r="D822">
        <f t="shared" ref="D822:V822" si="123">SUBTOTAL(1,D808:D821)</f>
        <v>9.7857142857142865</v>
      </c>
      <c r="E822">
        <f t="shared" si="123"/>
        <v>1995</v>
      </c>
      <c r="F822">
        <f t="shared" si="123"/>
        <v>121.07142857142858</v>
      </c>
      <c r="G822">
        <f t="shared" si="123"/>
        <v>8.3357142857142854</v>
      </c>
      <c r="H822">
        <f t="shared" si="123"/>
        <v>7.7142857142857144</v>
      </c>
      <c r="I822">
        <f t="shared" si="123"/>
        <v>0.62142857142857133</v>
      </c>
      <c r="J822">
        <f t="shared" si="123"/>
        <v>8.4285714285714288</v>
      </c>
      <c r="K822">
        <f t="shared" si="123"/>
        <v>60.56428571428571</v>
      </c>
      <c r="L822">
        <f t="shared" si="123"/>
        <v>471.60714285714283</v>
      </c>
      <c r="M822">
        <f t="shared" si="123"/>
        <v>395.78571428571428</v>
      </c>
      <c r="N822">
        <f t="shared" si="123"/>
        <v>383.78571428571428</v>
      </c>
      <c r="O822">
        <f t="shared" si="123"/>
        <v>530.25</v>
      </c>
      <c r="P822">
        <f t="shared" si="123"/>
        <v>140.33333333333334</v>
      </c>
      <c r="Q822">
        <f t="shared" si="123"/>
        <v>311.85714285714283</v>
      </c>
      <c r="R822">
        <f t="shared" si="123"/>
        <v>535.92857142857144</v>
      </c>
      <c r="S822">
        <f t="shared" si="123"/>
        <v>224.07142857142858</v>
      </c>
      <c r="T822">
        <f t="shared" si="123"/>
        <v>202.39285714285711</v>
      </c>
      <c r="U822">
        <f t="shared" si="123"/>
        <v>405.85714285714283</v>
      </c>
      <c r="V822">
        <f t="shared" si="123"/>
        <v>400.78571428571428</v>
      </c>
    </row>
    <row r="823" spans="1:24" hidden="1" outlineLevel="2" x14ac:dyDescent="0.25">
      <c r="A823" t="str">
        <f t="shared" ref="A823:A836" si="124">CONCATENATE(B823," - ",E823)</f>
        <v>AK7 - 1996</v>
      </c>
      <c r="B823" t="s">
        <v>36</v>
      </c>
      <c r="C823">
        <v>1</v>
      </c>
      <c r="D823">
        <v>11</v>
      </c>
      <c r="E823">
        <v>1996</v>
      </c>
      <c r="F823">
        <v>136.30000000000001</v>
      </c>
      <c r="G823">
        <v>9.6</v>
      </c>
      <c r="H823">
        <v>8.4</v>
      </c>
      <c r="I823">
        <v>1.2</v>
      </c>
      <c r="J823">
        <v>12</v>
      </c>
      <c r="K823">
        <v>79.3</v>
      </c>
      <c r="L823">
        <v>583.6</v>
      </c>
      <c r="M823">
        <v>423</v>
      </c>
      <c r="N823">
        <v>404</v>
      </c>
      <c r="O823">
        <v>555</v>
      </c>
      <c r="P823">
        <v>151</v>
      </c>
      <c r="Q823">
        <v>349</v>
      </c>
      <c r="R823">
        <v>579</v>
      </c>
      <c r="S823">
        <v>230</v>
      </c>
      <c r="T823">
        <v>184.2</v>
      </c>
      <c r="U823">
        <v>438</v>
      </c>
      <c r="V823">
        <v>433</v>
      </c>
      <c r="W823">
        <v>500</v>
      </c>
      <c r="X823">
        <v>2.79</v>
      </c>
    </row>
    <row r="824" spans="1:24" hidden="1" outlineLevel="2" x14ac:dyDescent="0.25">
      <c r="A824" t="str">
        <f t="shared" si="124"/>
        <v>AK7 - 1996</v>
      </c>
      <c r="B824" t="s">
        <v>36</v>
      </c>
      <c r="C824">
        <v>2</v>
      </c>
      <c r="D824">
        <v>11</v>
      </c>
      <c r="E824">
        <v>1996</v>
      </c>
      <c r="F824">
        <v>110.8</v>
      </c>
      <c r="G824">
        <v>9.6</v>
      </c>
      <c r="H824">
        <v>7.5</v>
      </c>
      <c r="I824">
        <v>2.1</v>
      </c>
      <c r="J824">
        <v>21</v>
      </c>
      <c r="K824">
        <v>63.9</v>
      </c>
      <c r="L824">
        <v>385.7</v>
      </c>
      <c r="M824">
        <v>404</v>
      </c>
      <c r="N824">
        <v>369</v>
      </c>
      <c r="O824">
        <v>528</v>
      </c>
      <c r="P824">
        <v>159</v>
      </c>
      <c r="Q824">
        <v>330</v>
      </c>
      <c r="R824">
        <v>580</v>
      </c>
      <c r="S824">
        <v>250</v>
      </c>
      <c r="T824">
        <v>195.9</v>
      </c>
      <c r="U824">
        <v>414</v>
      </c>
      <c r="V824">
        <v>411</v>
      </c>
      <c r="W824">
        <v>500</v>
      </c>
      <c r="X824">
        <v>2.79</v>
      </c>
    </row>
    <row r="825" spans="1:24" hidden="1" outlineLevel="2" x14ac:dyDescent="0.25">
      <c r="A825" t="str">
        <f t="shared" si="124"/>
        <v>AK7 - 1996</v>
      </c>
      <c r="B825" t="s">
        <v>36</v>
      </c>
      <c r="C825">
        <v>3</v>
      </c>
      <c r="D825">
        <v>11</v>
      </c>
      <c r="E825">
        <v>1996</v>
      </c>
      <c r="F825">
        <v>179.2</v>
      </c>
      <c r="G825">
        <v>12</v>
      </c>
      <c r="H825">
        <v>10.8</v>
      </c>
      <c r="I825">
        <v>1.2</v>
      </c>
      <c r="J825">
        <v>10</v>
      </c>
      <c r="K825">
        <v>130.6</v>
      </c>
      <c r="L825">
        <v>1008.8</v>
      </c>
      <c r="M825">
        <v>350</v>
      </c>
      <c r="N825">
        <v>331</v>
      </c>
      <c r="O825">
        <v>522</v>
      </c>
      <c r="P825">
        <v>191</v>
      </c>
      <c r="Q825">
        <v>255</v>
      </c>
      <c r="R825">
        <v>542</v>
      </c>
      <c r="S825">
        <v>287</v>
      </c>
      <c r="T825">
        <v>252.9</v>
      </c>
      <c r="U825">
        <v>370</v>
      </c>
      <c r="V825">
        <v>365</v>
      </c>
      <c r="W825">
        <v>500</v>
      </c>
      <c r="X825">
        <v>2.79</v>
      </c>
    </row>
    <row r="826" spans="1:24" hidden="1" outlineLevel="2" x14ac:dyDescent="0.25">
      <c r="A826" t="str">
        <f t="shared" si="124"/>
        <v>AK7 - 1996</v>
      </c>
      <c r="B826" t="s">
        <v>36</v>
      </c>
      <c r="C826">
        <v>5</v>
      </c>
      <c r="D826">
        <v>11</v>
      </c>
      <c r="E826">
        <v>1996</v>
      </c>
      <c r="F826">
        <v>143.4</v>
      </c>
      <c r="G826">
        <v>12.9</v>
      </c>
      <c r="H826">
        <v>11.4</v>
      </c>
      <c r="I826">
        <v>1.5</v>
      </c>
      <c r="J826">
        <v>11</v>
      </c>
      <c r="K826">
        <v>111</v>
      </c>
      <c r="L826">
        <v>646</v>
      </c>
      <c r="M826">
        <v>403</v>
      </c>
      <c r="N826">
        <v>385</v>
      </c>
      <c r="O826">
        <v>533</v>
      </c>
      <c r="P826">
        <v>148</v>
      </c>
      <c r="Q826">
        <v>342</v>
      </c>
      <c r="R826">
        <v>540</v>
      </c>
      <c r="S826">
        <v>198</v>
      </c>
      <c r="T826">
        <v>221.1</v>
      </c>
      <c r="U826">
        <v>426</v>
      </c>
      <c r="V826">
        <v>420</v>
      </c>
      <c r="W826">
        <v>500</v>
      </c>
      <c r="X826">
        <v>2.79</v>
      </c>
    </row>
    <row r="827" spans="1:24" hidden="1" outlineLevel="2" x14ac:dyDescent="0.25">
      <c r="A827" t="str">
        <f t="shared" si="124"/>
        <v>AK7 - 1996</v>
      </c>
      <c r="B827" t="s">
        <v>36</v>
      </c>
      <c r="C827">
        <v>6</v>
      </c>
      <c r="D827">
        <v>11</v>
      </c>
      <c r="E827">
        <v>1996</v>
      </c>
      <c r="F827">
        <v>136.80000000000001</v>
      </c>
      <c r="G827">
        <v>6.3</v>
      </c>
      <c r="H827">
        <v>5.0999999999999996</v>
      </c>
      <c r="I827">
        <v>1.2</v>
      </c>
      <c r="J827">
        <v>19</v>
      </c>
      <c r="K827">
        <v>52.9</v>
      </c>
      <c r="L827">
        <v>587.9</v>
      </c>
      <c r="M827">
        <v>376</v>
      </c>
      <c r="N827">
        <v>336</v>
      </c>
      <c r="O827">
        <v>544</v>
      </c>
      <c r="P827">
        <v>208</v>
      </c>
      <c r="Q827">
        <v>287</v>
      </c>
      <c r="R827">
        <v>571</v>
      </c>
      <c r="S827">
        <v>284</v>
      </c>
      <c r="T827">
        <v>181.2</v>
      </c>
      <c r="U827">
        <v>379</v>
      </c>
      <c r="V827">
        <v>374</v>
      </c>
      <c r="W827">
        <v>500</v>
      </c>
      <c r="X827">
        <v>2.79</v>
      </c>
    </row>
    <row r="828" spans="1:24" hidden="1" outlineLevel="2" x14ac:dyDescent="0.25">
      <c r="A828" t="str">
        <f t="shared" si="124"/>
        <v>AK7 - 1996</v>
      </c>
      <c r="B828" t="s">
        <v>36</v>
      </c>
      <c r="C828">
        <v>7</v>
      </c>
      <c r="D828">
        <v>11</v>
      </c>
      <c r="E828">
        <v>1996</v>
      </c>
      <c r="F828">
        <v>128.9</v>
      </c>
      <c r="G828">
        <v>18</v>
      </c>
      <c r="H828">
        <v>16.8</v>
      </c>
      <c r="I828">
        <v>1.2</v>
      </c>
      <c r="J828">
        <v>6</v>
      </c>
      <c r="K828">
        <v>135.6</v>
      </c>
      <c r="L828">
        <v>522</v>
      </c>
      <c r="M828">
        <v>354</v>
      </c>
      <c r="N828">
        <v>341</v>
      </c>
      <c r="O828">
        <v>539</v>
      </c>
      <c r="P828">
        <v>198</v>
      </c>
      <c r="Q828">
        <v>271</v>
      </c>
      <c r="R828">
        <v>571</v>
      </c>
      <c r="S828">
        <v>300</v>
      </c>
      <c r="T828">
        <v>278.39999999999998</v>
      </c>
      <c r="U828">
        <v>367</v>
      </c>
      <c r="V828">
        <v>372</v>
      </c>
      <c r="W828">
        <v>500</v>
      </c>
      <c r="X828">
        <v>2.79</v>
      </c>
    </row>
    <row r="829" spans="1:24" hidden="1" outlineLevel="2" x14ac:dyDescent="0.25">
      <c r="A829" t="str">
        <f t="shared" si="124"/>
        <v>AK7 - 1996</v>
      </c>
      <c r="B829" t="s">
        <v>36</v>
      </c>
      <c r="C829">
        <v>8</v>
      </c>
      <c r="D829">
        <v>11</v>
      </c>
      <c r="E829">
        <v>1996</v>
      </c>
      <c r="F829">
        <v>139.6</v>
      </c>
      <c r="G829">
        <v>6.9</v>
      </c>
      <c r="H829">
        <v>6.6</v>
      </c>
      <c r="I829">
        <v>0.3</v>
      </c>
      <c r="J829">
        <v>4</v>
      </c>
      <c r="K829">
        <v>59</v>
      </c>
      <c r="L829">
        <v>612.20000000000005</v>
      </c>
      <c r="M829">
        <v>422</v>
      </c>
      <c r="N829">
        <v>417</v>
      </c>
      <c r="O829">
        <v>537</v>
      </c>
      <c r="P829">
        <v>120</v>
      </c>
      <c r="Q829">
        <v>315</v>
      </c>
      <c r="R829">
        <v>537</v>
      </c>
      <c r="S829">
        <v>222</v>
      </c>
      <c r="T829">
        <v>177.9</v>
      </c>
      <c r="U829">
        <v>438</v>
      </c>
      <c r="V829">
        <v>415</v>
      </c>
      <c r="W829">
        <v>500</v>
      </c>
      <c r="X829">
        <v>2.79</v>
      </c>
    </row>
    <row r="830" spans="1:24" hidden="1" outlineLevel="2" x14ac:dyDescent="0.25">
      <c r="A830" t="str">
        <f t="shared" si="124"/>
        <v>AK7 - 1996</v>
      </c>
      <c r="B830" t="s">
        <v>36</v>
      </c>
      <c r="C830">
        <v>9</v>
      </c>
      <c r="D830">
        <v>10</v>
      </c>
      <c r="E830">
        <v>1996</v>
      </c>
      <c r="F830">
        <v>127</v>
      </c>
      <c r="G830">
        <v>10.8</v>
      </c>
      <c r="H830">
        <v>9</v>
      </c>
      <c r="I830">
        <v>1.8</v>
      </c>
      <c r="J830">
        <v>16</v>
      </c>
      <c r="K830">
        <v>82.5</v>
      </c>
      <c r="L830">
        <v>506.7</v>
      </c>
      <c r="M830">
        <v>388</v>
      </c>
      <c r="N830">
        <v>358</v>
      </c>
      <c r="O830">
        <v>538</v>
      </c>
      <c r="P830">
        <v>180</v>
      </c>
      <c r="Q830">
        <v>301</v>
      </c>
      <c r="R830">
        <v>584</v>
      </c>
      <c r="S830">
        <v>283</v>
      </c>
      <c r="T830">
        <v>227.1</v>
      </c>
      <c r="U830">
        <v>411</v>
      </c>
      <c r="V830">
        <v>418</v>
      </c>
      <c r="W830">
        <v>500</v>
      </c>
      <c r="X830">
        <v>2.79</v>
      </c>
    </row>
    <row r="831" spans="1:24" hidden="1" outlineLevel="2" x14ac:dyDescent="0.25">
      <c r="A831" t="str">
        <f t="shared" si="124"/>
        <v>AK7 - 1996</v>
      </c>
      <c r="B831" t="s">
        <v>36</v>
      </c>
      <c r="C831">
        <v>10</v>
      </c>
      <c r="D831">
        <v>10</v>
      </c>
      <c r="E831">
        <v>1996</v>
      </c>
      <c r="F831">
        <v>118.9</v>
      </c>
      <c r="G831">
        <v>12.6</v>
      </c>
      <c r="H831">
        <v>12</v>
      </c>
      <c r="I831">
        <v>0.6</v>
      </c>
      <c r="J831">
        <v>4</v>
      </c>
      <c r="K831">
        <v>89.1</v>
      </c>
      <c r="L831">
        <v>444.1</v>
      </c>
      <c r="M831">
        <v>368</v>
      </c>
      <c r="N831">
        <v>361</v>
      </c>
      <c r="O831">
        <v>511</v>
      </c>
      <c r="P831">
        <v>150</v>
      </c>
      <c r="Q831">
        <v>274</v>
      </c>
      <c r="R831">
        <v>519</v>
      </c>
      <c r="S831">
        <v>245</v>
      </c>
      <c r="T831">
        <v>240.3</v>
      </c>
      <c r="U831">
        <v>373</v>
      </c>
      <c r="V831">
        <v>372</v>
      </c>
      <c r="W831">
        <v>500</v>
      </c>
      <c r="X831">
        <v>2.79</v>
      </c>
    </row>
    <row r="832" spans="1:24" hidden="1" outlineLevel="2" x14ac:dyDescent="0.25">
      <c r="A832" t="str">
        <f t="shared" si="124"/>
        <v>AK7 - 1996</v>
      </c>
      <c r="B832" t="s">
        <v>36</v>
      </c>
      <c r="C832">
        <v>11</v>
      </c>
      <c r="D832">
        <v>10</v>
      </c>
      <c r="E832">
        <v>1996</v>
      </c>
      <c r="F832">
        <v>90.9</v>
      </c>
      <c r="G832">
        <v>8.1</v>
      </c>
      <c r="H832">
        <v>6.9</v>
      </c>
      <c r="I832">
        <v>1.2</v>
      </c>
      <c r="J832">
        <v>14</v>
      </c>
      <c r="K832">
        <v>44.2</v>
      </c>
      <c r="L832">
        <v>259.60000000000002</v>
      </c>
      <c r="M832">
        <v>396</v>
      </c>
      <c r="N832">
        <v>372</v>
      </c>
      <c r="O832">
        <v>538</v>
      </c>
      <c r="P832">
        <v>166</v>
      </c>
      <c r="Q832">
        <v>297</v>
      </c>
      <c r="R832">
        <v>562</v>
      </c>
      <c r="S832">
        <v>265</v>
      </c>
      <c r="T832">
        <v>137.69999999999999</v>
      </c>
      <c r="U832">
        <v>408</v>
      </c>
      <c r="V832">
        <v>408</v>
      </c>
      <c r="W832">
        <v>500</v>
      </c>
      <c r="X832">
        <v>2.79</v>
      </c>
    </row>
    <row r="833" spans="1:24" hidden="1" outlineLevel="2" x14ac:dyDescent="0.25">
      <c r="A833" t="str">
        <f t="shared" si="124"/>
        <v>AK7 - 1996</v>
      </c>
      <c r="B833" t="s">
        <v>36</v>
      </c>
      <c r="C833">
        <v>12</v>
      </c>
      <c r="D833">
        <v>11</v>
      </c>
      <c r="E833">
        <v>1996</v>
      </c>
      <c r="F833">
        <v>120.3</v>
      </c>
      <c r="G833">
        <v>6.3</v>
      </c>
      <c r="H833">
        <v>5.4</v>
      </c>
      <c r="I833">
        <v>0.9</v>
      </c>
      <c r="J833">
        <v>14</v>
      </c>
      <c r="K833">
        <v>46.4</v>
      </c>
      <c r="L833">
        <v>454.7</v>
      </c>
      <c r="M833">
        <v>415</v>
      </c>
      <c r="N833">
        <v>397</v>
      </c>
      <c r="O833">
        <v>526</v>
      </c>
      <c r="P833">
        <v>129</v>
      </c>
      <c r="Q833">
        <v>345</v>
      </c>
      <c r="R833">
        <v>552</v>
      </c>
      <c r="S833">
        <v>207</v>
      </c>
      <c r="T833">
        <v>144.9</v>
      </c>
      <c r="U833">
        <v>426</v>
      </c>
      <c r="V833">
        <v>418</v>
      </c>
      <c r="W833">
        <v>500</v>
      </c>
      <c r="X833">
        <v>2.79</v>
      </c>
    </row>
    <row r="834" spans="1:24" hidden="1" outlineLevel="2" x14ac:dyDescent="0.25">
      <c r="A834" t="str">
        <f t="shared" si="124"/>
        <v>AK7 - 1996</v>
      </c>
      <c r="B834" t="s">
        <v>36</v>
      </c>
      <c r="C834">
        <v>13</v>
      </c>
      <c r="D834">
        <v>11</v>
      </c>
      <c r="E834">
        <v>1996</v>
      </c>
      <c r="F834">
        <v>128</v>
      </c>
      <c r="G834">
        <v>7.8</v>
      </c>
      <c r="H834">
        <v>6</v>
      </c>
      <c r="I834">
        <v>1.8</v>
      </c>
      <c r="J834">
        <v>23</v>
      </c>
      <c r="K834">
        <v>60.8</v>
      </c>
      <c r="L834">
        <v>514.70000000000005</v>
      </c>
      <c r="M834">
        <v>423</v>
      </c>
      <c r="N834">
        <v>387</v>
      </c>
      <c r="O834">
        <v>545</v>
      </c>
      <c r="P834">
        <v>158</v>
      </c>
      <c r="Q834">
        <v>297</v>
      </c>
      <c r="R834">
        <v>572</v>
      </c>
      <c r="S834">
        <v>275</v>
      </c>
      <c r="T834">
        <v>226.2</v>
      </c>
      <c r="U834">
        <v>428</v>
      </c>
      <c r="V834">
        <v>431</v>
      </c>
      <c r="W834">
        <v>500</v>
      </c>
      <c r="X834">
        <v>2.79</v>
      </c>
    </row>
    <row r="835" spans="1:24" hidden="1" outlineLevel="2" x14ac:dyDescent="0.25">
      <c r="A835" t="str">
        <f t="shared" si="124"/>
        <v>AK7 - 1996</v>
      </c>
      <c r="B835" t="s">
        <v>36</v>
      </c>
      <c r="C835">
        <v>14</v>
      </c>
      <c r="D835">
        <v>11</v>
      </c>
      <c r="E835">
        <v>1996</v>
      </c>
      <c r="F835">
        <v>147</v>
      </c>
      <c r="G835">
        <v>11.1</v>
      </c>
      <c r="H835">
        <v>11.1</v>
      </c>
      <c r="I835">
        <v>0</v>
      </c>
      <c r="J835">
        <v>0</v>
      </c>
      <c r="K835">
        <v>98.7</v>
      </c>
      <c r="L835">
        <v>678.9</v>
      </c>
      <c r="M835">
        <v>359</v>
      </c>
      <c r="N835">
        <v>359</v>
      </c>
      <c r="Q835">
        <v>274</v>
      </c>
      <c r="R835">
        <v>493</v>
      </c>
      <c r="S835">
        <v>219</v>
      </c>
      <c r="T835">
        <v>193.2</v>
      </c>
      <c r="U835">
        <v>390</v>
      </c>
      <c r="V835">
        <v>377</v>
      </c>
      <c r="W835">
        <v>500</v>
      </c>
      <c r="X835">
        <v>2.79</v>
      </c>
    </row>
    <row r="836" spans="1:24" hidden="1" outlineLevel="2" x14ac:dyDescent="0.25">
      <c r="A836" t="str">
        <f t="shared" si="124"/>
        <v>AK7 - 1996</v>
      </c>
      <c r="B836" t="s">
        <v>36</v>
      </c>
      <c r="C836">
        <v>15</v>
      </c>
      <c r="D836">
        <v>11</v>
      </c>
      <c r="E836">
        <v>1996</v>
      </c>
      <c r="F836">
        <v>128.6</v>
      </c>
      <c r="G836">
        <v>8.6999999999999993</v>
      </c>
      <c r="H836">
        <v>8.1</v>
      </c>
      <c r="I836">
        <v>0.6</v>
      </c>
      <c r="J836">
        <v>6</v>
      </c>
      <c r="K836">
        <v>67.900000000000006</v>
      </c>
      <c r="L836">
        <v>519.6</v>
      </c>
      <c r="M836">
        <v>376</v>
      </c>
      <c r="N836">
        <v>365</v>
      </c>
      <c r="O836">
        <v>523</v>
      </c>
      <c r="P836">
        <v>158</v>
      </c>
      <c r="Q836">
        <v>318</v>
      </c>
      <c r="R836">
        <v>539</v>
      </c>
      <c r="S836">
        <v>221</v>
      </c>
      <c r="T836">
        <v>172.5</v>
      </c>
      <c r="U836">
        <v>414</v>
      </c>
      <c r="V836">
        <v>397</v>
      </c>
      <c r="W836">
        <v>500</v>
      </c>
      <c r="X836">
        <v>2.79</v>
      </c>
    </row>
    <row r="837" spans="1:24" outlineLevel="1" collapsed="1" x14ac:dyDescent="0.25">
      <c r="A837" s="8" t="s">
        <v>99</v>
      </c>
      <c r="D837">
        <f t="shared" ref="D837:V837" si="125">SUBTOTAL(1,D823:D836)</f>
        <v>10.785714285714286</v>
      </c>
      <c r="E837">
        <f t="shared" si="125"/>
        <v>1996</v>
      </c>
      <c r="F837">
        <f t="shared" si="125"/>
        <v>131.12142857142857</v>
      </c>
      <c r="G837">
        <f t="shared" si="125"/>
        <v>10.049999999999999</v>
      </c>
      <c r="H837">
        <f t="shared" si="125"/>
        <v>8.9357142857142851</v>
      </c>
      <c r="I837">
        <f t="shared" si="125"/>
        <v>1.1142857142857143</v>
      </c>
      <c r="J837">
        <f t="shared" si="125"/>
        <v>11.428571428571429</v>
      </c>
      <c r="K837">
        <f t="shared" si="125"/>
        <v>80.135714285714286</v>
      </c>
      <c r="L837">
        <f t="shared" si="125"/>
        <v>551.75</v>
      </c>
      <c r="M837">
        <f t="shared" si="125"/>
        <v>389.78571428571428</v>
      </c>
      <c r="N837">
        <f t="shared" si="125"/>
        <v>370.14285714285717</v>
      </c>
      <c r="O837">
        <f t="shared" si="125"/>
        <v>533.76923076923072</v>
      </c>
      <c r="P837">
        <f t="shared" si="125"/>
        <v>162.76923076923077</v>
      </c>
      <c r="Q837">
        <f t="shared" si="125"/>
        <v>303.92857142857144</v>
      </c>
      <c r="R837">
        <f t="shared" si="125"/>
        <v>552.92857142857144</v>
      </c>
      <c r="S837">
        <f t="shared" si="125"/>
        <v>249</v>
      </c>
      <c r="T837">
        <f t="shared" si="125"/>
        <v>202.39285714285711</v>
      </c>
      <c r="U837">
        <f t="shared" si="125"/>
        <v>405.85714285714283</v>
      </c>
      <c r="V837">
        <f t="shared" si="125"/>
        <v>400.78571428571428</v>
      </c>
    </row>
    <row r="838" spans="1:24" hidden="1" outlineLevel="2" x14ac:dyDescent="0.25">
      <c r="A838" t="str">
        <f t="shared" ref="A838:A851" si="126">CONCATENATE(B838," - ",E838)</f>
        <v>AK7 - 1997</v>
      </c>
      <c r="B838" t="s">
        <v>36</v>
      </c>
      <c r="C838">
        <v>1</v>
      </c>
      <c r="D838">
        <v>12</v>
      </c>
      <c r="E838">
        <v>1997</v>
      </c>
      <c r="F838">
        <v>145.9</v>
      </c>
      <c r="G838">
        <v>9.6</v>
      </c>
      <c r="H838">
        <v>7.5</v>
      </c>
      <c r="I838">
        <v>2.1</v>
      </c>
      <c r="J838">
        <v>21</v>
      </c>
      <c r="K838">
        <v>85.1</v>
      </c>
      <c r="L838">
        <v>668.7</v>
      </c>
      <c r="M838">
        <v>449</v>
      </c>
      <c r="N838">
        <v>421</v>
      </c>
      <c r="O838">
        <v>550</v>
      </c>
      <c r="P838">
        <v>129</v>
      </c>
      <c r="Q838">
        <v>380</v>
      </c>
      <c r="R838">
        <v>583</v>
      </c>
      <c r="S838">
        <v>203</v>
      </c>
      <c r="T838">
        <v>184.2</v>
      </c>
      <c r="U838">
        <v>438</v>
      </c>
      <c r="V838">
        <v>433</v>
      </c>
      <c r="W838">
        <v>500</v>
      </c>
      <c r="X838">
        <v>2.79</v>
      </c>
    </row>
    <row r="839" spans="1:24" hidden="1" outlineLevel="2" x14ac:dyDescent="0.25">
      <c r="A839" t="str">
        <f t="shared" si="126"/>
        <v>AK7 - 1997</v>
      </c>
      <c r="B839" t="s">
        <v>36</v>
      </c>
      <c r="C839">
        <v>2</v>
      </c>
      <c r="D839">
        <v>12</v>
      </c>
      <c r="E839">
        <v>1997</v>
      </c>
      <c r="F839">
        <v>121.3</v>
      </c>
      <c r="G839">
        <v>10.5</v>
      </c>
      <c r="H839">
        <v>9.9</v>
      </c>
      <c r="I839">
        <v>0.6</v>
      </c>
      <c r="J839">
        <v>5</v>
      </c>
      <c r="K839">
        <v>76.599999999999994</v>
      </c>
      <c r="L839">
        <v>462.2</v>
      </c>
      <c r="M839">
        <v>410</v>
      </c>
      <c r="N839">
        <v>403</v>
      </c>
      <c r="O839">
        <v>532</v>
      </c>
      <c r="P839">
        <v>129</v>
      </c>
      <c r="Q839">
        <v>336</v>
      </c>
      <c r="R839">
        <v>554</v>
      </c>
      <c r="S839">
        <v>218</v>
      </c>
      <c r="T839">
        <v>195.9</v>
      </c>
      <c r="U839">
        <v>414</v>
      </c>
      <c r="V839">
        <v>411</v>
      </c>
      <c r="W839">
        <v>500</v>
      </c>
      <c r="X839">
        <v>2.79</v>
      </c>
    </row>
    <row r="840" spans="1:24" hidden="1" outlineLevel="2" x14ac:dyDescent="0.25">
      <c r="A840" t="str">
        <f t="shared" si="126"/>
        <v>AK7 - 1997</v>
      </c>
      <c r="B840" t="s">
        <v>36</v>
      </c>
      <c r="C840">
        <v>3</v>
      </c>
      <c r="D840">
        <v>12</v>
      </c>
      <c r="E840">
        <v>1997</v>
      </c>
      <c r="F840">
        <v>192.4</v>
      </c>
      <c r="G840">
        <v>13.2</v>
      </c>
      <c r="H840">
        <v>12</v>
      </c>
      <c r="I840">
        <v>1.2</v>
      </c>
      <c r="J840">
        <v>9</v>
      </c>
      <c r="K840">
        <v>154.1</v>
      </c>
      <c r="L840">
        <v>1162.9000000000001</v>
      </c>
      <c r="M840">
        <v>356</v>
      </c>
      <c r="N840">
        <v>337</v>
      </c>
      <c r="O840">
        <v>545</v>
      </c>
      <c r="P840">
        <v>208</v>
      </c>
      <c r="Q840">
        <v>288</v>
      </c>
      <c r="R840">
        <v>567</v>
      </c>
      <c r="S840">
        <v>279</v>
      </c>
      <c r="T840">
        <v>252.9</v>
      </c>
      <c r="U840">
        <v>370</v>
      </c>
      <c r="V840">
        <v>365</v>
      </c>
      <c r="W840">
        <v>500</v>
      </c>
      <c r="X840">
        <v>2.79</v>
      </c>
    </row>
    <row r="841" spans="1:24" hidden="1" outlineLevel="2" x14ac:dyDescent="0.25">
      <c r="A841" t="str">
        <f t="shared" si="126"/>
        <v>AK7 - 1997</v>
      </c>
      <c r="B841" t="s">
        <v>36</v>
      </c>
      <c r="C841">
        <v>5</v>
      </c>
      <c r="D841">
        <v>12</v>
      </c>
      <c r="E841">
        <v>1997</v>
      </c>
      <c r="F841">
        <v>156.30000000000001</v>
      </c>
      <c r="G841">
        <v>12.9</v>
      </c>
      <c r="H841">
        <v>12</v>
      </c>
      <c r="I841">
        <v>0.9</v>
      </c>
      <c r="J841">
        <v>6</v>
      </c>
      <c r="K841">
        <v>121.5</v>
      </c>
      <c r="L841">
        <v>767.5</v>
      </c>
      <c r="M841">
        <v>404</v>
      </c>
      <c r="N841">
        <v>396</v>
      </c>
      <c r="O841">
        <v>520</v>
      </c>
      <c r="P841">
        <v>124</v>
      </c>
      <c r="Q841">
        <v>358</v>
      </c>
      <c r="R841">
        <v>538</v>
      </c>
      <c r="S841">
        <v>180</v>
      </c>
      <c r="T841">
        <v>221.1</v>
      </c>
      <c r="U841">
        <v>426</v>
      </c>
      <c r="V841">
        <v>420</v>
      </c>
      <c r="W841">
        <v>500</v>
      </c>
      <c r="X841">
        <v>2.79</v>
      </c>
    </row>
    <row r="842" spans="1:24" hidden="1" outlineLevel="2" x14ac:dyDescent="0.25">
      <c r="A842" t="str">
        <f t="shared" si="126"/>
        <v>AK7 - 1997</v>
      </c>
      <c r="B842" t="s">
        <v>36</v>
      </c>
      <c r="C842">
        <v>6</v>
      </c>
      <c r="D842">
        <v>12</v>
      </c>
      <c r="E842">
        <v>1997</v>
      </c>
      <c r="F842">
        <v>145.80000000000001</v>
      </c>
      <c r="G842">
        <v>9</v>
      </c>
      <c r="H842">
        <v>8.1</v>
      </c>
      <c r="I842">
        <v>0.9</v>
      </c>
      <c r="J842">
        <v>10</v>
      </c>
      <c r="K842">
        <v>79.900000000000006</v>
      </c>
      <c r="L842">
        <v>667.8</v>
      </c>
      <c r="M842">
        <v>381</v>
      </c>
      <c r="N842">
        <v>366</v>
      </c>
      <c r="O842">
        <v>521</v>
      </c>
      <c r="P842">
        <v>155</v>
      </c>
      <c r="Q842">
        <v>320</v>
      </c>
      <c r="R842">
        <v>527</v>
      </c>
      <c r="S842">
        <v>207</v>
      </c>
      <c r="T842">
        <v>181.2</v>
      </c>
      <c r="U842">
        <v>379</v>
      </c>
      <c r="V842">
        <v>374</v>
      </c>
      <c r="W842">
        <v>500</v>
      </c>
      <c r="X842">
        <v>2.79</v>
      </c>
    </row>
    <row r="843" spans="1:24" hidden="1" outlineLevel="2" x14ac:dyDescent="0.25">
      <c r="A843" t="str">
        <f t="shared" si="126"/>
        <v>AK7 - 1997</v>
      </c>
      <c r="B843" t="s">
        <v>36</v>
      </c>
      <c r="C843">
        <v>7</v>
      </c>
      <c r="D843">
        <v>12</v>
      </c>
      <c r="E843">
        <v>1997</v>
      </c>
      <c r="F843">
        <v>145.1</v>
      </c>
      <c r="G843">
        <v>16.2</v>
      </c>
      <c r="H843">
        <v>15.3</v>
      </c>
      <c r="I843">
        <v>0.9</v>
      </c>
      <c r="J843">
        <v>5</v>
      </c>
      <c r="K843">
        <v>139.4</v>
      </c>
      <c r="L843">
        <v>661.4</v>
      </c>
      <c r="M843">
        <v>358</v>
      </c>
      <c r="N843">
        <v>348</v>
      </c>
      <c r="O843">
        <v>530</v>
      </c>
      <c r="P843">
        <v>182</v>
      </c>
      <c r="Q843">
        <v>271</v>
      </c>
      <c r="R843">
        <v>533</v>
      </c>
      <c r="S843">
        <v>262</v>
      </c>
      <c r="T843">
        <v>278.39999999999998</v>
      </c>
      <c r="U843">
        <v>367</v>
      </c>
      <c r="V843">
        <v>372</v>
      </c>
      <c r="W843">
        <v>500</v>
      </c>
      <c r="X843">
        <v>2.79</v>
      </c>
    </row>
    <row r="844" spans="1:24" hidden="1" outlineLevel="2" x14ac:dyDescent="0.25">
      <c r="A844" t="str">
        <f t="shared" si="126"/>
        <v>AK7 - 1997</v>
      </c>
      <c r="B844" t="s">
        <v>36</v>
      </c>
      <c r="C844">
        <v>8</v>
      </c>
      <c r="D844">
        <v>12</v>
      </c>
      <c r="E844">
        <v>1997</v>
      </c>
      <c r="F844">
        <v>146.5</v>
      </c>
      <c r="G844">
        <v>6.9</v>
      </c>
      <c r="H844">
        <v>5.7</v>
      </c>
      <c r="I844">
        <v>1.2</v>
      </c>
      <c r="J844">
        <v>17</v>
      </c>
      <c r="K844">
        <v>62</v>
      </c>
      <c r="L844">
        <v>674.3</v>
      </c>
      <c r="M844">
        <v>406</v>
      </c>
      <c r="N844">
        <v>379</v>
      </c>
      <c r="O844">
        <v>531</v>
      </c>
      <c r="P844">
        <v>152</v>
      </c>
      <c r="Q844">
        <v>314</v>
      </c>
      <c r="R844">
        <v>565</v>
      </c>
      <c r="S844">
        <v>251</v>
      </c>
      <c r="T844">
        <v>177.9</v>
      </c>
      <c r="U844">
        <v>438</v>
      </c>
      <c r="V844">
        <v>415</v>
      </c>
      <c r="W844">
        <v>500</v>
      </c>
      <c r="X844">
        <v>2.79</v>
      </c>
    </row>
    <row r="845" spans="1:24" hidden="1" outlineLevel="2" x14ac:dyDescent="0.25">
      <c r="A845" t="str">
        <f t="shared" si="126"/>
        <v>AK7 - 1997</v>
      </c>
      <c r="B845" t="s">
        <v>36</v>
      </c>
      <c r="C845">
        <v>9</v>
      </c>
      <c r="D845">
        <v>11</v>
      </c>
      <c r="E845">
        <v>1997</v>
      </c>
      <c r="F845">
        <v>140.80000000000001</v>
      </c>
      <c r="G845">
        <v>13.8</v>
      </c>
      <c r="H845">
        <v>12</v>
      </c>
      <c r="I845">
        <v>1.8</v>
      </c>
      <c r="J845">
        <v>13</v>
      </c>
      <c r="K845">
        <v>116.1</v>
      </c>
      <c r="L845">
        <v>622.79999999999995</v>
      </c>
      <c r="M845">
        <v>410</v>
      </c>
      <c r="N845">
        <v>389</v>
      </c>
      <c r="O845">
        <v>551</v>
      </c>
      <c r="P845">
        <v>162</v>
      </c>
      <c r="Q845">
        <v>315</v>
      </c>
      <c r="R845">
        <v>575</v>
      </c>
      <c r="S845">
        <v>260</v>
      </c>
      <c r="T845">
        <v>227.1</v>
      </c>
      <c r="U845">
        <v>411</v>
      </c>
      <c r="V845">
        <v>418</v>
      </c>
      <c r="W845">
        <v>500</v>
      </c>
      <c r="X845">
        <v>2.79</v>
      </c>
    </row>
    <row r="846" spans="1:24" hidden="1" outlineLevel="2" x14ac:dyDescent="0.25">
      <c r="A846" t="str">
        <f t="shared" si="126"/>
        <v>AK7 - 1997</v>
      </c>
      <c r="B846" t="s">
        <v>36</v>
      </c>
      <c r="C846">
        <v>10</v>
      </c>
      <c r="D846">
        <v>11</v>
      </c>
      <c r="E846">
        <v>1997</v>
      </c>
      <c r="F846">
        <v>133.9</v>
      </c>
      <c r="G846">
        <v>15</v>
      </c>
      <c r="H846">
        <v>14.4</v>
      </c>
      <c r="I846">
        <v>0.6</v>
      </c>
      <c r="J846">
        <v>3</v>
      </c>
      <c r="K846">
        <v>119.1</v>
      </c>
      <c r="L846">
        <v>563.29999999999995</v>
      </c>
      <c r="M846">
        <v>362</v>
      </c>
      <c r="N846">
        <v>356</v>
      </c>
      <c r="O846">
        <v>506</v>
      </c>
      <c r="P846">
        <v>150</v>
      </c>
      <c r="Q846">
        <v>298</v>
      </c>
      <c r="R846">
        <v>509</v>
      </c>
      <c r="S846">
        <v>211</v>
      </c>
      <c r="T846">
        <v>240.3</v>
      </c>
      <c r="U846">
        <v>373</v>
      </c>
      <c r="V846">
        <v>372</v>
      </c>
      <c r="W846">
        <v>500</v>
      </c>
      <c r="X846">
        <v>2.79</v>
      </c>
    </row>
    <row r="847" spans="1:24" hidden="1" outlineLevel="2" x14ac:dyDescent="0.25">
      <c r="A847" t="str">
        <f t="shared" si="126"/>
        <v>AK7 - 1997</v>
      </c>
      <c r="B847" t="s">
        <v>36</v>
      </c>
      <c r="C847">
        <v>11</v>
      </c>
      <c r="D847">
        <v>11</v>
      </c>
      <c r="E847">
        <v>1997</v>
      </c>
      <c r="F847">
        <v>99.9</v>
      </c>
      <c r="G847">
        <v>9</v>
      </c>
      <c r="H847">
        <v>8.1</v>
      </c>
      <c r="I847">
        <v>0.9</v>
      </c>
      <c r="J847">
        <v>10</v>
      </c>
      <c r="K847">
        <v>53.9</v>
      </c>
      <c r="L847">
        <v>313.5</v>
      </c>
      <c r="M847">
        <v>406</v>
      </c>
      <c r="N847">
        <v>391</v>
      </c>
      <c r="O847">
        <v>536</v>
      </c>
      <c r="P847">
        <v>145</v>
      </c>
      <c r="Q847">
        <v>353</v>
      </c>
      <c r="R847">
        <v>551</v>
      </c>
      <c r="S847">
        <v>198</v>
      </c>
      <c r="T847">
        <v>137.69999999999999</v>
      </c>
      <c r="U847">
        <v>408</v>
      </c>
      <c r="V847">
        <v>408</v>
      </c>
      <c r="W847">
        <v>500</v>
      </c>
      <c r="X847">
        <v>2.79</v>
      </c>
    </row>
    <row r="848" spans="1:24" hidden="1" outlineLevel="2" x14ac:dyDescent="0.25">
      <c r="A848" t="str">
        <f t="shared" si="126"/>
        <v>AK7 - 1997</v>
      </c>
      <c r="B848" t="s">
        <v>36</v>
      </c>
      <c r="C848">
        <v>12</v>
      </c>
      <c r="D848">
        <v>12</v>
      </c>
      <c r="E848">
        <v>1997</v>
      </c>
      <c r="F848">
        <v>123.9</v>
      </c>
      <c r="G848">
        <v>3.6</v>
      </c>
      <c r="H848">
        <v>1.8</v>
      </c>
      <c r="I848">
        <v>1.8</v>
      </c>
      <c r="J848">
        <v>50</v>
      </c>
      <c r="K848">
        <v>27.6</v>
      </c>
      <c r="L848">
        <v>482.3</v>
      </c>
      <c r="M848">
        <v>499</v>
      </c>
      <c r="N848">
        <v>451</v>
      </c>
      <c r="O848">
        <v>547</v>
      </c>
      <c r="P848">
        <v>96</v>
      </c>
      <c r="Q848">
        <v>411</v>
      </c>
      <c r="R848">
        <v>599</v>
      </c>
      <c r="S848">
        <v>188</v>
      </c>
      <c r="T848">
        <v>144.9</v>
      </c>
      <c r="U848">
        <v>426</v>
      </c>
      <c r="V848">
        <v>418</v>
      </c>
      <c r="W848">
        <v>500</v>
      </c>
      <c r="X848">
        <v>2.79</v>
      </c>
    </row>
    <row r="849" spans="1:24" hidden="1" outlineLevel="2" x14ac:dyDescent="0.25">
      <c r="A849" t="str">
        <f t="shared" si="126"/>
        <v>AK7 - 1997</v>
      </c>
      <c r="B849" t="s">
        <v>36</v>
      </c>
      <c r="C849">
        <v>13</v>
      </c>
      <c r="D849">
        <v>12</v>
      </c>
      <c r="E849">
        <v>1997</v>
      </c>
      <c r="F849">
        <v>137.30000000000001</v>
      </c>
      <c r="G849">
        <v>9.3000000000000007</v>
      </c>
      <c r="H849">
        <v>7.2</v>
      </c>
      <c r="I849">
        <v>2.1</v>
      </c>
      <c r="J849">
        <v>22</v>
      </c>
      <c r="K849">
        <v>77.5</v>
      </c>
      <c r="L849">
        <v>592.20000000000005</v>
      </c>
      <c r="M849">
        <v>429</v>
      </c>
      <c r="N849">
        <v>394</v>
      </c>
      <c r="O849">
        <v>548</v>
      </c>
      <c r="P849">
        <v>154</v>
      </c>
      <c r="Q849">
        <v>335</v>
      </c>
      <c r="R849">
        <v>569</v>
      </c>
      <c r="S849">
        <v>234</v>
      </c>
      <c r="T849">
        <v>226.2</v>
      </c>
      <c r="U849">
        <v>428</v>
      </c>
      <c r="V849">
        <v>431</v>
      </c>
      <c r="W849">
        <v>500</v>
      </c>
      <c r="X849">
        <v>2.79</v>
      </c>
    </row>
    <row r="850" spans="1:24" hidden="1" outlineLevel="2" x14ac:dyDescent="0.25">
      <c r="A850" t="str">
        <f t="shared" si="126"/>
        <v>AK7 - 1997</v>
      </c>
      <c r="B850" t="s">
        <v>36</v>
      </c>
      <c r="C850">
        <v>14</v>
      </c>
      <c r="D850">
        <v>12</v>
      </c>
      <c r="E850">
        <v>1997</v>
      </c>
      <c r="F850">
        <v>159.30000000000001</v>
      </c>
      <c r="G850">
        <v>12.3</v>
      </c>
      <c r="H850">
        <v>11.7</v>
      </c>
      <c r="I850">
        <v>0.6</v>
      </c>
      <c r="J850">
        <v>4</v>
      </c>
      <c r="K850">
        <v>118.4</v>
      </c>
      <c r="L850">
        <v>797.2</v>
      </c>
      <c r="M850">
        <v>381</v>
      </c>
      <c r="N850">
        <v>373</v>
      </c>
      <c r="O850">
        <v>524</v>
      </c>
      <c r="P850">
        <v>151</v>
      </c>
      <c r="Q850">
        <v>320</v>
      </c>
      <c r="R850">
        <v>545</v>
      </c>
      <c r="S850">
        <v>225</v>
      </c>
      <c r="T850">
        <v>193.2</v>
      </c>
      <c r="U850">
        <v>390</v>
      </c>
      <c r="V850">
        <v>377</v>
      </c>
      <c r="W850">
        <v>500</v>
      </c>
      <c r="X850">
        <v>2.79</v>
      </c>
    </row>
    <row r="851" spans="1:24" hidden="1" outlineLevel="2" x14ac:dyDescent="0.25">
      <c r="A851" t="str">
        <f t="shared" si="126"/>
        <v>AK7 - 1997</v>
      </c>
      <c r="B851" t="s">
        <v>36</v>
      </c>
      <c r="C851">
        <v>15</v>
      </c>
      <c r="D851">
        <v>12</v>
      </c>
      <c r="E851">
        <v>1997</v>
      </c>
      <c r="F851">
        <v>139.1</v>
      </c>
      <c r="G851">
        <v>10.5</v>
      </c>
      <c r="H851">
        <v>9.9</v>
      </c>
      <c r="I851">
        <v>0.6</v>
      </c>
      <c r="J851">
        <v>5</v>
      </c>
      <c r="K851">
        <v>88.3</v>
      </c>
      <c r="L851">
        <v>607.9</v>
      </c>
      <c r="M851">
        <v>395</v>
      </c>
      <c r="N851">
        <v>388</v>
      </c>
      <c r="O851">
        <v>509</v>
      </c>
      <c r="P851">
        <v>121</v>
      </c>
      <c r="Q851">
        <v>328</v>
      </c>
      <c r="R851">
        <v>517</v>
      </c>
      <c r="S851">
        <v>189</v>
      </c>
      <c r="T851">
        <v>172.5</v>
      </c>
      <c r="U851">
        <v>414</v>
      </c>
      <c r="V851">
        <v>397</v>
      </c>
      <c r="W851">
        <v>500</v>
      </c>
      <c r="X851">
        <v>2.79</v>
      </c>
    </row>
    <row r="852" spans="1:24" outlineLevel="1" collapsed="1" x14ac:dyDescent="0.25">
      <c r="A852" s="8" t="s">
        <v>100</v>
      </c>
      <c r="D852">
        <f t="shared" ref="D852:V852" si="127">SUBTOTAL(1,D838:D851)</f>
        <v>11.785714285714286</v>
      </c>
      <c r="E852">
        <f t="shared" si="127"/>
        <v>1997</v>
      </c>
      <c r="F852">
        <f t="shared" si="127"/>
        <v>141.96428571428572</v>
      </c>
      <c r="G852">
        <f t="shared" si="127"/>
        <v>10.842857142857143</v>
      </c>
      <c r="H852">
        <f t="shared" si="127"/>
        <v>9.6857142857142851</v>
      </c>
      <c r="I852">
        <f t="shared" si="127"/>
        <v>1.1571428571428573</v>
      </c>
      <c r="J852">
        <f t="shared" si="127"/>
        <v>12.857142857142858</v>
      </c>
      <c r="K852">
        <f t="shared" si="127"/>
        <v>94.25</v>
      </c>
      <c r="L852">
        <f t="shared" si="127"/>
        <v>646</v>
      </c>
      <c r="M852">
        <f t="shared" si="127"/>
        <v>403.28571428571428</v>
      </c>
      <c r="N852">
        <f t="shared" si="127"/>
        <v>385.14285714285717</v>
      </c>
      <c r="O852">
        <f t="shared" si="127"/>
        <v>532.14285714285711</v>
      </c>
      <c r="P852">
        <f t="shared" si="127"/>
        <v>147</v>
      </c>
      <c r="Q852">
        <f t="shared" si="127"/>
        <v>330.5</v>
      </c>
      <c r="R852">
        <f t="shared" si="127"/>
        <v>552.28571428571433</v>
      </c>
      <c r="S852">
        <f t="shared" si="127"/>
        <v>221.78571428571428</v>
      </c>
      <c r="T852">
        <f t="shared" si="127"/>
        <v>202.39285714285711</v>
      </c>
      <c r="U852">
        <f t="shared" si="127"/>
        <v>405.85714285714283</v>
      </c>
      <c r="V852">
        <f t="shared" si="127"/>
        <v>400.78571428571428</v>
      </c>
    </row>
    <row r="853" spans="1:24" hidden="1" outlineLevel="2" x14ac:dyDescent="0.25">
      <c r="A853" t="str">
        <f t="shared" ref="A853:A866" si="128">CONCATENATE(B853," - ",E853)</f>
        <v>AK7 - 1998</v>
      </c>
      <c r="B853" t="s">
        <v>36</v>
      </c>
      <c r="C853">
        <v>1</v>
      </c>
      <c r="D853">
        <v>13</v>
      </c>
      <c r="E853">
        <v>1998</v>
      </c>
      <c r="F853">
        <v>151.9</v>
      </c>
      <c r="G853">
        <v>6</v>
      </c>
      <c r="H853">
        <v>4.5</v>
      </c>
      <c r="I853">
        <v>1.5</v>
      </c>
      <c r="J853">
        <v>25</v>
      </c>
      <c r="K853">
        <v>56.1</v>
      </c>
      <c r="L853">
        <v>724.9</v>
      </c>
      <c r="M853">
        <v>451</v>
      </c>
      <c r="N853">
        <v>424</v>
      </c>
      <c r="O853">
        <v>530</v>
      </c>
      <c r="P853">
        <v>106</v>
      </c>
      <c r="Q853">
        <v>373</v>
      </c>
      <c r="R853">
        <v>572</v>
      </c>
      <c r="S853">
        <v>199</v>
      </c>
      <c r="T853">
        <v>184.2</v>
      </c>
      <c r="U853">
        <v>438</v>
      </c>
      <c r="V853">
        <v>433</v>
      </c>
      <c r="W853">
        <v>500</v>
      </c>
      <c r="X853">
        <v>2.79</v>
      </c>
    </row>
    <row r="854" spans="1:24" hidden="1" outlineLevel="2" x14ac:dyDescent="0.25">
      <c r="A854" t="str">
        <f t="shared" si="128"/>
        <v>AK7 - 1998</v>
      </c>
      <c r="B854" t="s">
        <v>36</v>
      </c>
      <c r="C854">
        <v>2</v>
      </c>
      <c r="D854">
        <v>13</v>
      </c>
      <c r="E854">
        <v>1998</v>
      </c>
      <c r="F854">
        <v>130</v>
      </c>
      <c r="G854">
        <v>8.6999999999999993</v>
      </c>
      <c r="H854">
        <v>6.9</v>
      </c>
      <c r="I854">
        <v>1.8</v>
      </c>
      <c r="J854">
        <v>20</v>
      </c>
      <c r="K854">
        <v>68.7</v>
      </c>
      <c r="L854">
        <v>530.9</v>
      </c>
      <c r="M854">
        <v>443</v>
      </c>
      <c r="N854">
        <v>423</v>
      </c>
      <c r="O854">
        <v>522</v>
      </c>
      <c r="P854">
        <v>99</v>
      </c>
      <c r="Q854">
        <v>370</v>
      </c>
      <c r="R854">
        <v>537</v>
      </c>
      <c r="S854">
        <v>167</v>
      </c>
      <c r="T854">
        <v>195.9</v>
      </c>
      <c r="U854">
        <v>414</v>
      </c>
      <c r="V854">
        <v>411</v>
      </c>
      <c r="W854">
        <v>500</v>
      </c>
      <c r="X854">
        <v>2.79</v>
      </c>
    </row>
    <row r="855" spans="1:24" hidden="1" outlineLevel="2" x14ac:dyDescent="0.25">
      <c r="A855" t="str">
        <f t="shared" si="128"/>
        <v>AK7 - 1998</v>
      </c>
      <c r="B855" t="s">
        <v>36</v>
      </c>
      <c r="C855">
        <v>3</v>
      </c>
      <c r="D855">
        <v>13</v>
      </c>
      <c r="E855">
        <v>1998</v>
      </c>
      <c r="F855">
        <v>199</v>
      </c>
      <c r="G855">
        <v>6.6</v>
      </c>
      <c r="H855">
        <v>6.3</v>
      </c>
      <c r="I855">
        <v>0.3</v>
      </c>
      <c r="J855">
        <v>4</v>
      </c>
      <c r="K855">
        <v>81.2</v>
      </c>
      <c r="L855">
        <v>1244.0999999999999</v>
      </c>
      <c r="M855">
        <v>361</v>
      </c>
      <c r="N855">
        <v>354</v>
      </c>
      <c r="O855">
        <v>511</v>
      </c>
      <c r="P855">
        <v>157</v>
      </c>
      <c r="Q855">
        <v>325</v>
      </c>
      <c r="R855">
        <v>511</v>
      </c>
      <c r="S855">
        <v>186</v>
      </c>
      <c r="T855">
        <v>252.9</v>
      </c>
      <c r="U855">
        <v>370</v>
      </c>
      <c r="V855">
        <v>365</v>
      </c>
      <c r="W855">
        <v>500</v>
      </c>
      <c r="X855">
        <v>2.79</v>
      </c>
    </row>
    <row r="856" spans="1:24" hidden="1" outlineLevel="2" x14ac:dyDescent="0.25">
      <c r="A856" t="str">
        <f t="shared" si="128"/>
        <v>AK7 - 1998</v>
      </c>
      <c r="B856" t="s">
        <v>36</v>
      </c>
      <c r="C856">
        <v>5</v>
      </c>
      <c r="D856">
        <v>13</v>
      </c>
      <c r="E856">
        <v>1998</v>
      </c>
      <c r="F856">
        <v>163.80000000000001</v>
      </c>
      <c r="G856">
        <v>7.5</v>
      </c>
      <c r="H856">
        <v>6.6</v>
      </c>
      <c r="I856">
        <v>0.9</v>
      </c>
      <c r="J856">
        <v>12</v>
      </c>
      <c r="K856">
        <v>75.400000000000006</v>
      </c>
      <c r="L856">
        <v>842.9</v>
      </c>
      <c r="M856">
        <v>429</v>
      </c>
      <c r="N856">
        <v>416</v>
      </c>
      <c r="O856">
        <v>522</v>
      </c>
      <c r="P856">
        <v>106</v>
      </c>
      <c r="Q856">
        <v>362</v>
      </c>
      <c r="R856">
        <v>536</v>
      </c>
      <c r="S856">
        <v>174</v>
      </c>
      <c r="T856">
        <v>221.1</v>
      </c>
      <c r="U856">
        <v>426</v>
      </c>
      <c r="V856">
        <v>420</v>
      </c>
      <c r="W856">
        <v>500</v>
      </c>
      <c r="X856">
        <v>2.79</v>
      </c>
    </row>
    <row r="857" spans="1:24" hidden="1" outlineLevel="2" x14ac:dyDescent="0.25">
      <c r="A857" t="str">
        <f t="shared" si="128"/>
        <v>AK7 - 1998</v>
      </c>
      <c r="B857" t="s">
        <v>36</v>
      </c>
      <c r="C857">
        <v>6</v>
      </c>
      <c r="D857">
        <v>13</v>
      </c>
      <c r="E857">
        <v>1998</v>
      </c>
      <c r="F857">
        <v>152.1</v>
      </c>
      <c r="G857">
        <v>6.3</v>
      </c>
      <c r="H857">
        <v>6</v>
      </c>
      <c r="I857">
        <v>0.3</v>
      </c>
      <c r="J857">
        <v>4</v>
      </c>
      <c r="K857">
        <v>59</v>
      </c>
      <c r="L857">
        <v>726.8</v>
      </c>
      <c r="M857">
        <v>382</v>
      </c>
      <c r="N857">
        <v>374</v>
      </c>
      <c r="O857">
        <v>535</v>
      </c>
      <c r="P857">
        <v>161</v>
      </c>
      <c r="Q857">
        <v>286</v>
      </c>
      <c r="R857">
        <v>535</v>
      </c>
      <c r="S857">
        <v>249</v>
      </c>
      <c r="T857">
        <v>181.2</v>
      </c>
      <c r="U857">
        <v>379</v>
      </c>
      <c r="V857">
        <v>374</v>
      </c>
      <c r="W857">
        <v>500</v>
      </c>
      <c r="X857">
        <v>2.79</v>
      </c>
    </row>
    <row r="858" spans="1:24" hidden="1" outlineLevel="2" x14ac:dyDescent="0.25">
      <c r="A858" t="str">
        <f t="shared" si="128"/>
        <v>AK7 - 1998</v>
      </c>
      <c r="B858" t="s">
        <v>36</v>
      </c>
      <c r="C858">
        <v>7</v>
      </c>
      <c r="D858">
        <v>13</v>
      </c>
      <c r="E858">
        <v>1998</v>
      </c>
      <c r="F858">
        <v>156.19999999999999</v>
      </c>
      <c r="G858">
        <v>11.1</v>
      </c>
      <c r="H858">
        <v>9.9</v>
      </c>
      <c r="I858">
        <v>1.2</v>
      </c>
      <c r="J858">
        <v>10</v>
      </c>
      <c r="K858">
        <v>105.1</v>
      </c>
      <c r="L858">
        <v>766.5</v>
      </c>
      <c r="M858">
        <v>375</v>
      </c>
      <c r="N858">
        <v>358</v>
      </c>
      <c r="O858">
        <v>515</v>
      </c>
      <c r="P858">
        <v>157</v>
      </c>
      <c r="Q858">
        <v>284</v>
      </c>
      <c r="R858">
        <v>533</v>
      </c>
      <c r="S858">
        <v>249</v>
      </c>
      <c r="T858">
        <v>278.39999999999998</v>
      </c>
      <c r="U858">
        <v>367</v>
      </c>
      <c r="V858">
        <v>372</v>
      </c>
      <c r="W858">
        <v>500</v>
      </c>
      <c r="X858">
        <v>2.79</v>
      </c>
    </row>
    <row r="859" spans="1:24" hidden="1" outlineLevel="2" x14ac:dyDescent="0.25">
      <c r="A859" t="str">
        <f t="shared" si="128"/>
        <v>AK7 - 1998</v>
      </c>
      <c r="B859" t="s">
        <v>36</v>
      </c>
      <c r="C859">
        <v>8</v>
      </c>
      <c r="D859">
        <v>13</v>
      </c>
      <c r="E859">
        <v>1998</v>
      </c>
      <c r="F859">
        <v>155.19999999999999</v>
      </c>
      <c r="G859">
        <v>8.6999999999999993</v>
      </c>
      <c r="H859">
        <v>7.8</v>
      </c>
      <c r="I859">
        <v>0.9</v>
      </c>
      <c r="J859">
        <v>10</v>
      </c>
      <c r="K859">
        <v>82.5</v>
      </c>
      <c r="L859">
        <v>756.7</v>
      </c>
      <c r="M859">
        <v>419</v>
      </c>
      <c r="N859">
        <v>404</v>
      </c>
      <c r="O859">
        <v>550</v>
      </c>
      <c r="P859">
        <v>146</v>
      </c>
      <c r="Q859">
        <v>352</v>
      </c>
      <c r="R859">
        <v>569</v>
      </c>
      <c r="S859">
        <v>217</v>
      </c>
      <c r="T859">
        <v>177.9</v>
      </c>
      <c r="U859">
        <v>438</v>
      </c>
      <c r="V859">
        <v>415</v>
      </c>
      <c r="W859">
        <v>500</v>
      </c>
      <c r="X859">
        <v>2.79</v>
      </c>
    </row>
    <row r="860" spans="1:24" hidden="1" outlineLevel="2" x14ac:dyDescent="0.25">
      <c r="A860" t="str">
        <f t="shared" si="128"/>
        <v>AK7 - 1998</v>
      </c>
      <c r="B860" t="s">
        <v>36</v>
      </c>
      <c r="C860">
        <v>9</v>
      </c>
      <c r="D860">
        <v>12</v>
      </c>
      <c r="E860">
        <v>1998</v>
      </c>
      <c r="F860">
        <v>150.69999999999999</v>
      </c>
      <c r="G860">
        <v>9.9</v>
      </c>
      <c r="H860">
        <v>7.8</v>
      </c>
      <c r="I860">
        <v>2.1</v>
      </c>
      <c r="J860">
        <v>21</v>
      </c>
      <c r="K860">
        <v>90.7</v>
      </c>
      <c r="L860">
        <v>713.5</v>
      </c>
      <c r="M860">
        <v>429</v>
      </c>
      <c r="N860">
        <v>398</v>
      </c>
      <c r="O860">
        <v>545</v>
      </c>
      <c r="P860">
        <v>147</v>
      </c>
      <c r="Q860">
        <v>336</v>
      </c>
      <c r="R860">
        <v>576</v>
      </c>
      <c r="S860">
        <v>240</v>
      </c>
      <c r="T860">
        <v>227.1</v>
      </c>
      <c r="U860">
        <v>411</v>
      </c>
      <c r="V860">
        <v>418</v>
      </c>
      <c r="W860">
        <v>500</v>
      </c>
      <c r="X860">
        <v>2.79</v>
      </c>
    </row>
    <row r="861" spans="1:24" hidden="1" outlineLevel="2" x14ac:dyDescent="0.25">
      <c r="A861" t="str">
        <f t="shared" si="128"/>
        <v>AK7 - 1998</v>
      </c>
      <c r="B861" t="s">
        <v>36</v>
      </c>
      <c r="C861">
        <v>10</v>
      </c>
      <c r="D861">
        <v>12</v>
      </c>
      <c r="E861">
        <v>1998</v>
      </c>
      <c r="F861">
        <v>145</v>
      </c>
      <c r="G861">
        <v>11.1</v>
      </c>
      <c r="H861">
        <v>9.6</v>
      </c>
      <c r="I861">
        <v>1.5</v>
      </c>
      <c r="J861">
        <v>13</v>
      </c>
      <c r="K861">
        <v>97.3</v>
      </c>
      <c r="L861">
        <v>660.5</v>
      </c>
      <c r="M861">
        <v>392</v>
      </c>
      <c r="N861">
        <v>371</v>
      </c>
      <c r="O861">
        <v>525</v>
      </c>
      <c r="P861">
        <v>154</v>
      </c>
      <c r="Q861">
        <v>284</v>
      </c>
      <c r="R861">
        <v>568</v>
      </c>
      <c r="S861">
        <v>284</v>
      </c>
      <c r="T861">
        <v>240.3</v>
      </c>
      <c r="U861">
        <v>373</v>
      </c>
      <c r="V861">
        <v>372</v>
      </c>
      <c r="W861">
        <v>500</v>
      </c>
      <c r="X861">
        <v>2.79</v>
      </c>
    </row>
    <row r="862" spans="1:24" hidden="1" outlineLevel="2" x14ac:dyDescent="0.25">
      <c r="A862" t="str">
        <f t="shared" si="128"/>
        <v>AK7 - 1998</v>
      </c>
      <c r="B862" t="s">
        <v>36</v>
      </c>
      <c r="C862">
        <v>11</v>
      </c>
      <c r="D862">
        <v>12</v>
      </c>
      <c r="E862">
        <v>1998</v>
      </c>
      <c r="F862">
        <v>106.2</v>
      </c>
      <c r="G862">
        <v>6.3</v>
      </c>
      <c r="H862">
        <v>5.7</v>
      </c>
      <c r="I862">
        <v>0.6</v>
      </c>
      <c r="J862">
        <v>9</v>
      </c>
      <c r="K862">
        <v>40.799999999999997</v>
      </c>
      <c r="L862">
        <v>354.3</v>
      </c>
      <c r="M862">
        <v>417</v>
      </c>
      <c r="N862">
        <v>405</v>
      </c>
      <c r="O862">
        <v>532</v>
      </c>
      <c r="P862">
        <v>127</v>
      </c>
      <c r="Q862">
        <v>355</v>
      </c>
      <c r="R862">
        <v>547</v>
      </c>
      <c r="S862">
        <v>192</v>
      </c>
      <c r="T862">
        <v>137.69999999999999</v>
      </c>
      <c r="U862">
        <v>408</v>
      </c>
      <c r="V862">
        <v>408</v>
      </c>
      <c r="W862">
        <v>500</v>
      </c>
      <c r="X862">
        <v>2.79</v>
      </c>
    </row>
    <row r="863" spans="1:24" hidden="1" outlineLevel="2" x14ac:dyDescent="0.25">
      <c r="A863" t="str">
        <f t="shared" si="128"/>
        <v>AK7 - 1998</v>
      </c>
      <c r="B863" t="s">
        <v>36</v>
      </c>
      <c r="C863">
        <v>12</v>
      </c>
      <c r="D863">
        <v>13</v>
      </c>
      <c r="E863">
        <v>1998</v>
      </c>
      <c r="F863">
        <v>128.69999999999999</v>
      </c>
      <c r="G863">
        <v>4.8</v>
      </c>
      <c r="H863">
        <v>3</v>
      </c>
      <c r="I863">
        <v>1.8</v>
      </c>
      <c r="J863">
        <v>37</v>
      </c>
      <c r="K863">
        <v>38.1</v>
      </c>
      <c r="L863">
        <v>520.4</v>
      </c>
      <c r="M863">
        <v>465</v>
      </c>
      <c r="N863">
        <v>425</v>
      </c>
      <c r="O863">
        <v>532</v>
      </c>
      <c r="P863">
        <v>107</v>
      </c>
      <c r="Q863">
        <v>372</v>
      </c>
      <c r="R863">
        <v>563</v>
      </c>
      <c r="S863">
        <v>191</v>
      </c>
      <c r="T863">
        <v>144.9</v>
      </c>
      <c r="U863">
        <v>426</v>
      </c>
      <c r="V863">
        <v>418</v>
      </c>
      <c r="W863">
        <v>500</v>
      </c>
      <c r="X863">
        <v>2.79</v>
      </c>
    </row>
    <row r="864" spans="1:24" hidden="1" outlineLevel="2" x14ac:dyDescent="0.25">
      <c r="A864" t="str">
        <f t="shared" si="128"/>
        <v>AK7 - 1998</v>
      </c>
      <c r="B864" t="s">
        <v>36</v>
      </c>
      <c r="C864">
        <v>13</v>
      </c>
      <c r="D864">
        <v>13</v>
      </c>
      <c r="E864">
        <v>1998</v>
      </c>
      <c r="F864">
        <v>144.5</v>
      </c>
      <c r="G864">
        <v>7.2</v>
      </c>
      <c r="H864">
        <v>4.8</v>
      </c>
      <c r="I864">
        <v>2.4</v>
      </c>
      <c r="J864">
        <v>33</v>
      </c>
      <c r="K864">
        <v>63.7</v>
      </c>
      <c r="L864">
        <v>656</v>
      </c>
      <c r="M864">
        <v>443</v>
      </c>
      <c r="N864">
        <v>389</v>
      </c>
      <c r="O864">
        <v>551</v>
      </c>
      <c r="P864">
        <v>162</v>
      </c>
      <c r="Q864">
        <v>347</v>
      </c>
      <c r="R864">
        <v>591</v>
      </c>
      <c r="S864">
        <v>244</v>
      </c>
      <c r="T864">
        <v>226.2</v>
      </c>
      <c r="U864">
        <v>428</v>
      </c>
      <c r="V864">
        <v>431</v>
      </c>
      <c r="W864">
        <v>500</v>
      </c>
      <c r="X864">
        <v>2.79</v>
      </c>
    </row>
    <row r="865" spans="1:24" hidden="1" outlineLevel="2" x14ac:dyDescent="0.25">
      <c r="A865" t="str">
        <f t="shared" si="128"/>
        <v>AK7 - 1998</v>
      </c>
      <c r="B865" t="s">
        <v>36</v>
      </c>
      <c r="C865">
        <v>14</v>
      </c>
      <c r="D865">
        <v>13</v>
      </c>
      <c r="E865">
        <v>1998</v>
      </c>
      <c r="F865">
        <v>167.1</v>
      </c>
      <c r="G865">
        <v>7.8</v>
      </c>
      <c r="H865">
        <v>6.6</v>
      </c>
      <c r="I865">
        <v>1.2</v>
      </c>
      <c r="J865">
        <v>15</v>
      </c>
      <c r="K865">
        <v>80</v>
      </c>
      <c r="L865">
        <v>877.2</v>
      </c>
      <c r="M865">
        <v>396</v>
      </c>
      <c r="N865">
        <v>373</v>
      </c>
      <c r="O865">
        <v>527</v>
      </c>
      <c r="P865">
        <v>154</v>
      </c>
      <c r="Q865">
        <v>302</v>
      </c>
      <c r="R865">
        <v>543</v>
      </c>
      <c r="S865">
        <v>241</v>
      </c>
      <c r="T865">
        <v>193.2</v>
      </c>
      <c r="U865">
        <v>390</v>
      </c>
      <c r="V865">
        <v>377</v>
      </c>
      <c r="W865">
        <v>500</v>
      </c>
      <c r="X865">
        <v>2.79</v>
      </c>
    </row>
    <row r="866" spans="1:24" hidden="1" outlineLevel="2" x14ac:dyDescent="0.25">
      <c r="A866" t="str">
        <f t="shared" si="128"/>
        <v>AK7 - 1998</v>
      </c>
      <c r="B866" t="s">
        <v>36</v>
      </c>
      <c r="C866">
        <v>15</v>
      </c>
      <c r="D866">
        <v>13</v>
      </c>
      <c r="E866">
        <v>1998</v>
      </c>
      <c r="F866">
        <v>146.6</v>
      </c>
      <c r="G866">
        <v>7.5</v>
      </c>
      <c r="H866">
        <v>7.5</v>
      </c>
      <c r="I866">
        <v>0</v>
      </c>
      <c r="J866">
        <v>0</v>
      </c>
      <c r="K866">
        <v>67.3</v>
      </c>
      <c r="L866">
        <v>675.2</v>
      </c>
      <c r="M866">
        <v>407</v>
      </c>
      <c r="N866">
        <v>407</v>
      </c>
      <c r="Q866">
        <v>337</v>
      </c>
      <c r="R866">
        <v>488</v>
      </c>
      <c r="S866">
        <v>151</v>
      </c>
      <c r="T866">
        <v>172.5</v>
      </c>
      <c r="U866">
        <v>414</v>
      </c>
      <c r="V866">
        <v>397</v>
      </c>
      <c r="W866">
        <v>500</v>
      </c>
      <c r="X866">
        <v>2.79</v>
      </c>
    </row>
    <row r="867" spans="1:24" outlineLevel="1" collapsed="1" x14ac:dyDescent="0.25">
      <c r="A867" s="8" t="s">
        <v>101</v>
      </c>
      <c r="D867">
        <f t="shared" ref="D867:V867" si="129">SUBTOTAL(1,D853:D866)</f>
        <v>12.785714285714286</v>
      </c>
      <c r="E867">
        <f t="shared" si="129"/>
        <v>1998</v>
      </c>
      <c r="F867">
        <f t="shared" si="129"/>
        <v>149.78571428571428</v>
      </c>
      <c r="G867">
        <f t="shared" si="129"/>
        <v>7.8214285714285703</v>
      </c>
      <c r="H867">
        <f t="shared" si="129"/>
        <v>6.6428571428571415</v>
      </c>
      <c r="I867">
        <f t="shared" si="129"/>
        <v>1.1785714285714286</v>
      </c>
      <c r="J867">
        <f t="shared" si="129"/>
        <v>15.214285714285714</v>
      </c>
      <c r="K867">
        <f t="shared" si="129"/>
        <v>71.849999999999994</v>
      </c>
      <c r="L867">
        <f t="shared" si="129"/>
        <v>717.85000000000014</v>
      </c>
      <c r="M867">
        <f t="shared" si="129"/>
        <v>414.92857142857144</v>
      </c>
      <c r="N867">
        <f t="shared" si="129"/>
        <v>394.35714285714283</v>
      </c>
      <c r="O867">
        <f t="shared" si="129"/>
        <v>530.53846153846155</v>
      </c>
      <c r="P867">
        <f t="shared" si="129"/>
        <v>137.15384615384616</v>
      </c>
      <c r="Q867">
        <f t="shared" si="129"/>
        <v>334.64285714285717</v>
      </c>
      <c r="R867">
        <f t="shared" si="129"/>
        <v>547.78571428571433</v>
      </c>
      <c r="S867">
        <f t="shared" si="129"/>
        <v>213.14285714285714</v>
      </c>
      <c r="T867">
        <f t="shared" si="129"/>
        <v>202.39285714285711</v>
      </c>
      <c r="U867">
        <f t="shared" si="129"/>
        <v>405.85714285714283</v>
      </c>
      <c r="V867">
        <f t="shared" si="129"/>
        <v>400.78571428571428</v>
      </c>
    </row>
    <row r="868" spans="1:24" hidden="1" outlineLevel="2" x14ac:dyDescent="0.25">
      <c r="A868" t="str">
        <f t="shared" ref="A868:A881" si="130">CONCATENATE(B868," - ",E868)</f>
        <v>AK7 - 1999</v>
      </c>
      <c r="B868" t="s">
        <v>36</v>
      </c>
      <c r="C868">
        <v>1</v>
      </c>
      <c r="D868">
        <v>14</v>
      </c>
      <c r="E868">
        <v>1999</v>
      </c>
      <c r="F868">
        <v>158.5</v>
      </c>
      <c r="G868">
        <v>6.6</v>
      </c>
      <c r="H868">
        <v>6.3</v>
      </c>
      <c r="I868">
        <v>0.3</v>
      </c>
      <c r="J868">
        <v>4</v>
      </c>
      <c r="K868">
        <v>64.400000000000006</v>
      </c>
      <c r="L868">
        <v>789.2</v>
      </c>
      <c r="M868">
        <v>448</v>
      </c>
      <c r="N868">
        <v>444</v>
      </c>
      <c r="O868">
        <v>534</v>
      </c>
      <c r="P868">
        <v>90</v>
      </c>
      <c r="Q868">
        <v>375</v>
      </c>
      <c r="R868">
        <v>534</v>
      </c>
      <c r="S868">
        <v>159</v>
      </c>
      <c r="T868">
        <v>184.2</v>
      </c>
      <c r="U868">
        <v>438</v>
      </c>
      <c r="V868">
        <v>433</v>
      </c>
      <c r="W868">
        <v>500</v>
      </c>
      <c r="X868">
        <v>2.79</v>
      </c>
    </row>
    <row r="869" spans="1:24" hidden="1" outlineLevel="2" x14ac:dyDescent="0.25">
      <c r="A869" t="str">
        <f t="shared" si="130"/>
        <v>AK7 - 1999</v>
      </c>
      <c r="B869" t="s">
        <v>36</v>
      </c>
      <c r="C869">
        <v>2</v>
      </c>
      <c r="D869">
        <v>14</v>
      </c>
      <c r="E869">
        <v>1999</v>
      </c>
      <c r="F869">
        <v>140.5</v>
      </c>
      <c r="G869">
        <v>10.5</v>
      </c>
      <c r="H869">
        <v>9.6</v>
      </c>
      <c r="I869">
        <v>0.9</v>
      </c>
      <c r="J869">
        <v>8</v>
      </c>
      <c r="K869">
        <v>89.2</v>
      </c>
      <c r="L869">
        <v>620.20000000000005</v>
      </c>
      <c r="M869">
        <v>408</v>
      </c>
      <c r="N869">
        <v>396</v>
      </c>
      <c r="O869">
        <v>527</v>
      </c>
      <c r="P869">
        <v>131</v>
      </c>
      <c r="Q869">
        <v>348</v>
      </c>
      <c r="R869">
        <v>549</v>
      </c>
      <c r="S869">
        <v>201</v>
      </c>
      <c r="T869">
        <v>195.9</v>
      </c>
      <c r="U869">
        <v>414</v>
      </c>
      <c r="V869">
        <v>411</v>
      </c>
      <c r="W869">
        <v>500</v>
      </c>
      <c r="X869">
        <v>2.79</v>
      </c>
    </row>
    <row r="870" spans="1:24" hidden="1" outlineLevel="2" x14ac:dyDescent="0.25">
      <c r="A870" t="str">
        <f t="shared" si="130"/>
        <v>AK7 - 1999</v>
      </c>
      <c r="B870" t="s">
        <v>36</v>
      </c>
      <c r="C870">
        <v>3</v>
      </c>
      <c r="D870">
        <v>14</v>
      </c>
      <c r="E870">
        <v>1999</v>
      </c>
      <c r="F870">
        <v>208.6</v>
      </c>
      <c r="G870">
        <v>9.6</v>
      </c>
      <c r="H870">
        <v>9.3000000000000007</v>
      </c>
      <c r="I870">
        <v>0.3</v>
      </c>
      <c r="J870">
        <v>3</v>
      </c>
      <c r="K870">
        <v>122.9</v>
      </c>
      <c r="L870">
        <v>1367</v>
      </c>
      <c r="M870">
        <v>360</v>
      </c>
      <c r="N870">
        <v>355</v>
      </c>
      <c r="O870">
        <v>526</v>
      </c>
      <c r="P870">
        <v>171</v>
      </c>
      <c r="Q870">
        <v>294</v>
      </c>
      <c r="R870">
        <v>526</v>
      </c>
      <c r="S870">
        <v>232</v>
      </c>
      <c r="T870">
        <v>252.9</v>
      </c>
      <c r="U870">
        <v>370</v>
      </c>
      <c r="V870">
        <v>365</v>
      </c>
      <c r="W870">
        <v>500</v>
      </c>
      <c r="X870">
        <v>2.79</v>
      </c>
    </row>
    <row r="871" spans="1:24" hidden="1" outlineLevel="2" x14ac:dyDescent="0.25">
      <c r="A871" t="str">
        <f t="shared" si="130"/>
        <v>AK7 - 1999</v>
      </c>
      <c r="B871" t="s">
        <v>36</v>
      </c>
      <c r="C871">
        <v>5</v>
      </c>
      <c r="D871">
        <v>14</v>
      </c>
      <c r="E871">
        <v>1999</v>
      </c>
      <c r="F871">
        <v>171.6</v>
      </c>
      <c r="G871">
        <v>7.8</v>
      </c>
      <c r="H871">
        <v>7.2</v>
      </c>
      <c r="I871">
        <v>0.6</v>
      </c>
      <c r="J871">
        <v>7</v>
      </c>
      <c r="K871">
        <v>82.2</v>
      </c>
      <c r="L871">
        <v>925.1</v>
      </c>
      <c r="M871">
        <v>398</v>
      </c>
      <c r="N871">
        <v>388</v>
      </c>
      <c r="O871">
        <v>522</v>
      </c>
      <c r="P871">
        <v>134</v>
      </c>
      <c r="Q871">
        <v>349</v>
      </c>
      <c r="R871">
        <v>529</v>
      </c>
      <c r="S871">
        <v>180</v>
      </c>
      <c r="T871">
        <v>221.1</v>
      </c>
      <c r="U871">
        <v>426</v>
      </c>
      <c r="V871">
        <v>420</v>
      </c>
      <c r="W871">
        <v>500</v>
      </c>
      <c r="X871">
        <v>2.79</v>
      </c>
    </row>
    <row r="872" spans="1:24" hidden="1" outlineLevel="2" x14ac:dyDescent="0.25">
      <c r="A872" t="str">
        <f t="shared" si="130"/>
        <v>AK7 - 1999</v>
      </c>
      <c r="B872" t="s">
        <v>36</v>
      </c>
      <c r="C872">
        <v>6</v>
      </c>
      <c r="D872">
        <v>14</v>
      </c>
      <c r="E872">
        <v>1999</v>
      </c>
      <c r="F872">
        <v>159</v>
      </c>
      <c r="G872">
        <v>6.9</v>
      </c>
      <c r="H872">
        <v>6.6</v>
      </c>
      <c r="I872">
        <v>0.3</v>
      </c>
      <c r="J872">
        <v>4</v>
      </c>
      <c r="K872">
        <v>67.400000000000006</v>
      </c>
      <c r="L872">
        <v>794.2</v>
      </c>
      <c r="M872">
        <v>403</v>
      </c>
      <c r="N872">
        <v>397</v>
      </c>
      <c r="O872">
        <v>529</v>
      </c>
      <c r="P872">
        <v>132</v>
      </c>
      <c r="Q872">
        <v>326</v>
      </c>
      <c r="R872">
        <v>529</v>
      </c>
      <c r="S872">
        <v>203</v>
      </c>
      <c r="T872">
        <v>181.2</v>
      </c>
      <c r="U872">
        <v>379</v>
      </c>
      <c r="V872">
        <v>374</v>
      </c>
      <c r="W872">
        <v>500</v>
      </c>
      <c r="X872">
        <v>2.79</v>
      </c>
    </row>
    <row r="873" spans="1:24" hidden="1" outlineLevel="2" x14ac:dyDescent="0.25">
      <c r="A873" t="str">
        <f t="shared" si="130"/>
        <v>AK7 - 1999</v>
      </c>
      <c r="B873" t="s">
        <v>36</v>
      </c>
      <c r="C873">
        <v>7</v>
      </c>
      <c r="D873">
        <v>14</v>
      </c>
      <c r="E873">
        <v>1999</v>
      </c>
      <c r="F873">
        <v>173.6</v>
      </c>
      <c r="G873">
        <v>17.399999999999999</v>
      </c>
      <c r="H873">
        <v>17.100000000000001</v>
      </c>
      <c r="I873">
        <v>0.3</v>
      </c>
      <c r="J873">
        <v>1</v>
      </c>
      <c r="K873">
        <v>180.3</v>
      </c>
      <c r="L873">
        <v>946.8</v>
      </c>
      <c r="M873">
        <v>339</v>
      </c>
      <c r="N873">
        <v>336</v>
      </c>
      <c r="O873">
        <v>511</v>
      </c>
      <c r="P873">
        <v>175</v>
      </c>
      <c r="Q873">
        <v>274</v>
      </c>
      <c r="R873">
        <v>511</v>
      </c>
      <c r="S873">
        <v>237</v>
      </c>
      <c r="T873">
        <v>278.39999999999998</v>
      </c>
      <c r="U873">
        <v>367</v>
      </c>
      <c r="V873">
        <v>372</v>
      </c>
      <c r="W873">
        <v>500</v>
      </c>
      <c r="X873">
        <v>2.79</v>
      </c>
    </row>
    <row r="874" spans="1:24" hidden="1" outlineLevel="2" x14ac:dyDescent="0.25">
      <c r="A874" t="str">
        <f t="shared" si="130"/>
        <v>AK7 - 1999</v>
      </c>
      <c r="B874" t="s">
        <v>36</v>
      </c>
      <c r="C874">
        <v>8</v>
      </c>
      <c r="D874">
        <v>14</v>
      </c>
      <c r="E874">
        <v>1999</v>
      </c>
      <c r="F874">
        <v>161.19999999999999</v>
      </c>
      <c r="G874">
        <v>6</v>
      </c>
      <c r="H874">
        <v>5.0999999999999996</v>
      </c>
      <c r="I874">
        <v>0.9</v>
      </c>
      <c r="J874">
        <v>15</v>
      </c>
      <c r="K874">
        <v>59.6</v>
      </c>
      <c r="L874">
        <v>816.4</v>
      </c>
      <c r="M874">
        <v>442</v>
      </c>
      <c r="N874">
        <v>427</v>
      </c>
      <c r="O874">
        <v>528</v>
      </c>
      <c r="P874">
        <v>101</v>
      </c>
      <c r="Q874">
        <v>343</v>
      </c>
      <c r="R874">
        <v>553</v>
      </c>
      <c r="S874">
        <v>210</v>
      </c>
      <c r="T874">
        <v>177.9</v>
      </c>
      <c r="U874">
        <v>438</v>
      </c>
      <c r="V874">
        <v>415</v>
      </c>
      <c r="W874">
        <v>500</v>
      </c>
      <c r="X874">
        <v>2.79</v>
      </c>
    </row>
    <row r="875" spans="1:24" hidden="1" outlineLevel="2" x14ac:dyDescent="0.25">
      <c r="A875" t="str">
        <f t="shared" si="130"/>
        <v>AK7 - 1999</v>
      </c>
      <c r="B875" t="s">
        <v>36</v>
      </c>
      <c r="C875">
        <v>9</v>
      </c>
      <c r="D875">
        <v>13</v>
      </c>
      <c r="E875">
        <v>1999</v>
      </c>
      <c r="F875">
        <v>160.9</v>
      </c>
      <c r="G875">
        <v>10.199999999999999</v>
      </c>
      <c r="H875">
        <v>9.3000000000000007</v>
      </c>
      <c r="I875">
        <v>0.9</v>
      </c>
      <c r="J875">
        <v>8</v>
      </c>
      <c r="K875">
        <v>99.8</v>
      </c>
      <c r="L875">
        <v>813.3</v>
      </c>
      <c r="M875">
        <v>431</v>
      </c>
      <c r="N875">
        <v>420</v>
      </c>
      <c r="O875">
        <v>538</v>
      </c>
      <c r="P875">
        <v>118</v>
      </c>
      <c r="Q875">
        <v>327</v>
      </c>
      <c r="R875">
        <v>564</v>
      </c>
      <c r="S875">
        <v>237</v>
      </c>
      <c r="T875">
        <v>227.1</v>
      </c>
      <c r="U875">
        <v>411</v>
      </c>
      <c r="V875">
        <v>418</v>
      </c>
      <c r="W875">
        <v>500</v>
      </c>
      <c r="X875">
        <v>2.79</v>
      </c>
    </row>
    <row r="876" spans="1:24" hidden="1" outlineLevel="2" x14ac:dyDescent="0.25">
      <c r="A876" t="str">
        <f t="shared" si="130"/>
        <v>AK7 - 1999</v>
      </c>
      <c r="B876" t="s">
        <v>36</v>
      </c>
      <c r="C876">
        <v>10</v>
      </c>
      <c r="D876">
        <v>13</v>
      </c>
      <c r="E876">
        <v>1999</v>
      </c>
      <c r="F876">
        <v>157</v>
      </c>
      <c r="G876">
        <v>12</v>
      </c>
      <c r="H876">
        <v>12</v>
      </c>
      <c r="I876">
        <v>0</v>
      </c>
      <c r="J876">
        <v>0</v>
      </c>
      <c r="K876">
        <v>113.9</v>
      </c>
      <c r="L876">
        <v>774.4</v>
      </c>
      <c r="M876">
        <v>361</v>
      </c>
      <c r="N876">
        <v>361</v>
      </c>
      <c r="Q876">
        <v>293</v>
      </c>
      <c r="R876">
        <v>494</v>
      </c>
      <c r="S876">
        <v>201</v>
      </c>
      <c r="T876">
        <v>240.3</v>
      </c>
      <c r="U876">
        <v>373</v>
      </c>
      <c r="V876">
        <v>372</v>
      </c>
      <c r="W876">
        <v>500</v>
      </c>
      <c r="X876">
        <v>2.79</v>
      </c>
    </row>
    <row r="877" spans="1:24" hidden="1" outlineLevel="2" x14ac:dyDescent="0.25">
      <c r="A877" t="str">
        <f t="shared" si="130"/>
        <v>AK7 - 1999</v>
      </c>
      <c r="B877" t="s">
        <v>36</v>
      </c>
      <c r="C877">
        <v>11</v>
      </c>
      <c r="D877">
        <v>13</v>
      </c>
      <c r="E877">
        <v>1999</v>
      </c>
      <c r="F877">
        <v>113.4</v>
      </c>
      <c r="G877">
        <v>7.2</v>
      </c>
      <c r="H877">
        <v>7.2</v>
      </c>
      <c r="I877">
        <v>0</v>
      </c>
      <c r="J877">
        <v>0</v>
      </c>
      <c r="K877">
        <v>49.7</v>
      </c>
      <c r="L877">
        <v>404</v>
      </c>
      <c r="M877">
        <v>393</v>
      </c>
      <c r="N877">
        <v>393</v>
      </c>
      <c r="Q877">
        <v>335</v>
      </c>
      <c r="R877">
        <v>489</v>
      </c>
      <c r="S877">
        <v>154</v>
      </c>
      <c r="T877">
        <v>137.69999999999999</v>
      </c>
      <c r="U877">
        <v>408</v>
      </c>
      <c r="V877">
        <v>408</v>
      </c>
      <c r="W877">
        <v>500</v>
      </c>
      <c r="X877">
        <v>2.79</v>
      </c>
    </row>
    <row r="878" spans="1:24" hidden="1" outlineLevel="2" x14ac:dyDescent="0.25">
      <c r="A878" t="str">
        <f t="shared" si="130"/>
        <v>AK7 - 1999</v>
      </c>
      <c r="B878" t="s">
        <v>36</v>
      </c>
      <c r="C878">
        <v>12</v>
      </c>
      <c r="D878">
        <v>14</v>
      </c>
      <c r="E878">
        <v>1999</v>
      </c>
      <c r="F878">
        <v>133.80000000000001</v>
      </c>
      <c r="G878">
        <v>5.0999999999999996</v>
      </c>
      <c r="H878">
        <v>3.9</v>
      </c>
      <c r="I878">
        <v>1.2</v>
      </c>
      <c r="J878">
        <v>23</v>
      </c>
      <c r="K878">
        <v>42.1</v>
      </c>
      <c r="L878">
        <v>562.4</v>
      </c>
      <c r="M878">
        <v>455</v>
      </c>
      <c r="N878">
        <v>432</v>
      </c>
      <c r="O878">
        <v>529</v>
      </c>
      <c r="P878">
        <v>97</v>
      </c>
      <c r="Q878">
        <v>383</v>
      </c>
      <c r="R878">
        <v>539</v>
      </c>
      <c r="S878">
        <v>156</v>
      </c>
      <c r="T878">
        <v>144.9</v>
      </c>
      <c r="U878">
        <v>426</v>
      </c>
      <c r="V878">
        <v>418</v>
      </c>
      <c r="W878">
        <v>500</v>
      </c>
      <c r="X878">
        <v>2.79</v>
      </c>
    </row>
    <row r="879" spans="1:24" hidden="1" outlineLevel="2" x14ac:dyDescent="0.25">
      <c r="A879" t="str">
        <f t="shared" si="130"/>
        <v>AK7 - 1999</v>
      </c>
      <c r="B879" t="s">
        <v>36</v>
      </c>
      <c r="C879">
        <v>13</v>
      </c>
      <c r="D879">
        <v>14</v>
      </c>
      <c r="E879">
        <v>1999</v>
      </c>
      <c r="F879">
        <v>152.30000000000001</v>
      </c>
      <c r="G879">
        <v>7.8</v>
      </c>
      <c r="H879">
        <v>4.2</v>
      </c>
      <c r="I879">
        <v>3.6</v>
      </c>
      <c r="J879">
        <v>46</v>
      </c>
      <c r="K879">
        <v>72.7</v>
      </c>
      <c r="L879">
        <v>728.7</v>
      </c>
      <c r="M879">
        <v>458</v>
      </c>
      <c r="N879">
        <v>393</v>
      </c>
      <c r="O879">
        <v>533</v>
      </c>
      <c r="P879">
        <v>140</v>
      </c>
      <c r="Q879">
        <v>331</v>
      </c>
      <c r="R879">
        <v>579</v>
      </c>
      <c r="S879">
        <v>248</v>
      </c>
      <c r="T879">
        <v>226.2</v>
      </c>
      <c r="U879">
        <v>428</v>
      </c>
      <c r="V879">
        <v>431</v>
      </c>
      <c r="W879">
        <v>500</v>
      </c>
      <c r="X879">
        <v>2.79</v>
      </c>
    </row>
    <row r="880" spans="1:24" hidden="1" outlineLevel="2" x14ac:dyDescent="0.25">
      <c r="A880" t="str">
        <f t="shared" si="130"/>
        <v>AK7 - 1999</v>
      </c>
      <c r="B880" t="s">
        <v>36</v>
      </c>
      <c r="C880">
        <v>14</v>
      </c>
      <c r="D880">
        <v>14</v>
      </c>
      <c r="E880">
        <v>1999</v>
      </c>
      <c r="F880">
        <v>174.9</v>
      </c>
      <c r="G880">
        <v>7.8</v>
      </c>
      <c r="H880">
        <v>7.5</v>
      </c>
      <c r="I880">
        <v>0.3</v>
      </c>
      <c r="J880">
        <v>3</v>
      </c>
      <c r="K880">
        <v>83.8</v>
      </c>
      <c r="L880">
        <v>961</v>
      </c>
      <c r="M880">
        <v>387</v>
      </c>
      <c r="N880">
        <v>381</v>
      </c>
      <c r="O880">
        <v>524</v>
      </c>
      <c r="P880">
        <v>143</v>
      </c>
      <c r="Q880">
        <v>325</v>
      </c>
      <c r="R880">
        <v>524</v>
      </c>
      <c r="S880">
        <v>199</v>
      </c>
      <c r="T880">
        <v>193.2</v>
      </c>
      <c r="U880">
        <v>390</v>
      </c>
      <c r="V880">
        <v>377</v>
      </c>
      <c r="W880">
        <v>500</v>
      </c>
      <c r="X880">
        <v>2.79</v>
      </c>
    </row>
    <row r="881" spans="1:24" hidden="1" outlineLevel="2" x14ac:dyDescent="0.25">
      <c r="A881" t="str">
        <f t="shared" si="130"/>
        <v>AK7 - 1999</v>
      </c>
      <c r="B881" t="s">
        <v>36</v>
      </c>
      <c r="C881">
        <v>15</v>
      </c>
      <c r="D881">
        <v>14</v>
      </c>
      <c r="E881">
        <v>1999</v>
      </c>
      <c r="F881">
        <v>154.4</v>
      </c>
      <c r="G881">
        <v>7.8</v>
      </c>
      <c r="H881">
        <v>7.8</v>
      </c>
      <c r="I881">
        <v>0</v>
      </c>
      <c r="J881">
        <v>0</v>
      </c>
      <c r="K881">
        <v>73.8</v>
      </c>
      <c r="L881">
        <v>748.9</v>
      </c>
      <c r="M881">
        <v>392</v>
      </c>
      <c r="N881">
        <v>392</v>
      </c>
      <c r="Q881">
        <v>328</v>
      </c>
      <c r="R881">
        <v>491</v>
      </c>
      <c r="S881">
        <v>163</v>
      </c>
      <c r="T881">
        <v>172.5</v>
      </c>
      <c r="U881">
        <v>414</v>
      </c>
      <c r="V881">
        <v>397</v>
      </c>
      <c r="W881">
        <v>500</v>
      </c>
      <c r="X881">
        <v>2.79</v>
      </c>
    </row>
    <row r="882" spans="1:24" outlineLevel="1" collapsed="1" x14ac:dyDescent="0.25">
      <c r="A882" s="8" t="s">
        <v>102</v>
      </c>
      <c r="D882">
        <f t="shared" ref="D882:V882" si="131">SUBTOTAL(1,D868:D881)</f>
        <v>13.785714285714286</v>
      </c>
      <c r="E882">
        <f t="shared" si="131"/>
        <v>1999</v>
      </c>
      <c r="F882">
        <f t="shared" si="131"/>
        <v>158.55000000000001</v>
      </c>
      <c r="G882">
        <f t="shared" si="131"/>
        <v>8.7642857142857142</v>
      </c>
      <c r="H882">
        <f t="shared" si="131"/>
        <v>8.0785714285714292</v>
      </c>
      <c r="I882">
        <f t="shared" si="131"/>
        <v>0.68571428571428583</v>
      </c>
      <c r="J882">
        <f t="shared" si="131"/>
        <v>8.7142857142857135</v>
      </c>
      <c r="K882">
        <f t="shared" si="131"/>
        <v>85.842857142857142</v>
      </c>
      <c r="L882">
        <f t="shared" si="131"/>
        <v>803.6857142857142</v>
      </c>
      <c r="M882">
        <f t="shared" si="131"/>
        <v>405.35714285714283</v>
      </c>
      <c r="N882">
        <f t="shared" si="131"/>
        <v>393.92857142857144</v>
      </c>
      <c r="O882">
        <f t="shared" si="131"/>
        <v>527.36363636363637</v>
      </c>
      <c r="P882">
        <f t="shared" si="131"/>
        <v>130.18181818181819</v>
      </c>
      <c r="Q882">
        <f t="shared" si="131"/>
        <v>330.78571428571428</v>
      </c>
      <c r="R882">
        <f t="shared" si="131"/>
        <v>529.35714285714289</v>
      </c>
      <c r="S882">
        <f t="shared" si="131"/>
        <v>198.57142857142858</v>
      </c>
      <c r="T882">
        <f t="shared" si="131"/>
        <v>202.39285714285711</v>
      </c>
      <c r="U882">
        <f t="shared" si="131"/>
        <v>405.85714285714283</v>
      </c>
      <c r="V882">
        <f t="shared" si="131"/>
        <v>400.78571428571428</v>
      </c>
    </row>
    <row r="883" spans="1:24" hidden="1" outlineLevel="2" x14ac:dyDescent="0.25">
      <c r="A883" t="str">
        <f t="shared" ref="A883:A896" si="132">CONCATENATE(B883," - ",E883)</f>
        <v>AK7 - 2000</v>
      </c>
      <c r="B883" t="s">
        <v>36</v>
      </c>
      <c r="C883">
        <v>1</v>
      </c>
      <c r="D883">
        <v>15</v>
      </c>
      <c r="E883">
        <v>2000</v>
      </c>
      <c r="F883">
        <v>166.3</v>
      </c>
      <c r="G883">
        <v>7.8</v>
      </c>
      <c r="H883">
        <v>6.9</v>
      </c>
      <c r="I883">
        <v>0.9</v>
      </c>
      <c r="J883">
        <v>11</v>
      </c>
      <c r="K883">
        <v>79.599999999999994</v>
      </c>
      <c r="L883">
        <v>868.8</v>
      </c>
      <c r="M883">
        <v>444</v>
      </c>
      <c r="N883">
        <v>432</v>
      </c>
      <c r="O883">
        <v>532</v>
      </c>
      <c r="P883">
        <v>100</v>
      </c>
      <c r="Q883">
        <v>362</v>
      </c>
      <c r="R883">
        <v>548</v>
      </c>
      <c r="S883">
        <v>186</v>
      </c>
      <c r="T883">
        <v>184.2</v>
      </c>
      <c r="U883">
        <v>438</v>
      </c>
      <c r="V883">
        <v>433</v>
      </c>
      <c r="W883">
        <v>500</v>
      </c>
      <c r="X883">
        <v>2.79</v>
      </c>
    </row>
    <row r="884" spans="1:24" hidden="1" outlineLevel="2" x14ac:dyDescent="0.25">
      <c r="A884" t="str">
        <f t="shared" si="132"/>
        <v>AK7 - 2000</v>
      </c>
      <c r="B884" t="s">
        <v>36</v>
      </c>
      <c r="C884">
        <v>2</v>
      </c>
      <c r="D884">
        <v>15</v>
      </c>
      <c r="E884">
        <v>2000</v>
      </c>
      <c r="F884">
        <v>151.6</v>
      </c>
      <c r="G884">
        <v>11.1</v>
      </c>
      <c r="H884">
        <v>9.6</v>
      </c>
      <c r="I884">
        <v>1.5</v>
      </c>
      <c r="J884">
        <v>13</v>
      </c>
      <c r="K884">
        <v>101.9</v>
      </c>
      <c r="L884">
        <v>722</v>
      </c>
      <c r="M884">
        <v>393</v>
      </c>
      <c r="N884">
        <v>373</v>
      </c>
      <c r="O884">
        <v>519</v>
      </c>
      <c r="P884">
        <v>146</v>
      </c>
      <c r="Q884">
        <v>325</v>
      </c>
      <c r="R884">
        <v>550</v>
      </c>
      <c r="S884">
        <v>225</v>
      </c>
      <c r="T884">
        <v>195.9</v>
      </c>
      <c r="U884">
        <v>414</v>
      </c>
      <c r="V884">
        <v>411</v>
      </c>
      <c r="W884">
        <v>500</v>
      </c>
      <c r="X884">
        <v>2.79</v>
      </c>
    </row>
    <row r="885" spans="1:24" hidden="1" outlineLevel="2" x14ac:dyDescent="0.25">
      <c r="A885" t="str">
        <f t="shared" si="132"/>
        <v>AK7 - 2000</v>
      </c>
      <c r="B885" t="s">
        <v>36</v>
      </c>
      <c r="C885">
        <v>3</v>
      </c>
      <c r="D885">
        <v>15</v>
      </c>
      <c r="E885">
        <v>2000</v>
      </c>
      <c r="F885">
        <v>216.7</v>
      </c>
      <c r="G885">
        <v>8.1</v>
      </c>
      <c r="H885">
        <v>7.8</v>
      </c>
      <c r="I885">
        <v>0.3</v>
      </c>
      <c r="J885">
        <v>3</v>
      </c>
      <c r="K885">
        <v>108.2</v>
      </c>
      <c r="L885">
        <v>1475.3</v>
      </c>
      <c r="M885">
        <v>358</v>
      </c>
      <c r="N885">
        <v>351</v>
      </c>
      <c r="O885">
        <v>538</v>
      </c>
      <c r="P885">
        <v>187</v>
      </c>
      <c r="Q885">
        <v>302</v>
      </c>
      <c r="R885">
        <v>538</v>
      </c>
      <c r="S885">
        <v>236</v>
      </c>
      <c r="T885">
        <v>252.9</v>
      </c>
      <c r="U885">
        <v>370</v>
      </c>
      <c r="V885">
        <v>365</v>
      </c>
      <c r="W885">
        <v>500</v>
      </c>
      <c r="X885">
        <v>2.79</v>
      </c>
    </row>
    <row r="886" spans="1:24" hidden="1" outlineLevel="2" x14ac:dyDescent="0.25">
      <c r="A886" t="str">
        <f t="shared" si="132"/>
        <v>AK7 - 2000</v>
      </c>
      <c r="B886" t="s">
        <v>36</v>
      </c>
      <c r="C886">
        <v>5</v>
      </c>
      <c r="D886">
        <v>15</v>
      </c>
      <c r="E886">
        <v>2000</v>
      </c>
      <c r="F886">
        <v>180.3</v>
      </c>
      <c r="G886">
        <v>8.6999999999999993</v>
      </c>
      <c r="H886">
        <v>7.8</v>
      </c>
      <c r="I886">
        <v>0.9</v>
      </c>
      <c r="J886">
        <v>10</v>
      </c>
      <c r="K886">
        <v>96.2</v>
      </c>
      <c r="L886">
        <v>1021.3</v>
      </c>
      <c r="M886">
        <v>412</v>
      </c>
      <c r="N886">
        <v>397</v>
      </c>
      <c r="O886">
        <v>538</v>
      </c>
      <c r="P886">
        <v>141</v>
      </c>
      <c r="Q886">
        <v>349</v>
      </c>
      <c r="R886">
        <v>544</v>
      </c>
      <c r="S886">
        <v>195</v>
      </c>
      <c r="T886">
        <v>221.1</v>
      </c>
      <c r="U886">
        <v>426</v>
      </c>
      <c r="V886">
        <v>420</v>
      </c>
      <c r="W886">
        <v>500</v>
      </c>
      <c r="X886">
        <v>2.79</v>
      </c>
    </row>
    <row r="887" spans="1:24" hidden="1" outlineLevel="2" x14ac:dyDescent="0.25">
      <c r="A887" t="str">
        <f t="shared" si="132"/>
        <v>AK7 - 2000</v>
      </c>
      <c r="B887" t="s">
        <v>36</v>
      </c>
      <c r="C887">
        <v>6</v>
      </c>
      <c r="D887">
        <v>15</v>
      </c>
      <c r="E887">
        <v>2000</v>
      </c>
      <c r="F887">
        <v>165.3</v>
      </c>
      <c r="G887">
        <v>6.3</v>
      </c>
      <c r="H887">
        <v>5.7</v>
      </c>
      <c r="I887">
        <v>0.6</v>
      </c>
      <c r="J887">
        <v>9</v>
      </c>
      <c r="K887">
        <v>64.2</v>
      </c>
      <c r="L887">
        <v>858.4</v>
      </c>
      <c r="M887">
        <v>384</v>
      </c>
      <c r="N887">
        <v>366</v>
      </c>
      <c r="O887">
        <v>553</v>
      </c>
      <c r="P887">
        <v>187</v>
      </c>
      <c r="Q887">
        <v>279</v>
      </c>
      <c r="R887">
        <v>572</v>
      </c>
      <c r="S887">
        <v>293</v>
      </c>
      <c r="T887">
        <v>181.2</v>
      </c>
      <c r="U887">
        <v>379</v>
      </c>
      <c r="V887">
        <v>374</v>
      </c>
      <c r="W887">
        <v>500</v>
      </c>
      <c r="X887">
        <v>2.79</v>
      </c>
    </row>
    <row r="888" spans="1:24" hidden="1" outlineLevel="2" x14ac:dyDescent="0.25">
      <c r="A888" t="str">
        <f t="shared" si="132"/>
        <v>AK7 - 2000</v>
      </c>
      <c r="B888" t="s">
        <v>36</v>
      </c>
      <c r="C888">
        <v>7</v>
      </c>
      <c r="D888">
        <v>15</v>
      </c>
      <c r="E888">
        <v>2000</v>
      </c>
      <c r="F888">
        <v>188.3</v>
      </c>
      <c r="G888">
        <v>14.7</v>
      </c>
      <c r="H888">
        <v>13.5</v>
      </c>
      <c r="I888">
        <v>1.2</v>
      </c>
      <c r="J888">
        <v>8</v>
      </c>
      <c r="K888">
        <v>167.1</v>
      </c>
      <c r="L888">
        <v>1113.9000000000001</v>
      </c>
      <c r="M888">
        <v>365</v>
      </c>
      <c r="N888">
        <v>351</v>
      </c>
      <c r="O888">
        <v>522</v>
      </c>
      <c r="P888">
        <v>171</v>
      </c>
      <c r="Q888">
        <v>288</v>
      </c>
      <c r="R888">
        <v>535</v>
      </c>
      <c r="S888">
        <v>247</v>
      </c>
      <c r="T888">
        <v>278.39999999999998</v>
      </c>
      <c r="U888">
        <v>367</v>
      </c>
      <c r="V888">
        <v>372</v>
      </c>
      <c r="W888">
        <v>500</v>
      </c>
      <c r="X888">
        <v>2.79</v>
      </c>
    </row>
    <row r="889" spans="1:24" hidden="1" outlineLevel="2" x14ac:dyDescent="0.25">
      <c r="A889" t="str">
        <f t="shared" si="132"/>
        <v>AK7 - 2000</v>
      </c>
      <c r="B889" t="s">
        <v>36</v>
      </c>
      <c r="C889">
        <v>8</v>
      </c>
      <c r="D889">
        <v>15</v>
      </c>
      <c r="E889">
        <v>2000</v>
      </c>
      <c r="F889">
        <v>169.9</v>
      </c>
      <c r="G889">
        <v>8.6999999999999993</v>
      </c>
      <c r="H889">
        <v>8.4</v>
      </c>
      <c r="I889">
        <v>0.3</v>
      </c>
      <c r="J889">
        <v>3</v>
      </c>
      <c r="K889">
        <v>90.5</v>
      </c>
      <c r="L889">
        <v>906.9</v>
      </c>
      <c r="M889">
        <v>428</v>
      </c>
      <c r="N889">
        <v>424</v>
      </c>
      <c r="O889">
        <v>539</v>
      </c>
      <c r="P889">
        <v>115</v>
      </c>
      <c r="Q889">
        <v>360</v>
      </c>
      <c r="R889">
        <v>539</v>
      </c>
      <c r="S889">
        <v>179</v>
      </c>
      <c r="T889">
        <v>177.9</v>
      </c>
      <c r="U889">
        <v>438</v>
      </c>
      <c r="V889">
        <v>415</v>
      </c>
      <c r="W889">
        <v>500</v>
      </c>
      <c r="X889">
        <v>2.79</v>
      </c>
    </row>
    <row r="890" spans="1:24" hidden="1" outlineLevel="2" x14ac:dyDescent="0.25">
      <c r="A890" t="str">
        <f t="shared" si="132"/>
        <v>AK7 - 2000</v>
      </c>
      <c r="B890" t="s">
        <v>36</v>
      </c>
      <c r="C890">
        <v>9</v>
      </c>
      <c r="D890">
        <v>14</v>
      </c>
      <c r="E890">
        <v>2000</v>
      </c>
      <c r="F890">
        <v>170.2</v>
      </c>
      <c r="G890">
        <v>9.3000000000000007</v>
      </c>
      <c r="H890">
        <v>8.4</v>
      </c>
      <c r="I890">
        <v>0.9</v>
      </c>
      <c r="J890">
        <v>9</v>
      </c>
      <c r="K890">
        <v>96.7</v>
      </c>
      <c r="L890">
        <v>910.1</v>
      </c>
      <c r="M890">
        <v>418</v>
      </c>
      <c r="N890">
        <v>405</v>
      </c>
      <c r="O890">
        <v>546</v>
      </c>
      <c r="P890">
        <v>141</v>
      </c>
      <c r="Q890">
        <v>346</v>
      </c>
      <c r="R890">
        <v>562</v>
      </c>
      <c r="S890">
        <v>216</v>
      </c>
      <c r="T890">
        <v>227.1</v>
      </c>
      <c r="U890">
        <v>411</v>
      </c>
      <c r="V890">
        <v>418</v>
      </c>
      <c r="W890">
        <v>500</v>
      </c>
      <c r="X890">
        <v>2.79</v>
      </c>
    </row>
    <row r="891" spans="1:24" hidden="1" outlineLevel="2" x14ac:dyDescent="0.25">
      <c r="A891" t="str">
        <f t="shared" si="132"/>
        <v>AK7 - 2000</v>
      </c>
      <c r="B891" t="s">
        <v>36</v>
      </c>
      <c r="C891">
        <v>10</v>
      </c>
      <c r="D891">
        <v>14</v>
      </c>
      <c r="E891">
        <v>2000</v>
      </c>
      <c r="F891">
        <v>168.7</v>
      </c>
      <c r="G891">
        <v>11.7</v>
      </c>
      <c r="H891">
        <v>10.8</v>
      </c>
      <c r="I891">
        <v>0.9</v>
      </c>
      <c r="J891">
        <v>7</v>
      </c>
      <c r="K891">
        <v>119.7</v>
      </c>
      <c r="L891">
        <v>894.1</v>
      </c>
      <c r="M891">
        <v>351</v>
      </c>
      <c r="N891">
        <v>337</v>
      </c>
      <c r="O891">
        <v>518</v>
      </c>
      <c r="P891">
        <v>181</v>
      </c>
      <c r="Q891">
        <v>283</v>
      </c>
      <c r="R891">
        <v>540</v>
      </c>
      <c r="S891">
        <v>257</v>
      </c>
      <c r="T891">
        <v>240.3</v>
      </c>
      <c r="U891">
        <v>373</v>
      </c>
      <c r="V891">
        <v>372</v>
      </c>
      <c r="W891">
        <v>500</v>
      </c>
      <c r="X891">
        <v>2.79</v>
      </c>
    </row>
    <row r="892" spans="1:24" hidden="1" outlineLevel="2" x14ac:dyDescent="0.25">
      <c r="A892" t="str">
        <f t="shared" si="132"/>
        <v>AK7 - 2000</v>
      </c>
      <c r="B892" t="s">
        <v>36</v>
      </c>
      <c r="C892">
        <v>11</v>
      </c>
      <c r="D892">
        <v>14</v>
      </c>
      <c r="E892">
        <v>2000</v>
      </c>
      <c r="F892">
        <v>118.8</v>
      </c>
      <c r="G892">
        <v>5.4</v>
      </c>
      <c r="H892">
        <v>4.8</v>
      </c>
      <c r="I892">
        <v>0.6</v>
      </c>
      <c r="J892">
        <v>11</v>
      </c>
      <c r="K892">
        <v>39.4</v>
      </c>
      <c r="L892">
        <v>443.4</v>
      </c>
      <c r="M892">
        <v>402</v>
      </c>
      <c r="N892">
        <v>386</v>
      </c>
      <c r="O892">
        <v>524</v>
      </c>
      <c r="P892">
        <v>138</v>
      </c>
      <c r="Q892">
        <v>291</v>
      </c>
      <c r="R892">
        <v>541</v>
      </c>
      <c r="S892">
        <v>250</v>
      </c>
      <c r="T892">
        <v>137.69999999999999</v>
      </c>
      <c r="U892">
        <v>408</v>
      </c>
      <c r="V892">
        <v>408</v>
      </c>
      <c r="W892">
        <v>500</v>
      </c>
      <c r="X892">
        <v>2.79</v>
      </c>
    </row>
    <row r="893" spans="1:24" hidden="1" outlineLevel="2" x14ac:dyDescent="0.25">
      <c r="A893" t="str">
        <f t="shared" si="132"/>
        <v>AK7 - 2000</v>
      </c>
      <c r="B893" t="s">
        <v>36</v>
      </c>
      <c r="C893">
        <v>12</v>
      </c>
      <c r="D893">
        <v>15</v>
      </c>
      <c r="E893">
        <v>2000</v>
      </c>
      <c r="F893">
        <v>138.30000000000001</v>
      </c>
      <c r="G893">
        <v>4.5</v>
      </c>
      <c r="H893">
        <v>2.7</v>
      </c>
      <c r="I893">
        <v>1.8</v>
      </c>
      <c r="J893">
        <v>40</v>
      </c>
      <c r="K893">
        <v>38.5</v>
      </c>
      <c r="L893">
        <v>600.9</v>
      </c>
      <c r="M893">
        <v>483</v>
      </c>
      <c r="N893">
        <v>444</v>
      </c>
      <c r="O893">
        <v>542</v>
      </c>
      <c r="P893">
        <v>98</v>
      </c>
      <c r="Q893">
        <v>392</v>
      </c>
      <c r="R893">
        <v>581</v>
      </c>
      <c r="S893">
        <v>189</v>
      </c>
      <c r="T893">
        <v>144.9</v>
      </c>
      <c r="U893">
        <v>426</v>
      </c>
      <c r="V893">
        <v>418</v>
      </c>
      <c r="W893">
        <v>500</v>
      </c>
      <c r="X893">
        <v>2.79</v>
      </c>
    </row>
    <row r="894" spans="1:24" hidden="1" outlineLevel="2" x14ac:dyDescent="0.25">
      <c r="A894" t="str">
        <f t="shared" si="132"/>
        <v>AK7 - 2000</v>
      </c>
      <c r="B894" t="s">
        <v>36</v>
      </c>
      <c r="C894">
        <v>13</v>
      </c>
      <c r="D894">
        <v>15</v>
      </c>
      <c r="E894">
        <v>2000</v>
      </c>
      <c r="F894">
        <v>160.69999999999999</v>
      </c>
      <c r="G894">
        <v>8.4</v>
      </c>
      <c r="H894">
        <v>6.6</v>
      </c>
      <c r="I894">
        <v>1.8</v>
      </c>
      <c r="J894">
        <v>21</v>
      </c>
      <c r="K894">
        <v>82.6</v>
      </c>
      <c r="L894">
        <v>811.3</v>
      </c>
      <c r="M894">
        <v>430</v>
      </c>
      <c r="N894">
        <v>402</v>
      </c>
      <c r="O894">
        <v>530</v>
      </c>
      <c r="P894">
        <v>128</v>
      </c>
      <c r="Q894">
        <v>317</v>
      </c>
      <c r="R894">
        <v>549</v>
      </c>
      <c r="S894">
        <v>232</v>
      </c>
      <c r="T894">
        <v>226.2</v>
      </c>
      <c r="U894">
        <v>428</v>
      </c>
      <c r="V894">
        <v>431</v>
      </c>
      <c r="W894">
        <v>500</v>
      </c>
      <c r="X894">
        <v>2.79</v>
      </c>
    </row>
    <row r="895" spans="1:24" hidden="1" outlineLevel="2" x14ac:dyDescent="0.25">
      <c r="A895" t="str">
        <f t="shared" si="132"/>
        <v>AK7 - 2000</v>
      </c>
      <c r="B895" t="s">
        <v>36</v>
      </c>
      <c r="C895">
        <v>14</v>
      </c>
      <c r="D895">
        <v>15</v>
      </c>
      <c r="E895">
        <v>2000</v>
      </c>
      <c r="F895">
        <v>181.5</v>
      </c>
      <c r="G895">
        <v>6.6</v>
      </c>
      <c r="H895">
        <v>6</v>
      </c>
      <c r="I895">
        <v>0.6</v>
      </c>
      <c r="J895">
        <v>9</v>
      </c>
      <c r="K895">
        <v>73.900000000000006</v>
      </c>
      <c r="L895">
        <v>1034.9000000000001</v>
      </c>
      <c r="M895">
        <v>383</v>
      </c>
      <c r="N895">
        <v>367</v>
      </c>
      <c r="O895">
        <v>540</v>
      </c>
      <c r="P895">
        <v>173</v>
      </c>
      <c r="Q895">
        <v>298</v>
      </c>
      <c r="R895">
        <v>547</v>
      </c>
      <c r="S895">
        <v>249</v>
      </c>
      <c r="T895">
        <v>193.2</v>
      </c>
      <c r="U895">
        <v>390</v>
      </c>
      <c r="V895">
        <v>377</v>
      </c>
      <c r="W895">
        <v>500</v>
      </c>
      <c r="X895">
        <v>2.79</v>
      </c>
    </row>
    <row r="896" spans="1:24" hidden="1" outlineLevel="2" x14ac:dyDescent="0.25">
      <c r="A896" t="str">
        <f t="shared" si="132"/>
        <v>AK7 - 2000</v>
      </c>
      <c r="B896" t="s">
        <v>36</v>
      </c>
      <c r="C896">
        <v>15</v>
      </c>
      <c r="D896">
        <v>15</v>
      </c>
      <c r="E896">
        <v>2000</v>
      </c>
      <c r="F896">
        <v>163.69999999999999</v>
      </c>
      <c r="G896">
        <v>9.3000000000000007</v>
      </c>
      <c r="H896">
        <v>8.4</v>
      </c>
      <c r="I896">
        <v>0.9</v>
      </c>
      <c r="J896">
        <v>9</v>
      </c>
      <c r="K896">
        <v>92.9</v>
      </c>
      <c r="L896">
        <v>841.9</v>
      </c>
      <c r="M896">
        <v>403</v>
      </c>
      <c r="N896">
        <v>389</v>
      </c>
      <c r="O896">
        <v>536</v>
      </c>
      <c r="P896">
        <v>147</v>
      </c>
      <c r="Q896">
        <v>330</v>
      </c>
      <c r="R896">
        <v>573</v>
      </c>
      <c r="S896">
        <v>243</v>
      </c>
      <c r="T896">
        <v>172.5</v>
      </c>
      <c r="U896">
        <v>414</v>
      </c>
      <c r="V896">
        <v>397</v>
      </c>
      <c r="W896">
        <v>500</v>
      </c>
      <c r="X896">
        <v>2.79</v>
      </c>
    </row>
    <row r="897" spans="1:24" outlineLevel="1" collapsed="1" x14ac:dyDescent="0.25">
      <c r="A897" s="8" t="s">
        <v>103</v>
      </c>
      <c r="D897">
        <f t="shared" ref="D897:V897" si="133">SUBTOTAL(1,D883:D896)</f>
        <v>14.785714285714286</v>
      </c>
      <c r="E897">
        <f t="shared" si="133"/>
        <v>2000</v>
      </c>
      <c r="F897">
        <f t="shared" si="133"/>
        <v>167.16428571428568</v>
      </c>
      <c r="G897">
        <f t="shared" si="133"/>
        <v>8.6142857142857157</v>
      </c>
      <c r="H897">
        <f t="shared" si="133"/>
        <v>7.6714285714285717</v>
      </c>
      <c r="I897">
        <f t="shared" si="133"/>
        <v>0.94285714285714295</v>
      </c>
      <c r="J897">
        <f t="shared" si="133"/>
        <v>11.642857142857142</v>
      </c>
      <c r="K897">
        <f t="shared" si="133"/>
        <v>89.385714285714286</v>
      </c>
      <c r="L897">
        <f t="shared" si="133"/>
        <v>893.08571428571406</v>
      </c>
      <c r="M897">
        <f t="shared" si="133"/>
        <v>403.85714285714283</v>
      </c>
      <c r="N897">
        <f t="shared" si="133"/>
        <v>387.42857142857144</v>
      </c>
      <c r="O897">
        <f t="shared" si="133"/>
        <v>534.07142857142856</v>
      </c>
      <c r="P897">
        <f t="shared" si="133"/>
        <v>146.64285714285714</v>
      </c>
      <c r="Q897">
        <f t="shared" si="133"/>
        <v>323</v>
      </c>
      <c r="R897">
        <f t="shared" si="133"/>
        <v>551.35714285714289</v>
      </c>
      <c r="S897">
        <f t="shared" si="133"/>
        <v>228.35714285714286</v>
      </c>
      <c r="T897">
        <f t="shared" si="133"/>
        <v>202.39285714285711</v>
      </c>
      <c r="U897">
        <f t="shared" si="133"/>
        <v>405.85714285714283</v>
      </c>
      <c r="V897">
        <f t="shared" si="133"/>
        <v>400.78571428571428</v>
      </c>
    </row>
    <row r="898" spans="1:24" hidden="1" outlineLevel="2" x14ac:dyDescent="0.25">
      <c r="A898" t="str">
        <f t="shared" ref="A898:A911" si="134">CONCATENATE(B898," - ",E898)</f>
        <v>AK7 - 2001</v>
      </c>
      <c r="B898" t="s">
        <v>36</v>
      </c>
      <c r="C898">
        <v>1</v>
      </c>
      <c r="D898">
        <v>16</v>
      </c>
      <c r="E898">
        <v>2001</v>
      </c>
      <c r="F898">
        <v>172.3</v>
      </c>
      <c r="G898">
        <v>6</v>
      </c>
      <c r="H898">
        <v>4.5</v>
      </c>
      <c r="I898">
        <v>1.5</v>
      </c>
      <c r="J898">
        <v>25</v>
      </c>
      <c r="K898">
        <v>63.8</v>
      </c>
      <c r="L898">
        <v>932.7</v>
      </c>
      <c r="M898">
        <v>464</v>
      </c>
      <c r="N898">
        <v>436</v>
      </c>
      <c r="O898">
        <v>546</v>
      </c>
      <c r="P898">
        <v>110</v>
      </c>
      <c r="Q898">
        <v>401</v>
      </c>
      <c r="R898">
        <v>584</v>
      </c>
      <c r="S898">
        <v>183</v>
      </c>
      <c r="T898">
        <v>184.2</v>
      </c>
      <c r="U898">
        <v>438</v>
      </c>
      <c r="V898">
        <v>433</v>
      </c>
      <c r="W898">
        <v>500</v>
      </c>
      <c r="X898">
        <v>2.79</v>
      </c>
    </row>
    <row r="899" spans="1:24" hidden="1" outlineLevel="2" x14ac:dyDescent="0.25">
      <c r="A899" t="str">
        <f t="shared" si="134"/>
        <v>AK7 - 2001</v>
      </c>
      <c r="B899" t="s">
        <v>36</v>
      </c>
      <c r="C899">
        <v>2</v>
      </c>
      <c r="D899">
        <v>16</v>
      </c>
      <c r="E899">
        <v>2001</v>
      </c>
      <c r="F899">
        <v>159.4</v>
      </c>
      <c r="G899">
        <v>7.8</v>
      </c>
      <c r="H899">
        <v>6.6</v>
      </c>
      <c r="I899">
        <v>1.2</v>
      </c>
      <c r="J899">
        <v>15</v>
      </c>
      <c r="K899">
        <v>76.2</v>
      </c>
      <c r="L899">
        <v>798.2</v>
      </c>
      <c r="M899">
        <v>412</v>
      </c>
      <c r="N899">
        <v>387</v>
      </c>
      <c r="O899">
        <v>545</v>
      </c>
      <c r="P899">
        <v>158</v>
      </c>
      <c r="Q899">
        <v>352</v>
      </c>
      <c r="R899">
        <v>573</v>
      </c>
      <c r="S899">
        <v>221</v>
      </c>
      <c r="T899">
        <v>195.9</v>
      </c>
      <c r="U899">
        <v>414</v>
      </c>
      <c r="V899">
        <v>411</v>
      </c>
      <c r="W899">
        <v>500</v>
      </c>
      <c r="X899">
        <v>2.79</v>
      </c>
    </row>
    <row r="900" spans="1:24" hidden="1" outlineLevel="2" x14ac:dyDescent="0.25">
      <c r="A900" t="str">
        <f t="shared" si="134"/>
        <v>AK7 - 2001</v>
      </c>
      <c r="B900" t="s">
        <v>36</v>
      </c>
      <c r="C900">
        <v>3</v>
      </c>
      <c r="D900">
        <v>16</v>
      </c>
      <c r="E900">
        <v>2001</v>
      </c>
      <c r="F900">
        <v>225.7</v>
      </c>
      <c r="G900">
        <v>9</v>
      </c>
      <c r="H900">
        <v>8.6999999999999993</v>
      </c>
      <c r="I900">
        <v>0.3</v>
      </c>
      <c r="J900">
        <v>3</v>
      </c>
      <c r="K900">
        <v>125.1</v>
      </c>
      <c r="L900">
        <v>1600.3</v>
      </c>
      <c r="M900">
        <v>358</v>
      </c>
      <c r="N900">
        <v>353</v>
      </c>
      <c r="O900">
        <v>511</v>
      </c>
      <c r="P900">
        <v>158</v>
      </c>
      <c r="Q900">
        <v>296</v>
      </c>
      <c r="R900">
        <v>511</v>
      </c>
      <c r="S900">
        <v>215</v>
      </c>
      <c r="T900">
        <v>252.9</v>
      </c>
      <c r="U900">
        <v>370</v>
      </c>
      <c r="V900">
        <v>365</v>
      </c>
      <c r="W900">
        <v>500</v>
      </c>
      <c r="X900">
        <v>2.79</v>
      </c>
    </row>
    <row r="901" spans="1:24" hidden="1" outlineLevel="2" x14ac:dyDescent="0.25">
      <c r="A901" t="str">
        <f t="shared" si="134"/>
        <v>AK7 - 2001</v>
      </c>
      <c r="B901" t="s">
        <v>36</v>
      </c>
      <c r="C901">
        <v>5</v>
      </c>
      <c r="D901">
        <v>16</v>
      </c>
      <c r="E901">
        <v>2001</v>
      </c>
      <c r="F901">
        <v>189.6</v>
      </c>
      <c r="G901">
        <v>9.3000000000000007</v>
      </c>
      <c r="H901">
        <v>7.8</v>
      </c>
      <c r="I901">
        <v>1.5</v>
      </c>
      <c r="J901">
        <v>16</v>
      </c>
      <c r="K901">
        <v>108.1</v>
      </c>
      <c r="L901">
        <v>1129.3</v>
      </c>
      <c r="M901">
        <v>437</v>
      </c>
      <c r="N901">
        <v>417</v>
      </c>
      <c r="O901">
        <v>541</v>
      </c>
      <c r="P901">
        <v>124</v>
      </c>
      <c r="Q901">
        <v>378</v>
      </c>
      <c r="R901">
        <v>565</v>
      </c>
      <c r="S901">
        <v>187</v>
      </c>
      <c r="T901">
        <v>221.1</v>
      </c>
      <c r="U901">
        <v>426</v>
      </c>
      <c r="V901">
        <v>420</v>
      </c>
      <c r="W901">
        <v>500</v>
      </c>
      <c r="X901">
        <v>2.79</v>
      </c>
    </row>
    <row r="902" spans="1:24" hidden="1" outlineLevel="2" x14ac:dyDescent="0.25">
      <c r="A902" t="str">
        <f t="shared" si="134"/>
        <v>AK7 - 2001</v>
      </c>
      <c r="B902" t="s">
        <v>36</v>
      </c>
      <c r="C902">
        <v>6</v>
      </c>
      <c r="D902">
        <v>16</v>
      </c>
      <c r="E902">
        <v>2001</v>
      </c>
      <c r="F902">
        <v>170.1</v>
      </c>
      <c r="G902">
        <v>4.8</v>
      </c>
      <c r="H902">
        <v>4.5</v>
      </c>
      <c r="I902">
        <v>0.3</v>
      </c>
      <c r="J902">
        <v>6</v>
      </c>
      <c r="K902">
        <v>50.6</v>
      </c>
      <c r="L902">
        <v>909</v>
      </c>
      <c r="M902">
        <v>403</v>
      </c>
      <c r="N902">
        <v>394</v>
      </c>
      <c r="O902">
        <v>538</v>
      </c>
      <c r="P902">
        <v>144</v>
      </c>
      <c r="Q902">
        <v>351</v>
      </c>
      <c r="R902">
        <v>538</v>
      </c>
      <c r="S902">
        <v>187</v>
      </c>
      <c r="T902">
        <v>181.2</v>
      </c>
      <c r="U902">
        <v>379</v>
      </c>
      <c r="V902">
        <v>374</v>
      </c>
      <c r="W902">
        <v>500</v>
      </c>
      <c r="X902">
        <v>2.79</v>
      </c>
    </row>
    <row r="903" spans="1:24" hidden="1" outlineLevel="2" x14ac:dyDescent="0.25">
      <c r="A903" t="str">
        <f t="shared" si="134"/>
        <v>AK7 - 2001</v>
      </c>
      <c r="B903" t="s">
        <v>36</v>
      </c>
      <c r="C903">
        <v>7</v>
      </c>
      <c r="D903">
        <v>16</v>
      </c>
      <c r="E903">
        <v>2001</v>
      </c>
      <c r="F903">
        <v>204.2</v>
      </c>
      <c r="G903">
        <v>15.9</v>
      </c>
      <c r="H903">
        <v>14.1</v>
      </c>
      <c r="I903">
        <v>1.8</v>
      </c>
      <c r="J903">
        <v>11</v>
      </c>
      <c r="K903">
        <v>196.1</v>
      </c>
      <c r="L903">
        <v>1310</v>
      </c>
      <c r="M903">
        <v>378</v>
      </c>
      <c r="N903">
        <v>359</v>
      </c>
      <c r="O903">
        <v>524</v>
      </c>
      <c r="P903">
        <v>165</v>
      </c>
      <c r="Q903">
        <v>310</v>
      </c>
      <c r="R903">
        <v>559</v>
      </c>
      <c r="S903">
        <v>249</v>
      </c>
      <c r="T903">
        <v>278.39999999999998</v>
      </c>
      <c r="U903">
        <v>367</v>
      </c>
      <c r="V903">
        <v>372</v>
      </c>
      <c r="W903">
        <v>500</v>
      </c>
      <c r="X903">
        <v>2.79</v>
      </c>
    </row>
    <row r="904" spans="1:24" hidden="1" outlineLevel="2" x14ac:dyDescent="0.25">
      <c r="A904" t="str">
        <f t="shared" si="134"/>
        <v>AK7 - 2001</v>
      </c>
      <c r="B904" t="s">
        <v>36</v>
      </c>
      <c r="C904">
        <v>8</v>
      </c>
      <c r="D904">
        <v>16</v>
      </c>
      <c r="E904">
        <v>2001</v>
      </c>
      <c r="F904">
        <v>178</v>
      </c>
      <c r="G904">
        <v>8.1</v>
      </c>
      <c r="H904">
        <v>7.5</v>
      </c>
      <c r="I904">
        <v>0.6</v>
      </c>
      <c r="J904">
        <v>7</v>
      </c>
      <c r="K904">
        <v>88.5</v>
      </c>
      <c r="L904">
        <v>995.4</v>
      </c>
      <c r="M904">
        <v>394</v>
      </c>
      <c r="N904">
        <v>383</v>
      </c>
      <c r="O904">
        <v>539</v>
      </c>
      <c r="P904">
        <v>156</v>
      </c>
      <c r="Q904">
        <v>319</v>
      </c>
      <c r="R904">
        <v>547</v>
      </c>
      <c r="S904">
        <v>228</v>
      </c>
      <c r="T904">
        <v>177.9</v>
      </c>
      <c r="U904">
        <v>438</v>
      </c>
      <c r="V904">
        <v>415</v>
      </c>
      <c r="W904">
        <v>500</v>
      </c>
      <c r="X904">
        <v>2.79</v>
      </c>
    </row>
    <row r="905" spans="1:24" hidden="1" outlineLevel="2" x14ac:dyDescent="0.25">
      <c r="A905" t="str">
        <f t="shared" si="134"/>
        <v>AK7 - 2001</v>
      </c>
      <c r="B905" t="s">
        <v>36</v>
      </c>
      <c r="C905">
        <v>9</v>
      </c>
      <c r="D905">
        <v>15</v>
      </c>
      <c r="E905">
        <v>2001</v>
      </c>
      <c r="F905">
        <v>176.8</v>
      </c>
      <c r="G905">
        <v>6.6</v>
      </c>
      <c r="H905">
        <v>5.0999999999999996</v>
      </c>
      <c r="I905">
        <v>1.5</v>
      </c>
      <c r="J905">
        <v>22</v>
      </c>
      <c r="K905">
        <v>71.900000000000006</v>
      </c>
      <c r="L905">
        <v>982</v>
      </c>
      <c r="M905">
        <v>458</v>
      </c>
      <c r="N905">
        <v>429</v>
      </c>
      <c r="O905">
        <v>558</v>
      </c>
      <c r="P905">
        <v>129</v>
      </c>
      <c r="Q905">
        <v>377</v>
      </c>
      <c r="R905">
        <v>578</v>
      </c>
      <c r="S905">
        <v>201</v>
      </c>
      <c r="T905">
        <v>227.1</v>
      </c>
      <c r="U905">
        <v>411</v>
      </c>
      <c r="V905">
        <v>418</v>
      </c>
      <c r="W905">
        <v>500</v>
      </c>
      <c r="X905">
        <v>2.79</v>
      </c>
    </row>
    <row r="906" spans="1:24" hidden="1" outlineLevel="2" x14ac:dyDescent="0.25">
      <c r="A906" t="str">
        <f t="shared" si="134"/>
        <v>AK7 - 2001</v>
      </c>
      <c r="B906" t="s">
        <v>36</v>
      </c>
      <c r="C906">
        <v>10</v>
      </c>
      <c r="D906">
        <v>15</v>
      </c>
      <c r="E906">
        <v>2001</v>
      </c>
      <c r="F906">
        <v>178.6</v>
      </c>
      <c r="G906">
        <v>9.9</v>
      </c>
      <c r="H906">
        <v>9.3000000000000007</v>
      </c>
      <c r="I906">
        <v>0.6</v>
      </c>
      <c r="J906">
        <v>6</v>
      </c>
      <c r="K906">
        <v>108</v>
      </c>
      <c r="L906">
        <v>1002.1</v>
      </c>
      <c r="M906">
        <v>367</v>
      </c>
      <c r="N906">
        <v>356</v>
      </c>
      <c r="O906">
        <v>529</v>
      </c>
      <c r="P906">
        <v>173</v>
      </c>
      <c r="Q906">
        <v>302</v>
      </c>
      <c r="R906">
        <v>539</v>
      </c>
      <c r="S906">
        <v>237</v>
      </c>
      <c r="T906">
        <v>240.3</v>
      </c>
      <c r="U906">
        <v>373</v>
      </c>
      <c r="V906">
        <v>372</v>
      </c>
      <c r="W906">
        <v>500</v>
      </c>
      <c r="X906">
        <v>2.79</v>
      </c>
    </row>
    <row r="907" spans="1:24" hidden="1" outlineLevel="2" x14ac:dyDescent="0.25">
      <c r="A907" t="str">
        <f t="shared" si="134"/>
        <v>AK7 - 2001</v>
      </c>
      <c r="B907" t="s">
        <v>36</v>
      </c>
      <c r="C907">
        <v>11</v>
      </c>
      <c r="D907">
        <v>15</v>
      </c>
      <c r="E907">
        <v>2001</v>
      </c>
      <c r="F907">
        <v>123.3</v>
      </c>
      <c r="G907">
        <v>4.5</v>
      </c>
      <c r="H907">
        <v>4.2</v>
      </c>
      <c r="I907">
        <v>0.3</v>
      </c>
      <c r="J907">
        <v>6</v>
      </c>
      <c r="K907">
        <v>34.200000000000003</v>
      </c>
      <c r="L907">
        <v>477.6</v>
      </c>
      <c r="M907">
        <v>417</v>
      </c>
      <c r="N907">
        <v>406</v>
      </c>
      <c r="O907">
        <v>559</v>
      </c>
      <c r="P907">
        <v>153</v>
      </c>
      <c r="Q907">
        <v>374</v>
      </c>
      <c r="R907">
        <v>559</v>
      </c>
      <c r="S907">
        <v>185</v>
      </c>
      <c r="T907">
        <v>137.69999999999999</v>
      </c>
      <c r="U907">
        <v>408</v>
      </c>
      <c r="V907">
        <v>408</v>
      </c>
      <c r="W907">
        <v>500</v>
      </c>
      <c r="X907">
        <v>2.79</v>
      </c>
    </row>
    <row r="908" spans="1:24" hidden="1" outlineLevel="2" x14ac:dyDescent="0.25">
      <c r="A908" t="str">
        <f t="shared" si="134"/>
        <v>AK7 - 2001</v>
      </c>
      <c r="B908" t="s">
        <v>36</v>
      </c>
      <c r="C908">
        <v>12</v>
      </c>
      <c r="D908">
        <v>16</v>
      </c>
      <c r="E908">
        <v>2001</v>
      </c>
      <c r="F908">
        <v>141</v>
      </c>
      <c r="G908">
        <v>2.7</v>
      </c>
      <c r="H908">
        <v>1.5</v>
      </c>
      <c r="I908">
        <v>1.2</v>
      </c>
      <c r="J908">
        <v>44</v>
      </c>
      <c r="K908">
        <v>23.7</v>
      </c>
      <c r="L908">
        <v>624.6</v>
      </c>
      <c r="M908">
        <v>492</v>
      </c>
      <c r="N908">
        <v>447</v>
      </c>
      <c r="O908">
        <v>547</v>
      </c>
      <c r="P908">
        <v>100</v>
      </c>
      <c r="Q908">
        <v>408</v>
      </c>
      <c r="R908">
        <v>584</v>
      </c>
      <c r="S908">
        <v>176</v>
      </c>
      <c r="T908">
        <v>144.9</v>
      </c>
      <c r="U908">
        <v>426</v>
      </c>
      <c r="V908">
        <v>418</v>
      </c>
      <c r="W908">
        <v>500</v>
      </c>
      <c r="X908">
        <v>2.79</v>
      </c>
    </row>
    <row r="909" spans="1:24" hidden="1" outlineLevel="2" x14ac:dyDescent="0.25">
      <c r="A909" t="str">
        <f t="shared" si="134"/>
        <v>AK7 - 2001</v>
      </c>
      <c r="B909" t="s">
        <v>36</v>
      </c>
      <c r="C909">
        <v>13</v>
      </c>
      <c r="D909">
        <v>16</v>
      </c>
      <c r="E909">
        <v>2001</v>
      </c>
      <c r="F909">
        <v>168.2</v>
      </c>
      <c r="G909">
        <v>7.5</v>
      </c>
      <c r="H909">
        <v>5.0999999999999996</v>
      </c>
      <c r="I909">
        <v>2.4</v>
      </c>
      <c r="J909">
        <v>32</v>
      </c>
      <c r="K909">
        <v>77.5</v>
      </c>
      <c r="L909">
        <v>888.8</v>
      </c>
      <c r="M909">
        <v>459</v>
      </c>
      <c r="N909">
        <v>411</v>
      </c>
      <c r="O909">
        <v>559</v>
      </c>
      <c r="P909">
        <v>148</v>
      </c>
      <c r="Q909">
        <v>347</v>
      </c>
      <c r="R909">
        <v>596</v>
      </c>
      <c r="S909">
        <v>249</v>
      </c>
      <c r="T909">
        <v>226.2</v>
      </c>
      <c r="U909">
        <v>428</v>
      </c>
      <c r="V909">
        <v>431</v>
      </c>
      <c r="W909">
        <v>500</v>
      </c>
      <c r="X909">
        <v>2.79</v>
      </c>
    </row>
    <row r="910" spans="1:24" hidden="1" outlineLevel="2" x14ac:dyDescent="0.25">
      <c r="A910" t="str">
        <f t="shared" si="134"/>
        <v>AK7 - 2001</v>
      </c>
      <c r="B910" t="s">
        <v>36</v>
      </c>
      <c r="C910">
        <v>14</v>
      </c>
      <c r="D910">
        <v>16</v>
      </c>
      <c r="E910">
        <v>2001</v>
      </c>
      <c r="F910">
        <v>186</v>
      </c>
      <c r="G910">
        <v>4.5</v>
      </c>
      <c r="H910">
        <v>3.6</v>
      </c>
      <c r="I910">
        <v>0.9</v>
      </c>
      <c r="J910">
        <v>20</v>
      </c>
      <c r="K910">
        <v>52</v>
      </c>
      <c r="L910">
        <v>1086.9000000000001</v>
      </c>
      <c r="M910">
        <v>423</v>
      </c>
      <c r="N910">
        <v>391</v>
      </c>
      <c r="O910">
        <v>550</v>
      </c>
      <c r="P910">
        <v>159</v>
      </c>
      <c r="Q910">
        <v>328</v>
      </c>
      <c r="R910">
        <v>592</v>
      </c>
      <c r="S910">
        <v>264</v>
      </c>
      <c r="T910">
        <v>193.2</v>
      </c>
      <c r="U910">
        <v>390</v>
      </c>
      <c r="V910">
        <v>377</v>
      </c>
      <c r="W910">
        <v>500</v>
      </c>
      <c r="X910">
        <v>2.79</v>
      </c>
    </row>
    <row r="911" spans="1:24" hidden="1" outlineLevel="2" x14ac:dyDescent="0.25">
      <c r="A911" t="str">
        <f t="shared" si="134"/>
        <v>AK7 - 2001</v>
      </c>
      <c r="B911" t="s">
        <v>36</v>
      </c>
      <c r="C911">
        <v>15</v>
      </c>
      <c r="D911">
        <v>16</v>
      </c>
      <c r="E911">
        <v>2001</v>
      </c>
      <c r="F911">
        <v>167.3</v>
      </c>
      <c r="G911">
        <v>3.6</v>
      </c>
      <c r="H911">
        <v>2.1</v>
      </c>
      <c r="I911">
        <v>1.5</v>
      </c>
      <c r="J911">
        <v>41</v>
      </c>
      <c r="K911">
        <v>37.4</v>
      </c>
      <c r="L911">
        <v>879.3</v>
      </c>
      <c r="M911">
        <v>486</v>
      </c>
      <c r="N911">
        <v>440</v>
      </c>
      <c r="O911">
        <v>550</v>
      </c>
      <c r="P911">
        <v>110</v>
      </c>
      <c r="Q911">
        <v>372</v>
      </c>
      <c r="R911">
        <v>590</v>
      </c>
      <c r="S911">
        <v>218</v>
      </c>
      <c r="T911">
        <v>172.5</v>
      </c>
      <c r="U911">
        <v>414</v>
      </c>
      <c r="V911">
        <v>397</v>
      </c>
      <c r="W911">
        <v>500</v>
      </c>
      <c r="X911">
        <v>2.79</v>
      </c>
    </row>
    <row r="912" spans="1:24" outlineLevel="1" collapsed="1" x14ac:dyDescent="0.25">
      <c r="A912" s="8" t="s">
        <v>104</v>
      </c>
      <c r="D912">
        <f t="shared" ref="D912:V912" si="135">SUBTOTAL(1,D898:D911)</f>
        <v>15.785714285714286</v>
      </c>
      <c r="E912">
        <f t="shared" si="135"/>
        <v>2001</v>
      </c>
      <c r="F912">
        <f t="shared" si="135"/>
        <v>174.32142857142858</v>
      </c>
      <c r="G912">
        <f t="shared" si="135"/>
        <v>7.1571428571428575</v>
      </c>
      <c r="H912">
        <f t="shared" si="135"/>
        <v>6.0428571428571418</v>
      </c>
      <c r="I912">
        <f t="shared" si="135"/>
        <v>1.1142857142857143</v>
      </c>
      <c r="J912">
        <f t="shared" si="135"/>
        <v>18.142857142857142</v>
      </c>
      <c r="K912">
        <f t="shared" si="135"/>
        <v>79.507142857142881</v>
      </c>
      <c r="L912">
        <f t="shared" si="135"/>
        <v>972.58571428571418</v>
      </c>
      <c r="M912">
        <f t="shared" si="135"/>
        <v>424.85714285714283</v>
      </c>
      <c r="N912">
        <f t="shared" si="135"/>
        <v>400.64285714285717</v>
      </c>
      <c r="O912">
        <f t="shared" si="135"/>
        <v>542.57142857142856</v>
      </c>
      <c r="P912">
        <f t="shared" si="135"/>
        <v>141.92857142857142</v>
      </c>
      <c r="Q912">
        <f t="shared" si="135"/>
        <v>351.07142857142856</v>
      </c>
      <c r="R912">
        <f t="shared" si="135"/>
        <v>565.35714285714289</v>
      </c>
      <c r="S912">
        <f t="shared" si="135"/>
        <v>214.28571428571428</v>
      </c>
      <c r="T912">
        <f t="shared" si="135"/>
        <v>202.39285714285711</v>
      </c>
      <c r="U912">
        <f t="shared" si="135"/>
        <v>405.85714285714283</v>
      </c>
      <c r="V912">
        <f t="shared" si="135"/>
        <v>400.78571428571428</v>
      </c>
    </row>
    <row r="913" spans="1:24" hidden="1" outlineLevel="2" x14ac:dyDescent="0.25">
      <c r="A913" t="str">
        <f t="shared" ref="A913:A926" si="136">CONCATENATE(B913," - ",E913)</f>
        <v>AK7 - 2002</v>
      </c>
      <c r="B913" t="s">
        <v>36</v>
      </c>
      <c r="C913">
        <v>1</v>
      </c>
      <c r="D913">
        <v>17</v>
      </c>
      <c r="E913">
        <v>2002</v>
      </c>
      <c r="F913">
        <v>179.5</v>
      </c>
      <c r="G913">
        <v>7.2</v>
      </c>
      <c r="H913">
        <v>5.4</v>
      </c>
      <c r="I913">
        <v>1.8</v>
      </c>
      <c r="J913">
        <v>25</v>
      </c>
      <c r="K913">
        <v>79.599999999999994</v>
      </c>
      <c r="L913">
        <v>1012.2</v>
      </c>
      <c r="M913">
        <v>449</v>
      </c>
      <c r="N913">
        <v>416</v>
      </c>
      <c r="O913">
        <v>549</v>
      </c>
      <c r="P913">
        <v>133</v>
      </c>
      <c r="Q913">
        <v>379</v>
      </c>
      <c r="R913">
        <v>591</v>
      </c>
      <c r="S913">
        <v>212</v>
      </c>
      <c r="T913">
        <v>184.2</v>
      </c>
      <c r="U913">
        <v>438</v>
      </c>
      <c r="V913">
        <v>433</v>
      </c>
      <c r="W913">
        <v>500</v>
      </c>
      <c r="X913">
        <v>2.79</v>
      </c>
    </row>
    <row r="914" spans="1:24" hidden="1" outlineLevel="2" x14ac:dyDescent="0.25">
      <c r="A914" t="str">
        <f t="shared" si="136"/>
        <v>AK7 - 2002</v>
      </c>
      <c r="B914" t="s">
        <v>36</v>
      </c>
      <c r="C914">
        <v>2</v>
      </c>
      <c r="D914">
        <v>17</v>
      </c>
      <c r="E914">
        <v>2002</v>
      </c>
      <c r="F914">
        <v>167.8</v>
      </c>
      <c r="G914">
        <v>8.4</v>
      </c>
      <c r="H914">
        <v>7.2</v>
      </c>
      <c r="I914">
        <v>1.2</v>
      </c>
      <c r="J914">
        <v>14</v>
      </c>
      <c r="K914">
        <v>86.3</v>
      </c>
      <c r="L914">
        <v>884.6</v>
      </c>
      <c r="M914">
        <v>409</v>
      </c>
      <c r="N914">
        <v>389</v>
      </c>
      <c r="O914">
        <v>533</v>
      </c>
      <c r="P914">
        <v>144</v>
      </c>
      <c r="Q914">
        <v>336</v>
      </c>
      <c r="R914">
        <v>543</v>
      </c>
      <c r="S914">
        <v>207</v>
      </c>
      <c r="T914">
        <v>195.9</v>
      </c>
      <c r="U914">
        <v>414</v>
      </c>
      <c r="V914">
        <v>411</v>
      </c>
      <c r="W914">
        <v>500</v>
      </c>
      <c r="X914">
        <v>2.79</v>
      </c>
    </row>
    <row r="915" spans="1:24" hidden="1" outlineLevel="2" x14ac:dyDescent="0.25">
      <c r="A915" t="str">
        <f t="shared" si="136"/>
        <v>AK7 - 2002</v>
      </c>
      <c r="B915" t="s">
        <v>36</v>
      </c>
      <c r="C915">
        <v>3</v>
      </c>
      <c r="D915">
        <v>17</v>
      </c>
      <c r="E915">
        <v>2002</v>
      </c>
      <c r="F915">
        <v>232.6</v>
      </c>
      <c r="G915">
        <v>6.9</v>
      </c>
      <c r="H915">
        <v>6.6</v>
      </c>
      <c r="I915">
        <v>0.3</v>
      </c>
      <c r="J915">
        <v>4</v>
      </c>
      <c r="K915">
        <v>99.3</v>
      </c>
      <c r="L915">
        <v>1699.7</v>
      </c>
      <c r="M915">
        <v>358</v>
      </c>
      <c r="N915">
        <v>350</v>
      </c>
      <c r="O915">
        <v>524</v>
      </c>
      <c r="P915">
        <v>174</v>
      </c>
      <c r="Q915">
        <v>311</v>
      </c>
      <c r="R915">
        <v>524</v>
      </c>
      <c r="S915">
        <v>213</v>
      </c>
      <c r="T915">
        <v>252.9</v>
      </c>
      <c r="U915">
        <v>370</v>
      </c>
      <c r="V915">
        <v>365</v>
      </c>
      <c r="W915">
        <v>500</v>
      </c>
      <c r="X915">
        <v>2.79</v>
      </c>
    </row>
    <row r="916" spans="1:24" hidden="1" outlineLevel="2" x14ac:dyDescent="0.25">
      <c r="A916" t="str">
        <f t="shared" si="136"/>
        <v>AK7 - 2002</v>
      </c>
      <c r="B916" t="s">
        <v>36</v>
      </c>
      <c r="C916">
        <v>5</v>
      </c>
      <c r="D916">
        <v>17</v>
      </c>
      <c r="E916">
        <v>2002</v>
      </c>
      <c r="F916">
        <v>197.4</v>
      </c>
      <c r="G916">
        <v>7.8</v>
      </c>
      <c r="H916">
        <v>6.6</v>
      </c>
      <c r="I916">
        <v>1.2</v>
      </c>
      <c r="J916">
        <v>15</v>
      </c>
      <c r="K916">
        <v>94.8</v>
      </c>
      <c r="L916">
        <v>1224.2</v>
      </c>
      <c r="M916">
        <v>422</v>
      </c>
      <c r="N916">
        <v>402</v>
      </c>
      <c r="O916">
        <v>533</v>
      </c>
      <c r="P916">
        <v>131</v>
      </c>
      <c r="Q916">
        <v>344</v>
      </c>
      <c r="R916">
        <v>552</v>
      </c>
      <c r="S916">
        <v>208</v>
      </c>
      <c r="T916">
        <v>221.1</v>
      </c>
      <c r="U916">
        <v>426</v>
      </c>
      <c r="V916">
        <v>420</v>
      </c>
      <c r="W916">
        <v>500</v>
      </c>
      <c r="X916">
        <v>2.79</v>
      </c>
    </row>
    <row r="917" spans="1:24" hidden="1" outlineLevel="2" x14ac:dyDescent="0.25">
      <c r="A917" t="str">
        <f t="shared" si="136"/>
        <v>AK7 - 2002</v>
      </c>
      <c r="B917" t="s">
        <v>36</v>
      </c>
      <c r="C917">
        <v>6</v>
      </c>
      <c r="D917">
        <v>17</v>
      </c>
      <c r="E917">
        <v>2002</v>
      </c>
      <c r="F917">
        <v>175.2</v>
      </c>
      <c r="G917">
        <v>5.0999999999999996</v>
      </c>
      <c r="H917">
        <v>3.3</v>
      </c>
      <c r="I917">
        <v>1.8</v>
      </c>
      <c r="J917">
        <v>35</v>
      </c>
      <c r="K917">
        <v>55.3</v>
      </c>
      <c r="L917">
        <v>964.3</v>
      </c>
      <c r="M917">
        <v>431</v>
      </c>
      <c r="N917">
        <v>376</v>
      </c>
      <c r="O917">
        <v>533</v>
      </c>
      <c r="P917">
        <v>157</v>
      </c>
      <c r="Q917">
        <v>331</v>
      </c>
      <c r="R917">
        <v>579</v>
      </c>
      <c r="S917">
        <v>248</v>
      </c>
      <c r="T917">
        <v>181.2</v>
      </c>
      <c r="U917">
        <v>379</v>
      </c>
      <c r="V917">
        <v>374</v>
      </c>
      <c r="W917">
        <v>500</v>
      </c>
      <c r="X917">
        <v>2.79</v>
      </c>
    </row>
    <row r="918" spans="1:24" hidden="1" outlineLevel="2" x14ac:dyDescent="0.25">
      <c r="A918" t="str">
        <f t="shared" si="136"/>
        <v>AK7 - 2002</v>
      </c>
      <c r="B918" t="s">
        <v>36</v>
      </c>
      <c r="C918">
        <v>7</v>
      </c>
      <c r="D918">
        <v>17</v>
      </c>
      <c r="E918">
        <v>2002</v>
      </c>
      <c r="F918">
        <v>217.7</v>
      </c>
      <c r="G918">
        <v>13.5</v>
      </c>
      <c r="H918">
        <v>10.8</v>
      </c>
      <c r="I918">
        <v>2.7</v>
      </c>
      <c r="J918">
        <v>20</v>
      </c>
      <c r="K918">
        <v>178.9</v>
      </c>
      <c r="L918">
        <v>1488.9</v>
      </c>
      <c r="M918">
        <v>391</v>
      </c>
      <c r="N918">
        <v>359</v>
      </c>
      <c r="O918">
        <v>517</v>
      </c>
      <c r="P918">
        <v>158</v>
      </c>
      <c r="Q918">
        <v>289</v>
      </c>
      <c r="R918">
        <v>534</v>
      </c>
      <c r="S918">
        <v>245</v>
      </c>
      <c r="T918">
        <v>278.39999999999998</v>
      </c>
      <c r="U918">
        <v>367</v>
      </c>
      <c r="V918">
        <v>372</v>
      </c>
      <c r="W918">
        <v>500</v>
      </c>
      <c r="X918">
        <v>2.79</v>
      </c>
    </row>
    <row r="919" spans="1:24" hidden="1" outlineLevel="2" x14ac:dyDescent="0.25">
      <c r="A919" t="str">
        <f t="shared" si="136"/>
        <v>AK7 - 2002</v>
      </c>
      <c r="B919" t="s">
        <v>36</v>
      </c>
      <c r="C919">
        <v>8</v>
      </c>
      <c r="D919">
        <v>17</v>
      </c>
      <c r="E919">
        <v>2002</v>
      </c>
      <c r="F919">
        <v>183.1</v>
      </c>
      <c r="G919">
        <v>5.0999999999999996</v>
      </c>
      <c r="H919">
        <v>4.5</v>
      </c>
      <c r="I919">
        <v>0.6</v>
      </c>
      <c r="J919">
        <v>11</v>
      </c>
      <c r="K919">
        <v>57.9</v>
      </c>
      <c r="L919">
        <v>1053.2</v>
      </c>
      <c r="M919">
        <v>439</v>
      </c>
      <c r="N919">
        <v>417</v>
      </c>
      <c r="O919">
        <v>606</v>
      </c>
      <c r="P919">
        <v>189</v>
      </c>
      <c r="Q919">
        <v>357</v>
      </c>
      <c r="R919">
        <v>612</v>
      </c>
      <c r="S919">
        <v>255</v>
      </c>
      <c r="T919">
        <v>177.9</v>
      </c>
      <c r="U919">
        <v>438</v>
      </c>
      <c r="V919">
        <v>415</v>
      </c>
      <c r="W919">
        <v>500</v>
      </c>
      <c r="X919">
        <v>2.79</v>
      </c>
    </row>
    <row r="920" spans="1:24" hidden="1" outlineLevel="2" x14ac:dyDescent="0.25">
      <c r="A920" t="str">
        <f t="shared" si="136"/>
        <v>AK7 - 2002</v>
      </c>
      <c r="B920" t="s">
        <v>36</v>
      </c>
      <c r="C920">
        <v>9</v>
      </c>
      <c r="D920">
        <v>16</v>
      </c>
      <c r="E920">
        <v>2002</v>
      </c>
      <c r="F920">
        <v>183.4</v>
      </c>
      <c r="G920">
        <v>6.6</v>
      </c>
      <c r="H920">
        <v>4.5</v>
      </c>
      <c r="I920">
        <v>2.1</v>
      </c>
      <c r="J920">
        <v>31</v>
      </c>
      <c r="K920">
        <v>74.7</v>
      </c>
      <c r="L920">
        <v>1056.7</v>
      </c>
      <c r="M920">
        <v>466</v>
      </c>
      <c r="N920">
        <v>421</v>
      </c>
      <c r="O920">
        <v>562</v>
      </c>
      <c r="P920">
        <v>141</v>
      </c>
      <c r="Q920">
        <v>349</v>
      </c>
      <c r="R920">
        <v>622</v>
      </c>
      <c r="S920">
        <v>273</v>
      </c>
      <c r="T920">
        <v>227.1</v>
      </c>
      <c r="U920">
        <v>411</v>
      </c>
      <c r="V920">
        <v>418</v>
      </c>
      <c r="W920">
        <v>500</v>
      </c>
      <c r="X920">
        <v>2.79</v>
      </c>
    </row>
    <row r="921" spans="1:24" hidden="1" outlineLevel="2" x14ac:dyDescent="0.25">
      <c r="A921" t="str">
        <f t="shared" si="136"/>
        <v>AK7 - 2002</v>
      </c>
      <c r="B921" t="s">
        <v>36</v>
      </c>
      <c r="C921">
        <v>10</v>
      </c>
      <c r="D921">
        <v>16</v>
      </c>
      <c r="E921">
        <v>2002</v>
      </c>
      <c r="F921">
        <v>189.4</v>
      </c>
      <c r="G921">
        <v>10.8</v>
      </c>
      <c r="H921">
        <v>9.6</v>
      </c>
      <c r="I921">
        <v>1.2</v>
      </c>
      <c r="J921">
        <v>11</v>
      </c>
      <c r="K921">
        <v>124.9</v>
      </c>
      <c r="L921">
        <v>1127</v>
      </c>
      <c r="M921">
        <v>371</v>
      </c>
      <c r="N921">
        <v>351</v>
      </c>
      <c r="O921">
        <v>530</v>
      </c>
      <c r="P921">
        <v>179</v>
      </c>
      <c r="Q921">
        <v>303</v>
      </c>
      <c r="R921">
        <v>549</v>
      </c>
      <c r="S921">
        <v>246</v>
      </c>
      <c r="T921">
        <v>240.3</v>
      </c>
      <c r="U921">
        <v>373</v>
      </c>
      <c r="V921">
        <v>372</v>
      </c>
      <c r="W921">
        <v>500</v>
      </c>
      <c r="X921">
        <v>2.79</v>
      </c>
    </row>
    <row r="922" spans="1:24" hidden="1" outlineLevel="2" x14ac:dyDescent="0.25">
      <c r="A922" t="str">
        <f t="shared" si="136"/>
        <v>AK7 - 2002</v>
      </c>
      <c r="B922" t="s">
        <v>36</v>
      </c>
      <c r="C922">
        <v>11</v>
      </c>
      <c r="D922">
        <v>16</v>
      </c>
      <c r="E922">
        <v>2002</v>
      </c>
      <c r="F922">
        <v>126</v>
      </c>
      <c r="G922">
        <v>2.7</v>
      </c>
      <c r="H922">
        <v>2.4</v>
      </c>
      <c r="I922">
        <v>0.3</v>
      </c>
      <c r="J922">
        <v>11</v>
      </c>
      <c r="K922">
        <v>21.1</v>
      </c>
      <c r="L922">
        <v>498.8</v>
      </c>
      <c r="M922">
        <v>436</v>
      </c>
      <c r="N922">
        <v>419</v>
      </c>
      <c r="O922">
        <v>578</v>
      </c>
      <c r="P922">
        <v>159</v>
      </c>
      <c r="Q922">
        <v>371</v>
      </c>
      <c r="R922">
        <v>578</v>
      </c>
      <c r="S922">
        <v>207</v>
      </c>
      <c r="T922">
        <v>137.69999999999999</v>
      </c>
      <c r="U922">
        <v>408</v>
      </c>
      <c r="V922">
        <v>408</v>
      </c>
      <c r="W922">
        <v>500</v>
      </c>
      <c r="X922">
        <v>2.79</v>
      </c>
    </row>
    <row r="923" spans="1:24" hidden="1" outlineLevel="2" x14ac:dyDescent="0.25">
      <c r="A923" t="str">
        <f t="shared" si="136"/>
        <v>AK7 - 2002</v>
      </c>
      <c r="B923" t="s">
        <v>36</v>
      </c>
      <c r="C923">
        <v>12</v>
      </c>
      <c r="D923">
        <v>17</v>
      </c>
      <c r="E923">
        <v>2002</v>
      </c>
      <c r="F923">
        <v>143.4</v>
      </c>
      <c r="G923">
        <v>2.4</v>
      </c>
      <c r="H923">
        <v>0.9</v>
      </c>
      <c r="I923">
        <v>1.5</v>
      </c>
      <c r="J923">
        <v>62</v>
      </c>
      <c r="K923">
        <v>21.4</v>
      </c>
      <c r="L923">
        <v>646</v>
      </c>
      <c r="M923">
        <v>491</v>
      </c>
      <c r="N923">
        <v>397</v>
      </c>
      <c r="O923">
        <v>547</v>
      </c>
      <c r="P923">
        <v>150</v>
      </c>
      <c r="Q923">
        <v>377</v>
      </c>
      <c r="R923">
        <v>580</v>
      </c>
      <c r="S923">
        <v>203</v>
      </c>
      <c r="T923">
        <v>144.9</v>
      </c>
      <c r="U923">
        <v>426</v>
      </c>
      <c r="V923">
        <v>418</v>
      </c>
      <c r="W923">
        <v>500</v>
      </c>
      <c r="X923">
        <v>2.79</v>
      </c>
    </row>
    <row r="924" spans="1:24" hidden="1" outlineLevel="2" x14ac:dyDescent="0.25">
      <c r="A924" t="str">
        <f t="shared" si="136"/>
        <v>AK7 - 2002</v>
      </c>
      <c r="B924" t="s">
        <v>36</v>
      </c>
      <c r="C924">
        <v>13</v>
      </c>
      <c r="D924">
        <v>17</v>
      </c>
      <c r="E924">
        <v>2002</v>
      </c>
      <c r="F924">
        <v>176.9</v>
      </c>
      <c r="G924">
        <v>8.6999999999999993</v>
      </c>
      <c r="H924">
        <v>4.5</v>
      </c>
      <c r="I924">
        <v>4.2</v>
      </c>
      <c r="J924">
        <v>48</v>
      </c>
      <c r="K924">
        <v>94.3</v>
      </c>
      <c r="L924">
        <v>983.1</v>
      </c>
      <c r="M924">
        <v>468</v>
      </c>
      <c r="N924">
        <v>381</v>
      </c>
      <c r="O924">
        <v>561</v>
      </c>
      <c r="P924">
        <v>180</v>
      </c>
      <c r="Q924">
        <v>334</v>
      </c>
      <c r="R924">
        <v>602</v>
      </c>
      <c r="S924">
        <v>268</v>
      </c>
      <c r="T924">
        <v>226.2</v>
      </c>
      <c r="U924">
        <v>428</v>
      </c>
      <c r="V924">
        <v>431</v>
      </c>
      <c r="W924">
        <v>500</v>
      </c>
      <c r="X924">
        <v>2.79</v>
      </c>
    </row>
    <row r="925" spans="1:24" hidden="1" outlineLevel="2" x14ac:dyDescent="0.25">
      <c r="A925" t="str">
        <f t="shared" si="136"/>
        <v>AK7 - 2002</v>
      </c>
      <c r="B925" t="s">
        <v>36</v>
      </c>
      <c r="C925">
        <v>14</v>
      </c>
      <c r="D925">
        <v>17</v>
      </c>
      <c r="E925">
        <v>2002</v>
      </c>
      <c r="F925">
        <v>192.9</v>
      </c>
      <c r="G925">
        <v>6.9</v>
      </c>
      <c r="H925">
        <v>5.7</v>
      </c>
      <c r="I925">
        <v>1.2</v>
      </c>
      <c r="J925">
        <v>17</v>
      </c>
      <c r="K925">
        <v>82.1</v>
      </c>
      <c r="L925">
        <v>1169</v>
      </c>
      <c r="M925">
        <v>408</v>
      </c>
      <c r="N925">
        <v>376</v>
      </c>
      <c r="O925">
        <v>562</v>
      </c>
      <c r="P925">
        <v>186</v>
      </c>
      <c r="Q925">
        <v>306</v>
      </c>
      <c r="R925">
        <v>598</v>
      </c>
      <c r="S925">
        <v>292</v>
      </c>
      <c r="T925">
        <v>193.2</v>
      </c>
      <c r="U925">
        <v>390</v>
      </c>
      <c r="V925">
        <v>377</v>
      </c>
      <c r="W925">
        <v>500</v>
      </c>
      <c r="X925">
        <v>2.79</v>
      </c>
    </row>
    <row r="926" spans="1:24" hidden="1" outlineLevel="2" x14ac:dyDescent="0.25">
      <c r="A926" t="str">
        <f t="shared" si="136"/>
        <v>AK7 - 2002</v>
      </c>
      <c r="B926" t="s">
        <v>36</v>
      </c>
      <c r="C926">
        <v>15</v>
      </c>
      <c r="D926">
        <v>17</v>
      </c>
      <c r="E926">
        <v>2002</v>
      </c>
      <c r="F926">
        <v>172.4</v>
      </c>
      <c r="G926">
        <v>5.0999999999999996</v>
      </c>
      <c r="H926">
        <v>4.8</v>
      </c>
      <c r="I926">
        <v>0.3</v>
      </c>
      <c r="J926">
        <v>5</v>
      </c>
      <c r="K926">
        <v>54.4</v>
      </c>
      <c r="L926">
        <v>933.7</v>
      </c>
      <c r="M926">
        <v>426</v>
      </c>
      <c r="N926">
        <v>420</v>
      </c>
      <c r="O926">
        <v>524</v>
      </c>
      <c r="P926">
        <v>104</v>
      </c>
      <c r="Q926">
        <v>368</v>
      </c>
      <c r="R926">
        <v>524</v>
      </c>
      <c r="S926">
        <v>156</v>
      </c>
      <c r="T926">
        <v>172.5</v>
      </c>
      <c r="U926">
        <v>414</v>
      </c>
      <c r="V926">
        <v>397</v>
      </c>
      <c r="W926">
        <v>500</v>
      </c>
      <c r="X926">
        <v>2.79</v>
      </c>
    </row>
    <row r="927" spans="1:24" outlineLevel="1" collapsed="1" x14ac:dyDescent="0.25">
      <c r="A927" s="8" t="s">
        <v>105</v>
      </c>
      <c r="D927">
        <f t="shared" ref="D927:V927" si="137">SUBTOTAL(1,D913:D926)</f>
        <v>16.785714285714285</v>
      </c>
      <c r="E927">
        <f t="shared" si="137"/>
        <v>2002</v>
      </c>
      <c r="F927">
        <f t="shared" si="137"/>
        <v>181.26428571428573</v>
      </c>
      <c r="G927">
        <f t="shared" si="137"/>
        <v>6.9428571428571439</v>
      </c>
      <c r="H927">
        <f t="shared" si="137"/>
        <v>5.4857142857142867</v>
      </c>
      <c r="I927">
        <f t="shared" si="137"/>
        <v>1.4571428571428571</v>
      </c>
      <c r="J927">
        <f t="shared" si="137"/>
        <v>22.071428571428573</v>
      </c>
      <c r="K927">
        <f t="shared" si="137"/>
        <v>80.357142857142861</v>
      </c>
      <c r="L927">
        <f t="shared" si="137"/>
        <v>1052.957142857143</v>
      </c>
      <c r="M927">
        <f t="shared" si="137"/>
        <v>426.07142857142856</v>
      </c>
      <c r="N927">
        <f t="shared" si="137"/>
        <v>391</v>
      </c>
      <c r="O927">
        <f t="shared" si="137"/>
        <v>547.07142857142856</v>
      </c>
      <c r="P927">
        <f t="shared" si="137"/>
        <v>156.07142857142858</v>
      </c>
      <c r="Q927">
        <f t="shared" si="137"/>
        <v>339.64285714285717</v>
      </c>
      <c r="R927">
        <f t="shared" si="137"/>
        <v>570.57142857142856</v>
      </c>
      <c r="S927">
        <f t="shared" si="137"/>
        <v>230.92857142857142</v>
      </c>
      <c r="T927">
        <f t="shared" si="137"/>
        <v>202.39285714285711</v>
      </c>
      <c r="U927">
        <f t="shared" si="137"/>
        <v>405.85714285714283</v>
      </c>
      <c r="V927">
        <f t="shared" si="137"/>
        <v>400.78571428571428</v>
      </c>
    </row>
    <row r="928" spans="1:24" hidden="1" outlineLevel="2" x14ac:dyDescent="0.25">
      <c r="A928" t="str">
        <f t="shared" ref="A928:A941" si="138">CONCATENATE(B928," - ",E928)</f>
        <v>AK7 - 2003</v>
      </c>
      <c r="B928" t="s">
        <v>36</v>
      </c>
      <c r="C928">
        <v>1</v>
      </c>
      <c r="D928">
        <v>18</v>
      </c>
      <c r="E928">
        <v>2003</v>
      </c>
      <c r="F928">
        <v>183.4</v>
      </c>
      <c r="G928">
        <v>3.9</v>
      </c>
      <c r="H928">
        <v>3.6</v>
      </c>
      <c r="I928">
        <v>0.3</v>
      </c>
      <c r="J928">
        <v>7</v>
      </c>
      <c r="K928">
        <v>44.5</v>
      </c>
      <c r="L928">
        <v>1056.7</v>
      </c>
      <c r="M928">
        <v>446</v>
      </c>
      <c r="N928">
        <v>437</v>
      </c>
      <c r="O928">
        <v>554</v>
      </c>
      <c r="P928">
        <v>117</v>
      </c>
      <c r="Q928">
        <v>386</v>
      </c>
      <c r="R928">
        <v>554</v>
      </c>
      <c r="S928">
        <v>168</v>
      </c>
      <c r="T928">
        <v>184.2</v>
      </c>
      <c r="U928">
        <v>438</v>
      </c>
      <c r="V928">
        <v>433</v>
      </c>
      <c r="W928">
        <v>500</v>
      </c>
      <c r="X928">
        <v>2.79</v>
      </c>
    </row>
    <row r="929" spans="1:24" hidden="1" outlineLevel="2" x14ac:dyDescent="0.25">
      <c r="A929" t="str">
        <f t="shared" si="138"/>
        <v>AK7 - 2003</v>
      </c>
      <c r="B929" t="s">
        <v>36</v>
      </c>
      <c r="C929">
        <v>2</v>
      </c>
      <c r="D929">
        <v>18</v>
      </c>
      <c r="E929">
        <v>2003</v>
      </c>
      <c r="F929">
        <v>175.3</v>
      </c>
      <c r="G929">
        <v>7.5</v>
      </c>
      <c r="H929">
        <v>6.6</v>
      </c>
      <c r="I929">
        <v>0.9</v>
      </c>
      <c r="J929">
        <v>12</v>
      </c>
      <c r="K929">
        <v>80.8</v>
      </c>
      <c r="L929">
        <v>965.4</v>
      </c>
      <c r="M929">
        <v>405</v>
      </c>
      <c r="N929">
        <v>391</v>
      </c>
      <c r="O929">
        <v>510</v>
      </c>
      <c r="P929">
        <v>119</v>
      </c>
      <c r="Q929">
        <v>348</v>
      </c>
      <c r="R929">
        <v>520</v>
      </c>
      <c r="S929">
        <v>172</v>
      </c>
      <c r="T929">
        <v>195.9</v>
      </c>
      <c r="U929">
        <v>414</v>
      </c>
      <c r="V929">
        <v>411</v>
      </c>
      <c r="W929">
        <v>500</v>
      </c>
      <c r="X929">
        <v>2.79</v>
      </c>
    </row>
    <row r="930" spans="1:24" hidden="1" outlineLevel="2" x14ac:dyDescent="0.25">
      <c r="A930" t="str">
        <f t="shared" si="138"/>
        <v>AK7 - 2003</v>
      </c>
      <c r="B930" t="s">
        <v>36</v>
      </c>
      <c r="C930">
        <v>3</v>
      </c>
      <c r="D930">
        <v>18</v>
      </c>
      <c r="E930">
        <v>2003</v>
      </c>
      <c r="F930">
        <v>236.8</v>
      </c>
      <c r="G930">
        <v>4.2</v>
      </c>
      <c r="H930">
        <v>4.2</v>
      </c>
      <c r="I930">
        <v>0</v>
      </c>
      <c r="J930">
        <v>0</v>
      </c>
      <c r="K930">
        <v>61.9</v>
      </c>
      <c r="L930">
        <v>1761.6</v>
      </c>
      <c r="M930">
        <v>384</v>
      </c>
      <c r="N930">
        <v>384</v>
      </c>
      <c r="Q930">
        <v>364</v>
      </c>
      <c r="R930">
        <v>441</v>
      </c>
      <c r="S930">
        <v>77</v>
      </c>
      <c r="T930">
        <v>252.9</v>
      </c>
      <c r="U930">
        <v>370</v>
      </c>
      <c r="V930">
        <v>365</v>
      </c>
      <c r="W930">
        <v>500</v>
      </c>
      <c r="X930">
        <v>2.79</v>
      </c>
    </row>
    <row r="931" spans="1:24" hidden="1" outlineLevel="2" x14ac:dyDescent="0.25">
      <c r="A931" t="str">
        <f t="shared" si="138"/>
        <v>AK7 - 2003</v>
      </c>
      <c r="B931" t="s">
        <v>36</v>
      </c>
      <c r="C931">
        <v>5</v>
      </c>
      <c r="D931">
        <v>18</v>
      </c>
      <c r="E931">
        <v>2003</v>
      </c>
      <c r="F931">
        <v>204</v>
      </c>
      <c r="G931">
        <v>6.6</v>
      </c>
      <c r="H931">
        <v>6.6</v>
      </c>
      <c r="I931">
        <v>0</v>
      </c>
      <c r="J931">
        <v>0</v>
      </c>
      <c r="K931">
        <v>83.2</v>
      </c>
      <c r="L931">
        <v>1307.4000000000001</v>
      </c>
      <c r="M931">
        <v>394</v>
      </c>
      <c r="N931">
        <v>394</v>
      </c>
      <c r="Q931">
        <v>367</v>
      </c>
      <c r="R931">
        <v>494</v>
      </c>
      <c r="S931">
        <v>127</v>
      </c>
      <c r="T931">
        <v>221.1</v>
      </c>
      <c r="U931">
        <v>426</v>
      </c>
      <c r="V931">
        <v>420</v>
      </c>
      <c r="W931">
        <v>500</v>
      </c>
      <c r="X931">
        <v>2.79</v>
      </c>
    </row>
    <row r="932" spans="1:24" hidden="1" outlineLevel="2" x14ac:dyDescent="0.25">
      <c r="A932" t="str">
        <f t="shared" si="138"/>
        <v>AK7 - 2003</v>
      </c>
      <c r="B932" t="s">
        <v>36</v>
      </c>
      <c r="C932">
        <v>6</v>
      </c>
      <c r="D932">
        <v>18</v>
      </c>
      <c r="E932">
        <v>2003</v>
      </c>
      <c r="F932">
        <v>179.1</v>
      </c>
      <c r="G932">
        <v>3.9</v>
      </c>
      <c r="H932">
        <v>3.9</v>
      </c>
      <c r="I932">
        <v>0</v>
      </c>
      <c r="J932">
        <v>0</v>
      </c>
      <c r="K932">
        <v>43.4</v>
      </c>
      <c r="L932">
        <v>1007.7</v>
      </c>
      <c r="M932">
        <v>401</v>
      </c>
      <c r="N932">
        <v>401</v>
      </c>
      <c r="Q932">
        <v>355</v>
      </c>
      <c r="R932">
        <v>493</v>
      </c>
      <c r="S932">
        <v>138</v>
      </c>
      <c r="T932">
        <v>181.2</v>
      </c>
      <c r="U932">
        <v>379</v>
      </c>
      <c r="V932">
        <v>374</v>
      </c>
      <c r="W932">
        <v>500</v>
      </c>
      <c r="X932">
        <v>2.79</v>
      </c>
    </row>
    <row r="933" spans="1:24" hidden="1" outlineLevel="2" x14ac:dyDescent="0.25">
      <c r="A933" t="str">
        <f t="shared" si="138"/>
        <v>AK7 - 2003</v>
      </c>
      <c r="B933" t="s">
        <v>36</v>
      </c>
      <c r="C933">
        <v>7</v>
      </c>
      <c r="D933">
        <v>18</v>
      </c>
      <c r="E933">
        <v>2003</v>
      </c>
      <c r="F933">
        <v>229.7</v>
      </c>
      <c r="G933">
        <v>12</v>
      </c>
      <c r="H933">
        <v>11.7</v>
      </c>
      <c r="I933">
        <v>0.3</v>
      </c>
      <c r="J933">
        <v>2</v>
      </c>
      <c r="K933">
        <v>168.7</v>
      </c>
      <c r="L933">
        <v>1657.6</v>
      </c>
      <c r="M933">
        <v>367</v>
      </c>
      <c r="N933">
        <v>363</v>
      </c>
      <c r="O933">
        <v>536</v>
      </c>
      <c r="P933">
        <v>173</v>
      </c>
      <c r="Q933">
        <v>323</v>
      </c>
      <c r="R933">
        <v>536</v>
      </c>
      <c r="S933">
        <v>213</v>
      </c>
      <c r="T933">
        <v>278.39999999999998</v>
      </c>
      <c r="U933">
        <v>367</v>
      </c>
      <c r="V933">
        <v>372</v>
      </c>
      <c r="W933">
        <v>500</v>
      </c>
      <c r="X933">
        <v>2.79</v>
      </c>
    </row>
    <row r="934" spans="1:24" hidden="1" outlineLevel="2" x14ac:dyDescent="0.25">
      <c r="A934" t="str">
        <f t="shared" si="138"/>
        <v>AK7 - 2003</v>
      </c>
      <c r="B934" t="s">
        <v>36</v>
      </c>
      <c r="C934">
        <v>8</v>
      </c>
      <c r="D934">
        <v>18</v>
      </c>
      <c r="E934">
        <v>2003</v>
      </c>
      <c r="F934">
        <v>187.3</v>
      </c>
      <c r="G934">
        <v>4.2</v>
      </c>
      <c r="H934">
        <v>2.1</v>
      </c>
      <c r="I934">
        <v>2.1</v>
      </c>
      <c r="J934">
        <v>50</v>
      </c>
      <c r="K934">
        <v>48.9</v>
      </c>
      <c r="L934">
        <v>1102.0999999999999</v>
      </c>
      <c r="M934">
        <v>478</v>
      </c>
      <c r="N934">
        <v>413</v>
      </c>
      <c r="O934">
        <v>543</v>
      </c>
      <c r="P934">
        <v>130</v>
      </c>
      <c r="Q934">
        <v>359</v>
      </c>
      <c r="R934">
        <v>630</v>
      </c>
      <c r="S934">
        <v>271</v>
      </c>
      <c r="T934">
        <v>177.9</v>
      </c>
      <c r="U934">
        <v>438</v>
      </c>
      <c r="V934">
        <v>415</v>
      </c>
      <c r="W934">
        <v>500</v>
      </c>
      <c r="X934">
        <v>2.79</v>
      </c>
    </row>
    <row r="935" spans="1:24" hidden="1" outlineLevel="2" x14ac:dyDescent="0.25">
      <c r="A935" t="str">
        <f t="shared" si="138"/>
        <v>AK7 - 2003</v>
      </c>
      <c r="B935" t="s">
        <v>36</v>
      </c>
      <c r="C935">
        <v>9</v>
      </c>
      <c r="D935">
        <v>17</v>
      </c>
      <c r="E935">
        <v>2003</v>
      </c>
      <c r="F935">
        <v>191.2</v>
      </c>
      <c r="G935">
        <v>7.8</v>
      </c>
      <c r="H935">
        <v>6.9</v>
      </c>
      <c r="I935">
        <v>0.9</v>
      </c>
      <c r="J935">
        <v>11</v>
      </c>
      <c r="K935">
        <v>91.8</v>
      </c>
      <c r="L935">
        <v>1148.5</v>
      </c>
      <c r="M935">
        <v>445</v>
      </c>
      <c r="N935">
        <v>434</v>
      </c>
      <c r="O935">
        <v>531</v>
      </c>
      <c r="P935">
        <v>97</v>
      </c>
      <c r="Q935">
        <v>386</v>
      </c>
      <c r="R935">
        <v>575</v>
      </c>
      <c r="S935">
        <v>189</v>
      </c>
      <c r="T935">
        <v>227.1</v>
      </c>
      <c r="U935">
        <v>411</v>
      </c>
      <c r="V935">
        <v>418</v>
      </c>
      <c r="W935">
        <v>500</v>
      </c>
      <c r="X935">
        <v>2.79</v>
      </c>
    </row>
    <row r="936" spans="1:24" hidden="1" outlineLevel="2" x14ac:dyDescent="0.25">
      <c r="A936" t="str">
        <f t="shared" si="138"/>
        <v>AK7 - 2003</v>
      </c>
      <c r="B936" t="s">
        <v>36</v>
      </c>
      <c r="C936">
        <v>10</v>
      </c>
      <c r="D936">
        <v>17</v>
      </c>
      <c r="E936">
        <v>2003</v>
      </c>
      <c r="F936">
        <v>198.1</v>
      </c>
      <c r="G936">
        <v>8.6999999999999993</v>
      </c>
      <c r="H936">
        <v>8.4</v>
      </c>
      <c r="I936">
        <v>0.3</v>
      </c>
      <c r="J936">
        <v>3</v>
      </c>
      <c r="K936">
        <v>105.9</v>
      </c>
      <c r="L936">
        <v>1232.9000000000001</v>
      </c>
      <c r="M936">
        <v>360</v>
      </c>
      <c r="N936">
        <v>354</v>
      </c>
      <c r="O936">
        <v>503</v>
      </c>
      <c r="P936">
        <v>149</v>
      </c>
      <c r="Q936">
        <v>296</v>
      </c>
      <c r="R936">
        <v>503</v>
      </c>
      <c r="S936">
        <v>207</v>
      </c>
      <c r="T936">
        <v>240.3</v>
      </c>
      <c r="U936">
        <v>373</v>
      </c>
      <c r="V936">
        <v>372</v>
      </c>
      <c r="W936">
        <v>500</v>
      </c>
      <c r="X936">
        <v>2.79</v>
      </c>
    </row>
    <row r="937" spans="1:24" hidden="1" outlineLevel="2" x14ac:dyDescent="0.25">
      <c r="A937" t="str">
        <f t="shared" si="138"/>
        <v>AK7 - 2003</v>
      </c>
      <c r="B937" t="s">
        <v>36</v>
      </c>
      <c r="C937">
        <v>11</v>
      </c>
      <c r="D937">
        <v>17</v>
      </c>
      <c r="E937">
        <v>2003</v>
      </c>
      <c r="F937">
        <v>128.69999999999999</v>
      </c>
      <c r="G937">
        <v>2.7</v>
      </c>
      <c r="H937">
        <v>2.7</v>
      </c>
      <c r="I937">
        <v>0</v>
      </c>
      <c r="J937">
        <v>0</v>
      </c>
      <c r="K937">
        <v>21.6</v>
      </c>
      <c r="L937">
        <v>520.4</v>
      </c>
      <c r="M937">
        <v>416</v>
      </c>
      <c r="N937">
        <v>416</v>
      </c>
      <c r="Q937">
        <v>362</v>
      </c>
      <c r="R937">
        <v>478</v>
      </c>
      <c r="S937">
        <v>116</v>
      </c>
      <c r="T937">
        <v>137.69999999999999</v>
      </c>
      <c r="U937">
        <v>408</v>
      </c>
      <c r="V937">
        <v>408</v>
      </c>
      <c r="W937">
        <v>500</v>
      </c>
      <c r="X937">
        <v>2.79</v>
      </c>
    </row>
    <row r="938" spans="1:24" hidden="1" outlineLevel="2" x14ac:dyDescent="0.25">
      <c r="A938" t="str">
        <f t="shared" si="138"/>
        <v>AK7 - 2003</v>
      </c>
      <c r="B938" t="s">
        <v>36</v>
      </c>
      <c r="C938">
        <v>12</v>
      </c>
      <c r="D938">
        <v>18</v>
      </c>
      <c r="E938">
        <v>2003</v>
      </c>
      <c r="F938">
        <v>145.19999999999999</v>
      </c>
      <c r="G938">
        <v>1.8</v>
      </c>
      <c r="H938">
        <v>1.2</v>
      </c>
      <c r="I938">
        <v>0.6</v>
      </c>
      <c r="J938">
        <v>33</v>
      </c>
      <c r="K938">
        <v>16.3</v>
      </c>
      <c r="L938">
        <v>662.3</v>
      </c>
      <c r="M938">
        <v>472</v>
      </c>
      <c r="N938">
        <v>435</v>
      </c>
      <c r="O938">
        <v>546</v>
      </c>
      <c r="P938">
        <v>111</v>
      </c>
      <c r="Q938">
        <v>417</v>
      </c>
      <c r="R938">
        <v>561</v>
      </c>
      <c r="S938">
        <v>144</v>
      </c>
      <c r="T938">
        <v>144.9</v>
      </c>
      <c r="U938">
        <v>426</v>
      </c>
      <c r="V938">
        <v>418</v>
      </c>
      <c r="W938">
        <v>500</v>
      </c>
      <c r="X938">
        <v>2.79</v>
      </c>
    </row>
    <row r="939" spans="1:24" hidden="1" outlineLevel="2" x14ac:dyDescent="0.25">
      <c r="A939" t="str">
        <f t="shared" si="138"/>
        <v>AK7 - 2003</v>
      </c>
      <c r="B939" t="s">
        <v>36</v>
      </c>
      <c r="C939">
        <v>13</v>
      </c>
      <c r="D939">
        <v>18</v>
      </c>
      <c r="E939">
        <v>2003</v>
      </c>
      <c r="F939">
        <v>185.9</v>
      </c>
      <c r="G939">
        <v>9</v>
      </c>
      <c r="H939">
        <v>7.5</v>
      </c>
      <c r="I939">
        <v>1.5</v>
      </c>
      <c r="J939">
        <v>16</v>
      </c>
      <c r="K939">
        <v>102.6</v>
      </c>
      <c r="L939">
        <v>1085.7</v>
      </c>
      <c r="M939">
        <v>438</v>
      </c>
      <c r="N939">
        <v>415</v>
      </c>
      <c r="O939">
        <v>550</v>
      </c>
      <c r="P939">
        <v>135</v>
      </c>
      <c r="Q939">
        <v>355</v>
      </c>
      <c r="R939">
        <v>577</v>
      </c>
      <c r="S939">
        <v>222</v>
      </c>
      <c r="T939">
        <v>226.2</v>
      </c>
      <c r="U939">
        <v>428</v>
      </c>
      <c r="V939">
        <v>431</v>
      </c>
      <c r="W939">
        <v>500</v>
      </c>
      <c r="X939">
        <v>2.79</v>
      </c>
    </row>
    <row r="940" spans="1:24" hidden="1" outlineLevel="2" x14ac:dyDescent="0.25">
      <c r="A940" t="str">
        <f t="shared" si="138"/>
        <v>AK7 - 2003</v>
      </c>
      <c r="B940" t="s">
        <v>36</v>
      </c>
      <c r="C940">
        <v>14</v>
      </c>
      <c r="D940">
        <v>18</v>
      </c>
      <c r="E940">
        <v>2003</v>
      </c>
      <c r="F940">
        <v>198</v>
      </c>
      <c r="G940">
        <v>5.0999999999999996</v>
      </c>
      <c r="H940">
        <v>4.8</v>
      </c>
      <c r="I940">
        <v>0.3</v>
      </c>
      <c r="J940">
        <v>5</v>
      </c>
      <c r="K940">
        <v>62.6</v>
      </c>
      <c r="L940">
        <v>1231.5999999999999</v>
      </c>
      <c r="M940">
        <v>380</v>
      </c>
      <c r="N940">
        <v>370</v>
      </c>
      <c r="O940">
        <v>547</v>
      </c>
      <c r="P940">
        <v>177</v>
      </c>
      <c r="Q940">
        <v>334</v>
      </c>
      <c r="R940">
        <v>547</v>
      </c>
      <c r="S940">
        <v>213</v>
      </c>
      <c r="T940">
        <v>193.2</v>
      </c>
      <c r="U940">
        <v>390</v>
      </c>
      <c r="V940">
        <v>377</v>
      </c>
      <c r="W940">
        <v>500</v>
      </c>
      <c r="X940">
        <v>2.79</v>
      </c>
    </row>
    <row r="941" spans="1:24" hidden="1" outlineLevel="2" x14ac:dyDescent="0.25">
      <c r="A941" t="str">
        <f t="shared" si="138"/>
        <v>AK7 - 2003</v>
      </c>
      <c r="B941" t="s">
        <v>36</v>
      </c>
      <c r="C941">
        <v>15</v>
      </c>
      <c r="D941">
        <v>18</v>
      </c>
      <c r="E941">
        <v>2003</v>
      </c>
      <c r="F941">
        <v>176.3</v>
      </c>
      <c r="G941">
        <v>3.9</v>
      </c>
      <c r="H941">
        <v>3</v>
      </c>
      <c r="I941">
        <v>0.9</v>
      </c>
      <c r="J941">
        <v>23</v>
      </c>
      <c r="K941">
        <v>42.7</v>
      </c>
      <c r="L941">
        <v>976.5</v>
      </c>
      <c r="M941">
        <v>417</v>
      </c>
      <c r="N941">
        <v>380</v>
      </c>
      <c r="O941">
        <v>541</v>
      </c>
      <c r="P941">
        <v>161</v>
      </c>
      <c r="Q941">
        <v>336</v>
      </c>
      <c r="R941">
        <v>562</v>
      </c>
      <c r="S941">
        <v>226</v>
      </c>
      <c r="T941">
        <v>172.5</v>
      </c>
      <c r="U941">
        <v>414</v>
      </c>
      <c r="V941">
        <v>397</v>
      </c>
      <c r="W941">
        <v>500</v>
      </c>
      <c r="X941">
        <v>2.79</v>
      </c>
    </row>
    <row r="942" spans="1:24" outlineLevel="1" collapsed="1" x14ac:dyDescent="0.25">
      <c r="A942" s="8" t="s">
        <v>106</v>
      </c>
      <c r="D942">
        <f t="shared" ref="D942:V942" si="139">SUBTOTAL(1,D928:D941)</f>
        <v>17.785714285714285</v>
      </c>
      <c r="E942">
        <f t="shared" si="139"/>
        <v>2003</v>
      </c>
      <c r="F942">
        <f t="shared" si="139"/>
        <v>187.07142857142858</v>
      </c>
      <c r="G942">
        <f t="shared" si="139"/>
        <v>5.8071428571428569</v>
      </c>
      <c r="H942">
        <f t="shared" si="139"/>
        <v>5.2285714285714286</v>
      </c>
      <c r="I942">
        <f t="shared" si="139"/>
        <v>0.57857142857142851</v>
      </c>
      <c r="J942">
        <f t="shared" si="139"/>
        <v>11.571428571428571</v>
      </c>
      <c r="K942">
        <f t="shared" si="139"/>
        <v>69.635714285714286</v>
      </c>
      <c r="L942">
        <f t="shared" si="139"/>
        <v>1122.5999999999999</v>
      </c>
      <c r="M942">
        <f t="shared" si="139"/>
        <v>414.5</v>
      </c>
      <c r="N942">
        <f t="shared" si="139"/>
        <v>399.07142857142856</v>
      </c>
      <c r="O942">
        <f t="shared" si="139"/>
        <v>536.1</v>
      </c>
      <c r="P942">
        <f t="shared" si="139"/>
        <v>136.9</v>
      </c>
      <c r="Q942">
        <f t="shared" si="139"/>
        <v>356.28571428571428</v>
      </c>
      <c r="R942">
        <f t="shared" si="139"/>
        <v>533.64285714285711</v>
      </c>
      <c r="S942">
        <f t="shared" si="139"/>
        <v>177.35714285714286</v>
      </c>
      <c r="T942">
        <f t="shared" si="139"/>
        <v>202.39285714285711</v>
      </c>
      <c r="U942">
        <f t="shared" si="139"/>
        <v>405.85714285714283</v>
      </c>
      <c r="V942">
        <f t="shared" si="139"/>
        <v>400.78571428571428</v>
      </c>
    </row>
    <row r="943" spans="1:24" hidden="1" outlineLevel="2" x14ac:dyDescent="0.25">
      <c r="A943" t="str">
        <f t="shared" ref="A943:A956" si="140">CONCATENATE(B943," - ",E943)</f>
        <v>AK7 - 2004</v>
      </c>
      <c r="B943" t="s">
        <v>36</v>
      </c>
      <c r="C943">
        <v>1</v>
      </c>
      <c r="D943">
        <v>19</v>
      </c>
      <c r="E943">
        <v>2004</v>
      </c>
      <c r="F943">
        <v>186.1</v>
      </c>
      <c r="G943">
        <v>2.7</v>
      </c>
      <c r="H943">
        <v>1.8</v>
      </c>
      <c r="I943">
        <v>0.9</v>
      </c>
      <c r="J943">
        <v>33</v>
      </c>
      <c r="K943">
        <v>31.3</v>
      </c>
      <c r="L943">
        <v>1088</v>
      </c>
      <c r="M943">
        <v>475</v>
      </c>
      <c r="N943">
        <v>436</v>
      </c>
      <c r="O943">
        <v>552</v>
      </c>
      <c r="P943">
        <v>116</v>
      </c>
      <c r="Q943">
        <v>397</v>
      </c>
      <c r="R943">
        <v>589</v>
      </c>
      <c r="S943">
        <v>192</v>
      </c>
      <c r="T943">
        <v>184.2</v>
      </c>
      <c r="U943">
        <v>438</v>
      </c>
      <c r="V943">
        <v>433</v>
      </c>
      <c r="W943">
        <v>500</v>
      </c>
      <c r="X943">
        <v>2.79</v>
      </c>
    </row>
    <row r="944" spans="1:24" hidden="1" outlineLevel="2" x14ac:dyDescent="0.25">
      <c r="A944" t="str">
        <f t="shared" si="140"/>
        <v>AK7 - 2004</v>
      </c>
      <c r="B944" t="s">
        <v>36</v>
      </c>
      <c r="C944">
        <v>2</v>
      </c>
      <c r="D944">
        <v>19</v>
      </c>
      <c r="E944">
        <v>2004</v>
      </c>
      <c r="F944">
        <v>182.8</v>
      </c>
      <c r="G944">
        <v>7.5</v>
      </c>
      <c r="H944">
        <v>5.7</v>
      </c>
      <c r="I944">
        <v>1.8</v>
      </c>
      <c r="J944">
        <v>24</v>
      </c>
      <c r="K944">
        <v>84.4</v>
      </c>
      <c r="L944">
        <v>1049.8</v>
      </c>
      <c r="M944">
        <v>422</v>
      </c>
      <c r="N944">
        <v>390</v>
      </c>
      <c r="O944">
        <v>523</v>
      </c>
      <c r="P944">
        <v>133</v>
      </c>
      <c r="Q944">
        <v>345</v>
      </c>
      <c r="R944">
        <v>549</v>
      </c>
      <c r="S944">
        <v>204</v>
      </c>
      <c r="T944">
        <v>195.9</v>
      </c>
      <c r="U944">
        <v>414</v>
      </c>
      <c r="V944">
        <v>411</v>
      </c>
      <c r="W944">
        <v>500</v>
      </c>
      <c r="X944">
        <v>2.79</v>
      </c>
    </row>
    <row r="945" spans="1:24" hidden="1" outlineLevel="2" x14ac:dyDescent="0.25">
      <c r="A945" t="str">
        <f t="shared" si="140"/>
        <v>AK7 - 2004</v>
      </c>
      <c r="B945" t="s">
        <v>36</v>
      </c>
      <c r="C945">
        <v>3</v>
      </c>
      <c r="D945">
        <v>19</v>
      </c>
      <c r="E945">
        <v>2004</v>
      </c>
      <c r="F945">
        <v>241.6</v>
      </c>
      <c r="G945">
        <v>4.8</v>
      </c>
      <c r="H945">
        <v>4.8</v>
      </c>
      <c r="I945">
        <v>0</v>
      </c>
      <c r="J945">
        <v>0</v>
      </c>
      <c r="K945">
        <v>72.099999999999994</v>
      </c>
      <c r="L945">
        <v>1833.8</v>
      </c>
      <c r="M945">
        <v>394</v>
      </c>
      <c r="N945">
        <v>394</v>
      </c>
      <c r="Q945">
        <v>350</v>
      </c>
      <c r="R945">
        <v>499</v>
      </c>
      <c r="S945">
        <v>149</v>
      </c>
      <c r="T945">
        <v>252.9</v>
      </c>
      <c r="U945">
        <v>370</v>
      </c>
      <c r="V945">
        <v>365</v>
      </c>
      <c r="W945">
        <v>500</v>
      </c>
      <c r="X945">
        <v>2.79</v>
      </c>
    </row>
    <row r="946" spans="1:24" hidden="1" outlineLevel="2" x14ac:dyDescent="0.25">
      <c r="A946" t="str">
        <f t="shared" si="140"/>
        <v>AK7 - 2004</v>
      </c>
      <c r="B946" t="s">
        <v>36</v>
      </c>
      <c r="C946">
        <v>5</v>
      </c>
      <c r="D946">
        <v>19</v>
      </c>
      <c r="E946">
        <v>2004</v>
      </c>
      <c r="F946">
        <v>207.6</v>
      </c>
      <c r="G946">
        <v>3.6</v>
      </c>
      <c r="H946">
        <v>3.3</v>
      </c>
      <c r="I946">
        <v>0.3</v>
      </c>
      <c r="J946">
        <v>8</v>
      </c>
      <c r="K946">
        <v>46.6</v>
      </c>
      <c r="L946">
        <v>1354</v>
      </c>
      <c r="M946">
        <v>413</v>
      </c>
      <c r="N946">
        <v>402</v>
      </c>
      <c r="O946">
        <v>534</v>
      </c>
      <c r="P946">
        <v>132</v>
      </c>
      <c r="Q946">
        <v>377</v>
      </c>
      <c r="R946">
        <v>534</v>
      </c>
      <c r="S946">
        <v>157</v>
      </c>
      <c r="T946">
        <v>221.1</v>
      </c>
      <c r="U946">
        <v>426</v>
      </c>
      <c r="V946">
        <v>420</v>
      </c>
      <c r="W946">
        <v>500</v>
      </c>
      <c r="X946">
        <v>2.79</v>
      </c>
    </row>
    <row r="947" spans="1:24" hidden="1" outlineLevel="2" x14ac:dyDescent="0.25">
      <c r="A947" t="str">
        <f t="shared" si="140"/>
        <v>AK7 - 2004</v>
      </c>
      <c r="B947" t="s">
        <v>36</v>
      </c>
      <c r="C947">
        <v>6</v>
      </c>
      <c r="D947">
        <v>19</v>
      </c>
      <c r="E947">
        <v>2004</v>
      </c>
      <c r="F947">
        <v>181.8</v>
      </c>
      <c r="G947">
        <v>2.7</v>
      </c>
      <c r="H947">
        <v>2.7</v>
      </c>
      <c r="I947">
        <v>0</v>
      </c>
      <c r="J947">
        <v>0</v>
      </c>
      <c r="K947">
        <v>30.6</v>
      </c>
      <c r="L947">
        <v>1038.3</v>
      </c>
      <c r="M947">
        <v>382</v>
      </c>
      <c r="N947">
        <v>382</v>
      </c>
      <c r="Q947">
        <v>319</v>
      </c>
      <c r="R947">
        <v>492</v>
      </c>
      <c r="S947">
        <v>173</v>
      </c>
      <c r="T947">
        <v>181.2</v>
      </c>
      <c r="U947">
        <v>379</v>
      </c>
      <c r="V947">
        <v>374</v>
      </c>
      <c r="W947">
        <v>500</v>
      </c>
      <c r="X947">
        <v>2.79</v>
      </c>
    </row>
    <row r="948" spans="1:24" hidden="1" outlineLevel="2" x14ac:dyDescent="0.25">
      <c r="A948" t="str">
        <f t="shared" si="140"/>
        <v>AK7 - 2004</v>
      </c>
      <c r="B948" t="s">
        <v>36</v>
      </c>
      <c r="C948">
        <v>7</v>
      </c>
      <c r="D948">
        <v>19</v>
      </c>
      <c r="E948">
        <v>2004</v>
      </c>
      <c r="F948">
        <v>240.8</v>
      </c>
      <c r="G948">
        <v>11.1</v>
      </c>
      <c r="H948">
        <v>10.199999999999999</v>
      </c>
      <c r="I948">
        <v>0.9</v>
      </c>
      <c r="J948">
        <v>8</v>
      </c>
      <c r="K948">
        <v>164.1</v>
      </c>
      <c r="L948">
        <v>1821.6</v>
      </c>
      <c r="M948">
        <v>388</v>
      </c>
      <c r="N948">
        <v>376</v>
      </c>
      <c r="O948">
        <v>517</v>
      </c>
      <c r="P948">
        <v>141</v>
      </c>
      <c r="Q948">
        <v>326</v>
      </c>
      <c r="R948">
        <v>531</v>
      </c>
      <c r="S948">
        <v>205</v>
      </c>
      <c r="T948">
        <v>278.39999999999998</v>
      </c>
      <c r="U948">
        <v>367</v>
      </c>
      <c r="V948">
        <v>372</v>
      </c>
      <c r="W948">
        <v>500</v>
      </c>
      <c r="X948">
        <v>2.79</v>
      </c>
    </row>
    <row r="949" spans="1:24" hidden="1" outlineLevel="2" x14ac:dyDescent="0.25">
      <c r="A949" t="str">
        <f t="shared" si="140"/>
        <v>AK7 - 2004</v>
      </c>
      <c r="B949" t="s">
        <v>36</v>
      </c>
      <c r="C949">
        <v>8</v>
      </c>
      <c r="D949">
        <v>19</v>
      </c>
      <c r="E949">
        <v>2004</v>
      </c>
      <c r="F949">
        <v>191.8</v>
      </c>
      <c r="G949">
        <v>4.5</v>
      </c>
      <c r="H949">
        <v>4.2</v>
      </c>
      <c r="I949">
        <v>0.3</v>
      </c>
      <c r="J949">
        <v>6</v>
      </c>
      <c r="K949">
        <v>53.6</v>
      </c>
      <c r="L949">
        <v>1155.7</v>
      </c>
      <c r="M949">
        <v>447</v>
      </c>
      <c r="N949">
        <v>438</v>
      </c>
      <c r="O949">
        <v>579</v>
      </c>
      <c r="P949">
        <v>141</v>
      </c>
      <c r="Q949">
        <v>401</v>
      </c>
      <c r="R949">
        <v>579</v>
      </c>
      <c r="S949">
        <v>178</v>
      </c>
      <c r="T949">
        <v>177.9</v>
      </c>
      <c r="U949">
        <v>438</v>
      </c>
      <c r="V949">
        <v>415</v>
      </c>
      <c r="W949">
        <v>500</v>
      </c>
      <c r="X949">
        <v>2.79</v>
      </c>
    </row>
    <row r="950" spans="1:24" hidden="1" outlineLevel="2" x14ac:dyDescent="0.25">
      <c r="A950" t="str">
        <f t="shared" si="140"/>
        <v>AK7 - 2004</v>
      </c>
      <c r="B950" t="s">
        <v>36</v>
      </c>
      <c r="C950">
        <v>9</v>
      </c>
      <c r="D950">
        <v>18</v>
      </c>
      <c r="E950">
        <v>2004</v>
      </c>
      <c r="F950">
        <v>198.1</v>
      </c>
      <c r="G950">
        <v>6.9</v>
      </c>
      <c r="H950">
        <v>4.5</v>
      </c>
      <c r="I950">
        <v>2.4</v>
      </c>
      <c r="J950">
        <v>34</v>
      </c>
      <c r="K950">
        <v>84.4</v>
      </c>
      <c r="L950">
        <v>1232.9000000000001</v>
      </c>
      <c r="M950">
        <v>460</v>
      </c>
      <c r="N950">
        <v>415</v>
      </c>
      <c r="O950">
        <v>545</v>
      </c>
      <c r="P950">
        <v>130</v>
      </c>
      <c r="Q950">
        <v>376</v>
      </c>
      <c r="R950">
        <v>619</v>
      </c>
      <c r="S950">
        <v>243</v>
      </c>
      <c r="T950">
        <v>227.1</v>
      </c>
      <c r="U950">
        <v>411</v>
      </c>
      <c r="V950">
        <v>418</v>
      </c>
      <c r="W950">
        <v>500</v>
      </c>
      <c r="X950">
        <v>2.79</v>
      </c>
    </row>
    <row r="951" spans="1:24" hidden="1" outlineLevel="2" x14ac:dyDescent="0.25">
      <c r="A951" t="str">
        <f t="shared" si="140"/>
        <v>AK7 - 2004</v>
      </c>
      <c r="B951" t="s">
        <v>36</v>
      </c>
      <c r="C951">
        <v>10</v>
      </c>
      <c r="D951">
        <v>18</v>
      </c>
      <c r="E951">
        <v>2004</v>
      </c>
      <c r="F951">
        <v>207.1</v>
      </c>
      <c r="G951">
        <v>9</v>
      </c>
      <c r="H951">
        <v>8.4</v>
      </c>
      <c r="I951">
        <v>0.6</v>
      </c>
      <c r="J951">
        <v>6</v>
      </c>
      <c r="K951">
        <v>114.6</v>
      </c>
      <c r="L951">
        <v>1347.4</v>
      </c>
      <c r="M951">
        <v>362</v>
      </c>
      <c r="N951">
        <v>352</v>
      </c>
      <c r="O951">
        <v>507</v>
      </c>
      <c r="P951">
        <v>155</v>
      </c>
      <c r="Q951">
        <v>303</v>
      </c>
      <c r="R951">
        <v>515</v>
      </c>
      <c r="S951">
        <v>212</v>
      </c>
      <c r="T951">
        <v>240.3</v>
      </c>
      <c r="U951">
        <v>373</v>
      </c>
      <c r="V951">
        <v>372</v>
      </c>
      <c r="W951">
        <v>500</v>
      </c>
      <c r="X951">
        <v>2.79</v>
      </c>
    </row>
    <row r="952" spans="1:24" hidden="1" outlineLevel="2" x14ac:dyDescent="0.25">
      <c r="A952" t="str">
        <f t="shared" si="140"/>
        <v>AK7 - 2004</v>
      </c>
      <c r="B952" t="s">
        <v>36</v>
      </c>
      <c r="C952">
        <v>11</v>
      </c>
      <c r="D952">
        <v>18</v>
      </c>
      <c r="E952">
        <v>2004</v>
      </c>
      <c r="F952">
        <v>130.80000000000001</v>
      </c>
      <c r="G952">
        <v>2.1</v>
      </c>
      <c r="H952">
        <v>1.8</v>
      </c>
      <c r="I952">
        <v>0.3</v>
      </c>
      <c r="J952">
        <v>14</v>
      </c>
      <c r="K952">
        <v>17.100000000000001</v>
      </c>
      <c r="L952">
        <v>537.5</v>
      </c>
      <c r="M952">
        <v>414</v>
      </c>
      <c r="N952">
        <v>397</v>
      </c>
      <c r="O952">
        <v>518</v>
      </c>
      <c r="P952">
        <v>121</v>
      </c>
      <c r="Q952">
        <v>357</v>
      </c>
      <c r="R952">
        <v>518</v>
      </c>
      <c r="S952">
        <v>161</v>
      </c>
      <c r="T952">
        <v>137.69999999999999</v>
      </c>
      <c r="U952">
        <v>408</v>
      </c>
      <c r="V952">
        <v>408</v>
      </c>
      <c r="W952">
        <v>500</v>
      </c>
      <c r="X952">
        <v>2.79</v>
      </c>
    </row>
    <row r="953" spans="1:24" hidden="1" outlineLevel="2" x14ac:dyDescent="0.25">
      <c r="A953" t="str">
        <f t="shared" si="140"/>
        <v>AK7 - 2004</v>
      </c>
      <c r="B953" t="s">
        <v>36</v>
      </c>
      <c r="C953">
        <v>12</v>
      </c>
      <c r="D953">
        <v>19</v>
      </c>
      <c r="E953">
        <v>2004</v>
      </c>
      <c r="F953">
        <v>146.4</v>
      </c>
      <c r="G953">
        <v>1.2</v>
      </c>
      <c r="H953">
        <v>1.2</v>
      </c>
      <c r="I953">
        <v>0</v>
      </c>
      <c r="J953">
        <v>0</v>
      </c>
      <c r="K953">
        <v>11</v>
      </c>
      <c r="L953">
        <v>673.3</v>
      </c>
      <c r="M953">
        <v>444</v>
      </c>
      <c r="N953">
        <v>444</v>
      </c>
      <c r="Q953">
        <v>400</v>
      </c>
      <c r="R953">
        <v>493</v>
      </c>
      <c r="S953">
        <v>93</v>
      </c>
      <c r="T953">
        <v>144.9</v>
      </c>
      <c r="U953">
        <v>426</v>
      </c>
      <c r="V953">
        <v>418</v>
      </c>
      <c r="W953">
        <v>500</v>
      </c>
      <c r="X953">
        <v>2.79</v>
      </c>
    </row>
    <row r="954" spans="1:24" hidden="1" outlineLevel="2" x14ac:dyDescent="0.25">
      <c r="A954" t="str">
        <f t="shared" si="140"/>
        <v>AK7 - 2004</v>
      </c>
      <c r="B954" t="s">
        <v>36</v>
      </c>
      <c r="C954">
        <v>13</v>
      </c>
      <c r="D954">
        <v>19</v>
      </c>
      <c r="E954">
        <v>2004</v>
      </c>
      <c r="F954">
        <v>193.1</v>
      </c>
      <c r="G954">
        <v>7.2</v>
      </c>
      <c r="H954">
        <v>5.7</v>
      </c>
      <c r="I954">
        <v>1.5</v>
      </c>
      <c r="J954">
        <v>20</v>
      </c>
      <c r="K954">
        <v>85.7</v>
      </c>
      <c r="L954">
        <v>1171.4000000000001</v>
      </c>
      <c r="M954">
        <v>439</v>
      </c>
      <c r="N954">
        <v>411</v>
      </c>
      <c r="O954">
        <v>546</v>
      </c>
      <c r="P954">
        <v>135</v>
      </c>
      <c r="Q954">
        <v>363</v>
      </c>
      <c r="R954">
        <v>568</v>
      </c>
      <c r="S954">
        <v>205</v>
      </c>
      <c r="T954">
        <v>226.2</v>
      </c>
      <c r="U954">
        <v>428</v>
      </c>
      <c r="V954">
        <v>431</v>
      </c>
      <c r="W954">
        <v>500</v>
      </c>
      <c r="X954">
        <v>2.79</v>
      </c>
    </row>
    <row r="955" spans="1:24" hidden="1" outlineLevel="2" x14ac:dyDescent="0.25">
      <c r="A955" t="str">
        <f t="shared" si="140"/>
        <v>AK7 - 2004</v>
      </c>
      <c r="B955" t="s">
        <v>36</v>
      </c>
      <c r="C955">
        <v>14</v>
      </c>
      <c r="D955">
        <v>19</v>
      </c>
      <c r="E955">
        <v>2004</v>
      </c>
      <c r="F955">
        <v>202.2</v>
      </c>
      <c r="G955">
        <v>4.2</v>
      </c>
      <c r="H955">
        <v>3.6</v>
      </c>
      <c r="I955">
        <v>0.6</v>
      </c>
      <c r="J955">
        <v>14</v>
      </c>
      <c r="K955">
        <v>52.8</v>
      </c>
      <c r="L955">
        <v>1284.4000000000001</v>
      </c>
      <c r="M955">
        <v>408</v>
      </c>
      <c r="N955">
        <v>383</v>
      </c>
      <c r="O955">
        <v>560</v>
      </c>
      <c r="P955">
        <v>177</v>
      </c>
      <c r="Q955">
        <v>335</v>
      </c>
      <c r="R955">
        <v>599</v>
      </c>
      <c r="S955">
        <v>264</v>
      </c>
      <c r="T955">
        <v>193.2</v>
      </c>
      <c r="U955">
        <v>390</v>
      </c>
      <c r="V955">
        <v>377</v>
      </c>
      <c r="W955">
        <v>500</v>
      </c>
      <c r="X955">
        <v>2.79</v>
      </c>
    </row>
    <row r="956" spans="1:24" hidden="1" outlineLevel="2" x14ac:dyDescent="0.25">
      <c r="A956" t="str">
        <f t="shared" si="140"/>
        <v>AK7 - 2004</v>
      </c>
      <c r="B956" t="s">
        <v>36</v>
      </c>
      <c r="C956">
        <v>15</v>
      </c>
      <c r="D956">
        <v>19</v>
      </c>
      <c r="E956">
        <v>2004</v>
      </c>
      <c r="F956">
        <v>179.3</v>
      </c>
      <c r="G956">
        <v>3</v>
      </c>
      <c r="H956">
        <v>2.7</v>
      </c>
      <c r="I956">
        <v>0.3</v>
      </c>
      <c r="J956">
        <v>10</v>
      </c>
      <c r="K956">
        <v>33.5</v>
      </c>
      <c r="L956">
        <v>1010</v>
      </c>
      <c r="M956">
        <v>427</v>
      </c>
      <c r="N956">
        <v>419</v>
      </c>
      <c r="O956">
        <v>501</v>
      </c>
      <c r="P956">
        <v>82</v>
      </c>
      <c r="Q956">
        <v>347</v>
      </c>
      <c r="R956">
        <v>501</v>
      </c>
      <c r="S956">
        <v>154</v>
      </c>
      <c r="T956">
        <v>172.5</v>
      </c>
      <c r="U956">
        <v>414</v>
      </c>
      <c r="V956">
        <v>397</v>
      </c>
      <c r="W956">
        <v>500</v>
      </c>
      <c r="X956">
        <v>2.79</v>
      </c>
    </row>
    <row r="957" spans="1:24" outlineLevel="1" collapsed="1" x14ac:dyDescent="0.25">
      <c r="A957" s="8" t="s">
        <v>107</v>
      </c>
      <c r="D957">
        <f t="shared" ref="D957:V957" si="141">SUBTOTAL(1,D943:D956)</f>
        <v>18.785714285714285</v>
      </c>
      <c r="E957">
        <f t="shared" si="141"/>
        <v>2004</v>
      </c>
      <c r="F957">
        <f t="shared" si="141"/>
        <v>192.10714285714283</v>
      </c>
      <c r="G957">
        <f t="shared" si="141"/>
        <v>5.0357142857142856</v>
      </c>
      <c r="H957">
        <f t="shared" si="141"/>
        <v>4.3285714285714292</v>
      </c>
      <c r="I957">
        <f t="shared" si="141"/>
        <v>0.70714285714285718</v>
      </c>
      <c r="J957">
        <f t="shared" si="141"/>
        <v>12.642857142857142</v>
      </c>
      <c r="K957">
        <f t="shared" si="141"/>
        <v>62.985714285714288</v>
      </c>
      <c r="L957">
        <f t="shared" si="141"/>
        <v>1185.5785714285714</v>
      </c>
      <c r="M957">
        <f t="shared" si="141"/>
        <v>419.64285714285717</v>
      </c>
      <c r="N957">
        <f t="shared" si="141"/>
        <v>402.78571428571428</v>
      </c>
      <c r="O957">
        <f t="shared" si="141"/>
        <v>534.72727272727275</v>
      </c>
      <c r="P957">
        <f t="shared" si="141"/>
        <v>133</v>
      </c>
      <c r="Q957">
        <f t="shared" si="141"/>
        <v>356.85714285714283</v>
      </c>
      <c r="R957">
        <f t="shared" si="141"/>
        <v>541.85714285714289</v>
      </c>
      <c r="S957">
        <f t="shared" si="141"/>
        <v>185</v>
      </c>
      <c r="T957">
        <f t="shared" si="141"/>
        <v>202.39285714285711</v>
      </c>
      <c r="U957">
        <f t="shared" si="141"/>
        <v>405.85714285714283</v>
      </c>
      <c r="V957">
        <f t="shared" si="141"/>
        <v>400.78571428571428</v>
      </c>
    </row>
    <row r="958" spans="1:24" hidden="1" outlineLevel="2" x14ac:dyDescent="0.25">
      <c r="A958" t="str">
        <f t="shared" ref="A958:A971" si="142">CONCATENATE(B958," - ",E958)</f>
        <v>AK7 - 2005</v>
      </c>
      <c r="B958" t="s">
        <v>36</v>
      </c>
      <c r="C958">
        <v>1</v>
      </c>
      <c r="D958">
        <v>20</v>
      </c>
      <c r="E958">
        <v>2005</v>
      </c>
      <c r="F958">
        <v>188.5</v>
      </c>
      <c r="G958">
        <v>2.4</v>
      </c>
      <c r="H958">
        <v>1.5</v>
      </c>
      <c r="I958">
        <v>0.9</v>
      </c>
      <c r="J958">
        <v>37</v>
      </c>
      <c r="K958">
        <v>28.2</v>
      </c>
      <c r="L958">
        <v>1116.3</v>
      </c>
      <c r="M958">
        <v>474</v>
      </c>
      <c r="N958">
        <v>446</v>
      </c>
      <c r="O958">
        <v>521</v>
      </c>
      <c r="P958">
        <v>75</v>
      </c>
      <c r="Q958">
        <v>407</v>
      </c>
      <c r="R958">
        <v>553</v>
      </c>
      <c r="S958">
        <v>146</v>
      </c>
      <c r="T958">
        <v>184.2</v>
      </c>
      <c r="U958">
        <v>438</v>
      </c>
      <c r="V958">
        <v>433</v>
      </c>
      <c r="W958">
        <v>500</v>
      </c>
      <c r="X958">
        <v>2.79</v>
      </c>
    </row>
    <row r="959" spans="1:24" hidden="1" outlineLevel="2" x14ac:dyDescent="0.25">
      <c r="A959" t="str">
        <f t="shared" si="142"/>
        <v>AK7 - 2005</v>
      </c>
      <c r="B959" t="s">
        <v>36</v>
      </c>
      <c r="C959">
        <v>2</v>
      </c>
      <c r="D959">
        <v>20</v>
      </c>
      <c r="E959">
        <v>2005</v>
      </c>
      <c r="F959">
        <v>187.3</v>
      </c>
      <c r="G959">
        <v>4.5</v>
      </c>
      <c r="H959">
        <v>3.9</v>
      </c>
      <c r="I959">
        <v>0.6</v>
      </c>
      <c r="J959">
        <v>13</v>
      </c>
      <c r="K959">
        <v>52.3</v>
      </c>
      <c r="L959">
        <v>1102.0999999999999</v>
      </c>
      <c r="M959">
        <v>431</v>
      </c>
      <c r="N959">
        <v>419</v>
      </c>
      <c r="O959">
        <v>508</v>
      </c>
      <c r="P959">
        <v>89</v>
      </c>
      <c r="Q959">
        <v>379</v>
      </c>
      <c r="R959">
        <v>515</v>
      </c>
      <c r="S959">
        <v>136</v>
      </c>
      <c r="T959">
        <v>195.9</v>
      </c>
      <c r="U959">
        <v>414</v>
      </c>
      <c r="V959">
        <v>411</v>
      </c>
      <c r="W959">
        <v>500</v>
      </c>
      <c r="X959">
        <v>2.79</v>
      </c>
    </row>
    <row r="960" spans="1:24" hidden="1" outlineLevel="2" x14ac:dyDescent="0.25">
      <c r="A960" t="str">
        <f t="shared" si="142"/>
        <v>AK7 - 2005</v>
      </c>
      <c r="B960" t="s">
        <v>36</v>
      </c>
      <c r="C960">
        <v>3</v>
      </c>
      <c r="D960">
        <v>20</v>
      </c>
      <c r="E960">
        <v>2005</v>
      </c>
      <c r="F960">
        <v>245.2</v>
      </c>
      <c r="G960">
        <v>3.6</v>
      </c>
      <c r="H960">
        <v>3.6</v>
      </c>
      <c r="I960">
        <v>0</v>
      </c>
      <c r="J960">
        <v>0</v>
      </c>
      <c r="K960">
        <v>55.1</v>
      </c>
      <c r="L960">
        <v>1888.8</v>
      </c>
      <c r="M960">
        <v>389</v>
      </c>
      <c r="N960">
        <v>389</v>
      </c>
      <c r="Q960">
        <v>348</v>
      </c>
      <c r="R960">
        <v>481</v>
      </c>
      <c r="S960">
        <v>133</v>
      </c>
      <c r="T960">
        <v>252.9</v>
      </c>
      <c r="U960">
        <v>370</v>
      </c>
      <c r="V960">
        <v>365</v>
      </c>
      <c r="W960">
        <v>500</v>
      </c>
      <c r="X960">
        <v>2.79</v>
      </c>
    </row>
    <row r="961" spans="1:24" hidden="1" outlineLevel="2" x14ac:dyDescent="0.25">
      <c r="A961" t="str">
        <f t="shared" si="142"/>
        <v>AK7 - 2005</v>
      </c>
      <c r="B961" t="s">
        <v>36</v>
      </c>
      <c r="C961">
        <v>5</v>
      </c>
      <c r="D961">
        <v>20</v>
      </c>
      <c r="E961">
        <v>2005</v>
      </c>
      <c r="F961">
        <v>211.2</v>
      </c>
      <c r="G961">
        <v>3.6</v>
      </c>
      <c r="H961">
        <v>3.6</v>
      </c>
      <c r="I961">
        <v>0</v>
      </c>
      <c r="J961">
        <v>0</v>
      </c>
      <c r="K961">
        <v>47.4</v>
      </c>
      <c r="L961">
        <v>1401.3</v>
      </c>
      <c r="M961">
        <v>415</v>
      </c>
      <c r="N961">
        <v>415</v>
      </c>
      <c r="Q961">
        <v>362</v>
      </c>
      <c r="R961">
        <v>495</v>
      </c>
      <c r="S961">
        <v>133</v>
      </c>
      <c r="T961">
        <v>221.1</v>
      </c>
      <c r="U961">
        <v>426</v>
      </c>
      <c r="V961">
        <v>420</v>
      </c>
      <c r="W961">
        <v>500</v>
      </c>
      <c r="X961">
        <v>2.79</v>
      </c>
    </row>
    <row r="962" spans="1:24" hidden="1" outlineLevel="2" x14ac:dyDescent="0.25">
      <c r="A962" t="str">
        <f t="shared" si="142"/>
        <v>AK7 - 2005</v>
      </c>
      <c r="B962" t="s">
        <v>36</v>
      </c>
      <c r="C962">
        <v>6</v>
      </c>
      <c r="D962">
        <v>20</v>
      </c>
      <c r="E962">
        <v>2005</v>
      </c>
      <c r="F962">
        <v>185.1</v>
      </c>
      <c r="G962">
        <v>3.3</v>
      </c>
      <c r="H962">
        <v>3.3</v>
      </c>
      <c r="I962">
        <v>0</v>
      </c>
      <c r="J962">
        <v>0</v>
      </c>
      <c r="K962">
        <v>38</v>
      </c>
      <c r="L962">
        <v>1076.4000000000001</v>
      </c>
      <c r="M962">
        <v>362</v>
      </c>
      <c r="N962">
        <v>362</v>
      </c>
      <c r="Q962">
        <v>294</v>
      </c>
      <c r="R962">
        <v>458</v>
      </c>
      <c r="S962">
        <v>164</v>
      </c>
      <c r="T962">
        <v>181.2</v>
      </c>
      <c r="U962">
        <v>379</v>
      </c>
      <c r="V962">
        <v>374</v>
      </c>
      <c r="W962">
        <v>500</v>
      </c>
      <c r="X962">
        <v>2.79</v>
      </c>
    </row>
    <row r="963" spans="1:24" hidden="1" outlineLevel="2" x14ac:dyDescent="0.25">
      <c r="A963" t="str">
        <f t="shared" si="142"/>
        <v>AK7 - 2005</v>
      </c>
      <c r="B963" t="s">
        <v>36</v>
      </c>
      <c r="C963">
        <v>7</v>
      </c>
      <c r="D963">
        <v>20</v>
      </c>
      <c r="E963">
        <v>2005</v>
      </c>
      <c r="F963">
        <v>250.4</v>
      </c>
      <c r="G963">
        <v>9.6</v>
      </c>
      <c r="H963">
        <v>9.6</v>
      </c>
      <c r="I963">
        <v>0</v>
      </c>
      <c r="J963">
        <v>0</v>
      </c>
      <c r="K963">
        <v>148.1</v>
      </c>
      <c r="L963">
        <v>1969.8</v>
      </c>
      <c r="M963">
        <v>374</v>
      </c>
      <c r="N963">
        <v>374</v>
      </c>
      <c r="Q963">
        <v>298</v>
      </c>
      <c r="R963">
        <v>477</v>
      </c>
      <c r="S963">
        <v>179</v>
      </c>
      <c r="T963">
        <v>278.39999999999998</v>
      </c>
      <c r="U963">
        <v>367</v>
      </c>
      <c r="V963">
        <v>372</v>
      </c>
      <c r="W963">
        <v>500</v>
      </c>
      <c r="X963">
        <v>2.79</v>
      </c>
    </row>
    <row r="964" spans="1:24" hidden="1" outlineLevel="2" x14ac:dyDescent="0.25">
      <c r="A964" t="str">
        <f t="shared" si="142"/>
        <v>AK7 - 2005</v>
      </c>
      <c r="B964" t="s">
        <v>36</v>
      </c>
      <c r="C964">
        <v>8</v>
      </c>
      <c r="D964">
        <v>20</v>
      </c>
      <c r="E964">
        <v>2005</v>
      </c>
      <c r="F964">
        <v>194.2</v>
      </c>
      <c r="G964">
        <v>2.4</v>
      </c>
      <c r="H964">
        <v>1.8</v>
      </c>
      <c r="I964">
        <v>0.6</v>
      </c>
      <c r="J964">
        <v>24</v>
      </c>
      <c r="K964">
        <v>29.1</v>
      </c>
      <c r="L964">
        <v>1184.8</v>
      </c>
      <c r="M964">
        <v>469</v>
      </c>
      <c r="N964">
        <v>443</v>
      </c>
      <c r="O964">
        <v>546</v>
      </c>
      <c r="P964">
        <v>103</v>
      </c>
      <c r="Q964">
        <v>397</v>
      </c>
      <c r="R964">
        <v>580</v>
      </c>
      <c r="S964">
        <v>183</v>
      </c>
      <c r="T964">
        <v>177.9</v>
      </c>
      <c r="U964">
        <v>438</v>
      </c>
      <c r="V964">
        <v>415</v>
      </c>
      <c r="W964">
        <v>500</v>
      </c>
      <c r="X964">
        <v>2.79</v>
      </c>
    </row>
    <row r="965" spans="1:24" hidden="1" outlineLevel="2" x14ac:dyDescent="0.25">
      <c r="A965" t="str">
        <f t="shared" si="142"/>
        <v>AK7 - 2005</v>
      </c>
      <c r="B965" t="s">
        <v>36</v>
      </c>
      <c r="C965">
        <v>9</v>
      </c>
      <c r="D965">
        <v>19</v>
      </c>
      <c r="E965">
        <v>2005</v>
      </c>
      <c r="F965">
        <v>204.1</v>
      </c>
      <c r="G965">
        <v>6</v>
      </c>
      <c r="H965">
        <v>5.7</v>
      </c>
      <c r="I965">
        <v>0.3</v>
      </c>
      <c r="J965">
        <v>5</v>
      </c>
      <c r="K965">
        <v>75.8</v>
      </c>
      <c r="L965">
        <v>1308.7</v>
      </c>
      <c r="M965">
        <v>421</v>
      </c>
      <c r="N965">
        <v>415</v>
      </c>
      <c r="O965">
        <v>530</v>
      </c>
      <c r="P965">
        <v>115</v>
      </c>
      <c r="Q965">
        <v>373</v>
      </c>
      <c r="R965">
        <v>530</v>
      </c>
      <c r="S965">
        <v>157</v>
      </c>
      <c r="T965">
        <v>227.1</v>
      </c>
      <c r="U965">
        <v>411</v>
      </c>
      <c r="V965">
        <v>418</v>
      </c>
      <c r="W965">
        <v>500</v>
      </c>
      <c r="X965">
        <v>2.79</v>
      </c>
    </row>
    <row r="966" spans="1:24" hidden="1" outlineLevel="2" x14ac:dyDescent="0.25">
      <c r="A966" t="str">
        <f t="shared" si="142"/>
        <v>AK7 - 2005</v>
      </c>
      <c r="B966" t="s">
        <v>36</v>
      </c>
      <c r="C966">
        <v>10</v>
      </c>
      <c r="D966">
        <v>19</v>
      </c>
      <c r="E966">
        <v>2005</v>
      </c>
      <c r="F966">
        <v>214.3</v>
      </c>
      <c r="G966">
        <v>7.2</v>
      </c>
      <c r="H966">
        <v>6.6</v>
      </c>
      <c r="I966">
        <v>0.6</v>
      </c>
      <c r="J966">
        <v>8</v>
      </c>
      <c r="K966">
        <v>95.3</v>
      </c>
      <c r="L966">
        <v>1442.8</v>
      </c>
      <c r="M966">
        <v>391</v>
      </c>
      <c r="N966">
        <v>380</v>
      </c>
      <c r="O966">
        <v>514</v>
      </c>
      <c r="P966">
        <v>134</v>
      </c>
      <c r="Q966">
        <v>322</v>
      </c>
      <c r="R966">
        <v>524</v>
      </c>
      <c r="S966">
        <v>202</v>
      </c>
      <c r="T966">
        <v>240.3</v>
      </c>
      <c r="U966">
        <v>373</v>
      </c>
      <c r="V966">
        <v>372</v>
      </c>
      <c r="W966">
        <v>500</v>
      </c>
      <c r="X966">
        <v>2.79</v>
      </c>
    </row>
    <row r="967" spans="1:24" hidden="1" outlineLevel="2" x14ac:dyDescent="0.25">
      <c r="A967" t="str">
        <f t="shared" si="142"/>
        <v>AK7 - 2005</v>
      </c>
      <c r="B967" t="s">
        <v>36</v>
      </c>
      <c r="C967">
        <v>11</v>
      </c>
      <c r="D967">
        <v>19</v>
      </c>
      <c r="E967">
        <v>2005</v>
      </c>
      <c r="F967">
        <v>132.30000000000001</v>
      </c>
      <c r="G967">
        <v>1.5</v>
      </c>
      <c r="H967">
        <v>0.9</v>
      </c>
      <c r="I967">
        <v>0.6</v>
      </c>
      <c r="J967">
        <v>40</v>
      </c>
      <c r="K967">
        <v>12.4</v>
      </c>
      <c r="L967">
        <v>549.9</v>
      </c>
      <c r="M967">
        <v>443</v>
      </c>
      <c r="N967">
        <v>400</v>
      </c>
      <c r="O967">
        <v>507</v>
      </c>
      <c r="P967">
        <v>107</v>
      </c>
      <c r="Q967">
        <v>376</v>
      </c>
      <c r="R967">
        <v>512</v>
      </c>
      <c r="S967">
        <v>136</v>
      </c>
      <c r="T967">
        <v>137.69999999999999</v>
      </c>
      <c r="U967">
        <v>408</v>
      </c>
      <c r="V967">
        <v>408</v>
      </c>
      <c r="W967">
        <v>500</v>
      </c>
      <c r="X967">
        <v>2.79</v>
      </c>
    </row>
    <row r="968" spans="1:24" hidden="1" outlineLevel="2" x14ac:dyDescent="0.25">
      <c r="A968" t="str">
        <f t="shared" si="142"/>
        <v>AK7 - 2005</v>
      </c>
      <c r="B968" t="s">
        <v>36</v>
      </c>
      <c r="C968">
        <v>12</v>
      </c>
      <c r="D968">
        <v>20</v>
      </c>
      <c r="E968">
        <v>2005</v>
      </c>
      <c r="F968">
        <v>147.9</v>
      </c>
      <c r="G968">
        <v>1.5</v>
      </c>
      <c r="H968">
        <v>1.2</v>
      </c>
      <c r="I968">
        <v>0.3</v>
      </c>
      <c r="J968">
        <v>20</v>
      </c>
      <c r="K968">
        <v>13.9</v>
      </c>
      <c r="L968">
        <v>687.2</v>
      </c>
      <c r="M968">
        <v>471</v>
      </c>
      <c r="N968">
        <v>461</v>
      </c>
      <c r="O968">
        <v>513</v>
      </c>
      <c r="P968">
        <v>52</v>
      </c>
      <c r="Q968">
        <v>421</v>
      </c>
      <c r="R968">
        <v>513</v>
      </c>
      <c r="S968">
        <v>92</v>
      </c>
      <c r="T968">
        <v>144.9</v>
      </c>
      <c r="U968">
        <v>426</v>
      </c>
      <c r="V968">
        <v>418</v>
      </c>
      <c r="W968">
        <v>500</v>
      </c>
      <c r="X968">
        <v>2.79</v>
      </c>
    </row>
    <row r="969" spans="1:24" hidden="1" outlineLevel="2" x14ac:dyDescent="0.25">
      <c r="A969" t="str">
        <f t="shared" si="142"/>
        <v>AK7 - 2005</v>
      </c>
      <c r="B969" t="s">
        <v>36</v>
      </c>
      <c r="C969">
        <v>13</v>
      </c>
      <c r="D969">
        <v>20</v>
      </c>
      <c r="E969">
        <v>2005</v>
      </c>
      <c r="F969">
        <v>199.1</v>
      </c>
      <c r="G969">
        <v>6</v>
      </c>
      <c r="H969">
        <v>5.7</v>
      </c>
      <c r="I969">
        <v>0.3</v>
      </c>
      <c r="J969">
        <v>5</v>
      </c>
      <c r="K969">
        <v>73.900000000000006</v>
      </c>
      <c r="L969">
        <v>1245.4000000000001</v>
      </c>
      <c r="M969">
        <v>429</v>
      </c>
      <c r="N969">
        <v>424</v>
      </c>
      <c r="O969">
        <v>531</v>
      </c>
      <c r="P969">
        <v>107</v>
      </c>
      <c r="Q969">
        <v>381</v>
      </c>
      <c r="R969">
        <v>531</v>
      </c>
      <c r="S969">
        <v>150</v>
      </c>
      <c r="T969">
        <v>226.2</v>
      </c>
      <c r="U969">
        <v>428</v>
      </c>
      <c r="V969">
        <v>431</v>
      </c>
      <c r="W969">
        <v>500</v>
      </c>
      <c r="X969">
        <v>2.79</v>
      </c>
    </row>
    <row r="970" spans="1:24" hidden="1" outlineLevel="2" x14ac:dyDescent="0.25">
      <c r="A970" t="str">
        <f t="shared" si="142"/>
        <v>AK7 - 2005</v>
      </c>
      <c r="B970" t="s">
        <v>36</v>
      </c>
      <c r="C970">
        <v>14</v>
      </c>
      <c r="D970">
        <v>20</v>
      </c>
      <c r="E970">
        <v>2005</v>
      </c>
      <c r="F970">
        <v>207</v>
      </c>
      <c r="G970">
        <v>4.8</v>
      </c>
      <c r="H970">
        <v>4.2</v>
      </c>
      <c r="I970">
        <v>0.6</v>
      </c>
      <c r="J970">
        <v>12</v>
      </c>
      <c r="K970">
        <v>61.7</v>
      </c>
      <c r="L970">
        <v>1346.1</v>
      </c>
      <c r="M970">
        <v>408</v>
      </c>
      <c r="N970">
        <v>391</v>
      </c>
      <c r="O970">
        <v>527</v>
      </c>
      <c r="P970">
        <v>136</v>
      </c>
      <c r="Q970">
        <v>348</v>
      </c>
      <c r="R970">
        <v>548</v>
      </c>
      <c r="S970">
        <v>200</v>
      </c>
      <c r="T970">
        <v>193.2</v>
      </c>
      <c r="U970">
        <v>390</v>
      </c>
      <c r="V970">
        <v>377</v>
      </c>
      <c r="W970">
        <v>500</v>
      </c>
      <c r="X970">
        <v>2.79</v>
      </c>
    </row>
    <row r="971" spans="1:24" hidden="1" outlineLevel="2" x14ac:dyDescent="0.25">
      <c r="A971" t="str">
        <f t="shared" si="142"/>
        <v>AK7 - 2005</v>
      </c>
      <c r="B971" t="s">
        <v>36</v>
      </c>
      <c r="C971">
        <v>15</v>
      </c>
      <c r="D971">
        <v>20</v>
      </c>
      <c r="E971">
        <v>2005</v>
      </c>
      <c r="F971">
        <v>180.5</v>
      </c>
      <c r="G971">
        <v>1.2</v>
      </c>
      <c r="H971">
        <v>0.9</v>
      </c>
      <c r="I971">
        <v>0.3</v>
      </c>
      <c r="J971">
        <v>25</v>
      </c>
      <c r="K971">
        <v>13.6</v>
      </c>
      <c r="L971">
        <v>1023.5</v>
      </c>
      <c r="M971">
        <v>454</v>
      </c>
      <c r="N971">
        <v>433</v>
      </c>
      <c r="O971">
        <v>520</v>
      </c>
      <c r="P971">
        <v>87</v>
      </c>
      <c r="Q971">
        <v>361</v>
      </c>
      <c r="R971">
        <v>520</v>
      </c>
      <c r="S971">
        <v>159</v>
      </c>
      <c r="T971">
        <v>172.5</v>
      </c>
      <c r="U971">
        <v>414</v>
      </c>
      <c r="V971">
        <v>397</v>
      </c>
      <c r="W971">
        <v>500</v>
      </c>
      <c r="X971">
        <v>2.79</v>
      </c>
    </row>
    <row r="972" spans="1:24" outlineLevel="1" collapsed="1" x14ac:dyDescent="0.25">
      <c r="A972" s="8" t="s">
        <v>108</v>
      </c>
      <c r="D972">
        <f t="shared" ref="D972:V972" si="143">SUBTOTAL(1,D958:D971)</f>
        <v>19.785714285714285</v>
      </c>
      <c r="E972">
        <f t="shared" si="143"/>
        <v>2005</v>
      </c>
      <c r="F972">
        <f t="shared" si="143"/>
        <v>196.22142857142856</v>
      </c>
      <c r="G972">
        <f t="shared" si="143"/>
        <v>4.1142857142857148</v>
      </c>
      <c r="H972">
        <f t="shared" si="143"/>
        <v>3.7500000000000004</v>
      </c>
      <c r="I972">
        <f t="shared" si="143"/>
        <v>0.36428571428571427</v>
      </c>
      <c r="J972">
        <f t="shared" si="143"/>
        <v>13.5</v>
      </c>
      <c r="K972">
        <f t="shared" si="143"/>
        <v>53.2</v>
      </c>
      <c r="L972">
        <f t="shared" si="143"/>
        <v>1238.792857142857</v>
      </c>
      <c r="M972">
        <f t="shared" si="143"/>
        <v>423.64285714285717</v>
      </c>
      <c r="N972">
        <f t="shared" si="143"/>
        <v>410.85714285714283</v>
      </c>
      <c r="O972">
        <f t="shared" si="143"/>
        <v>521.70000000000005</v>
      </c>
      <c r="P972">
        <f t="shared" si="143"/>
        <v>100.5</v>
      </c>
      <c r="Q972">
        <f t="shared" si="143"/>
        <v>361.92857142857144</v>
      </c>
      <c r="R972">
        <f t="shared" si="143"/>
        <v>516.92857142857144</v>
      </c>
      <c r="S972">
        <f t="shared" si="143"/>
        <v>155</v>
      </c>
      <c r="T972">
        <f t="shared" si="143"/>
        <v>202.39285714285711</v>
      </c>
      <c r="U972">
        <f t="shared" si="143"/>
        <v>405.85714285714283</v>
      </c>
      <c r="V972">
        <f t="shared" si="143"/>
        <v>400.78571428571428</v>
      </c>
    </row>
    <row r="973" spans="1:24" hidden="1" outlineLevel="2" x14ac:dyDescent="0.25">
      <c r="A973" t="str">
        <f t="shared" ref="A973:A985" si="144">CONCATENATE(B973," - ",E973)</f>
        <v>AK7 - 2006</v>
      </c>
      <c r="B973" t="s">
        <v>36</v>
      </c>
      <c r="C973">
        <v>1</v>
      </c>
      <c r="D973">
        <v>21</v>
      </c>
      <c r="E973">
        <v>2006</v>
      </c>
      <c r="F973">
        <v>190.6</v>
      </c>
      <c r="G973">
        <v>2.1</v>
      </c>
      <c r="H973">
        <v>1.5</v>
      </c>
      <c r="I973">
        <v>0.6</v>
      </c>
      <c r="J973">
        <v>28</v>
      </c>
      <c r="K973">
        <v>25</v>
      </c>
      <c r="L973">
        <v>1141.3</v>
      </c>
      <c r="M973">
        <v>478</v>
      </c>
      <c r="N973">
        <v>457</v>
      </c>
      <c r="O973">
        <v>528</v>
      </c>
      <c r="P973">
        <v>71</v>
      </c>
      <c r="Q973">
        <v>391</v>
      </c>
      <c r="R973">
        <v>541</v>
      </c>
      <c r="S973">
        <v>150</v>
      </c>
      <c r="T973">
        <v>184.2</v>
      </c>
      <c r="U973">
        <v>438</v>
      </c>
      <c r="V973">
        <v>433</v>
      </c>
      <c r="W973">
        <v>500</v>
      </c>
      <c r="X973">
        <v>2.79</v>
      </c>
    </row>
    <row r="974" spans="1:24" hidden="1" outlineLevel="2" x14ac:dyDescent="0.25">
      <c r="A974" t="str">
        <f t="shared" si="144"/>
        <v>AK7 - 2006</v>
      </c>
      <c r="B974" t="s">
        <v>36</v>
      </c>
      <c r="C974">
        <v>2</v>
      </c>
      <c r="D974">
        <v>21</v>
      </c>
      <c r="E974">
        <v>2006</v>
      </c>
      <c r="F974">
        <v>190</v>
      </c>
      <c r="G974">
        <v>2.7</v>
      </c>
      <c r="H974">
        <v>2.1</v>
      </c>
      <c r="I974">
        <v>0.6</v>
      </c>
      <c r="J974">
        <v>22</v>
      </c>
      <c r="K974">
        <v>32</v>
      </c>
      <c r="L974">
        <v>1134.0999999999999</v>
      </c>
      <c r="M974">
        <v>424</v>
      </c>
      <c r="N974">
        <v>398</v>
      </c>
      <c r="O974">
        <v>515</v>
      </c>
      <c r="P974">
        <v>117</v>
      </c>
      <c r="Q974">
        <v>350</v>
      </c>
      <c r="R974">
        <v>519</v>
      </c>
      <c r="S974">
        <v>169</v>
      </c>
      <c r="T974">
        <v>195.9</v>
      </c>
      <c r="U974">
        <v>414</v>
      </c>
      <c r="V974">
        <v>411</v>
      </c>
      <c r="W974">
        <v>500</v>
      </c>
      <c r="X974">
        <v>2.79</v>
      </c>
    </row>
    <row r="975" spans="1:24" hidden="1" outlineLevel="2" x14ac:dyDescent="0.25">
      <c r="A975" t="str">
        <f t="shared" si="144"/>
        <v>AK7 - 2006</v>
      </c>
      <c r="B975" t="s">
        <v>36</v>
      </c>
      <c r="C975">
        <v>3</v>
      </c>
      <c r="D975">
        <v>21</v>
      </c>
      <c r="E975">
        <v>2006</v>
      </c>
      <c r="F975">
        <v>247.9</v>
      </c>
      <c r="G975">
        <v>2.7</v>
      </c>
      <c r="H975">
        <v>2.7</v>
      </c>
      <c r="I975">
        <v>0</v>
      </c>
      <c r="J975">
        <v>0</v>
      </c>
      <c r="K975">
        <v>41.8</v>
      </c>
      <c r="L975">
        <v>1930.6</v>
      </c>
      <c r="M975">
        <v>403</v>
      </c>
      <c r="N975">
        <v>403</v>
      </c>
      <c r="Q975">
        <v>357</v>
      </c>
      <c r="R975">
        <v>471</v>
      </c>
      <c r="S975">
        <v>114</v>
      </c>
      <c r="T975">
        <v>252.9</v>
      </c>
      <c r="U975">
        <v>370</v>
      </c>
      <c r="V975">
        <v>365</v>
      </c>
      <c r="W975">
        <v>500</v>
      </c>
      <c r="X975">
        <v>2.79</v>
      </c>
    </row>
    <row r="976" spans="1:24" hidden="1" outlineLevel="2" x14ac:dyDescent="0.25">
      <c r="A976" t="str">
        <f t="shared" si="144"/>
        <v>AK7 - 2006</v>
      </c>
      <c r="B976" t="s">
        <v>36</v>
      </c>
      <c r="C976">
        <v>5</v>
      </c>
      <c r="D976">
        <v>21</v>
      </c>
      <c r="E976">
        <v>2006</v>
      </c>
      <c r="F976">
        <v>212.1</v>
      </c>
      <c r="G976">
        <v>0.9</v>
      </c>
      <c r="H976">
        <v>0.9</v>
      </c>
      <c r="I976">
        <v>0</v>
      </c>
      <c r="J976">
        <v>0</v>
      </c>
      <c r="K976">
        <v>12</v>
      </c>
      <c r="L976">
        <v>1413.3</v>
      </c>
      <c r="M976">
        <v>459</v>
      </c>
      <c r="N976">
        <v>459</v>
      </c>
      <c r="Q976">
        <v>432</v>
      </c>
      <c r="R976">
        <v>495</v>
      </c>
      <c r="S976">
        <v>63</v>
      </c>
      <c r="T976">
        <v>221.1</v>
      </c>
      <c r="U976">
        <v>426</v>
      </c>
      <c r="V976">
        <v>420</v>
      </c>
      <c r="W976">
        <v>500</v>
      </c>
      <c r="X976">
        <v>2.79</v>
      </c>
    </row>
    <row r="977" spans="1:24" hidden="1" outlineLevel="2" x14ac:dyDescent="0.25">
      <c r="A977" t="str">
        <f t="shared" si="144"/>
        <v>AK7 - 2006</v>
      </c>
      <c r="B977" t="s">
        <v>36</v>
      </c>
      <c r="C977">
        <v>6</v>
      </c>
      <c r="D977">
        <v>21</v>
      </c>
      <c r="E977">
        <v>2006</v>
      </c>
      <c r="F977">
        <v>186.9</v>
      </c>
      <c r="G977">
        <v>1.8</v>
      </c>
      <c r="H977">
        <v>1.8</v>
      </c>
      <c r="I977">
        <v>0</v>
      </c>
      <c r="J977">
        <v>0</v>
      </c>
      <c r="K977">
        <v>21</v>
      </c>
      <c r="L977">
        <v>1097.4000000000001</v>
      </c>
      <c r="M977">
        <v>387</v>
      </c>
      <c r="N977">
        <v>387</v>
      </c>
      <c r="Q977">
        <v>361</v>
      </c>
      <c r="R977">
        <v>451</v>
      </c>
      <c r="S977">
        <v>90</v>
      </c>
      <c r="T977">
        <v>181.2</v>
      </c>
      <c r="U977">
        <v>379</v>
      </c>
      <c r="V977">
        <v>374</v>
      </c>
      <c r="W977">
        <v>500</v>
      </c>
      <c r="X977">
        <v>2.79</v>
      </c>
    </row>
    <row r="978" spans="1:24" hidden="1" outlineLevel="2" x14ac:dyDescent="0.25">
      <c r="A978" t="str">
        <f t="shared" si="144"/>
        <v>AK7 - 2006</v>
      </c>
      <c r="B978" t="s">
        <v>36</v>
      </c>
      <c r="C978">
        <v>7</v>
      </c>
      <c r="D978">
        <v>21</v>
      </c>
      <c r="E978">
        <v>2006</v>
      </c>
      <c r="F978">
        <v>255.8</v>
      </c>
      <c r="G978">
        <v>5.4</v>
      </c>
      <c r="H978">
        <v>5.4</v>
      </c>
      <c r="I978">
        <v>0</v>
      </c>
      <c r="J978">
        <v>0</v>
      </c>
      <c r="K978">
        <v>85.9</v>
      </c>
      <c r="L978">
        <v>2055.6999999999998</v>
      </c>
      <c r="M978">
        <v>378</v>
      </c>
      <c r="N978">
        <v>378</v>
      </c>
      <c r="Q978">
        <v>305</v>
      </c>
      <c r="R978">
        <v>470</v>
      </c>
      <c r="S978">
        <v>165</v>
      </c>
      <c r="T978">
        <v>278.39999999999998</v>
      </c>
      <c r="U978">
        <v>367</v>
      </c>
      <c r="V978">
        <v>372</v>
      </c>
      <c r="W978">
        <v>500</v>
      </c>
      <c r="X978">
        <v>2.79</v>
      </c>
    </row>
    <row r="979" spans="1:24" hidden="1" outlineLevel="2" x14ac:dyDescent="0.25">
      <c r="A979" t="str">
        <f t="shared" si="144"/>
        <v>AK7 - 2006</v>
      </c>
      <c r="B979" t="s">
        <v>36</v>
      </c>
      <c r="C979">
        <v>8</v>
      </c>
      <c r="D979">
        <v>21</v>
      </c>
      <c r="E979">
        <v>2006</v>
      </c>
      <c r="F979">
        <v>195.7</v>
      </c>
      <c r="G979">
        <v>1.5</v>
      </c>
      <c r="H979">
        <v>1.5</v>
      </c>
      <c r="I979">
        <v>0</v>
      </c>
      <c r="J979">
        <v>0</v>
      </c>
      <c r="K979">
        <v>18.399999999999999</v>
      </c>
      <c r="L979">
        <v>1203.2</v>
      </c>
      <c r="M979">
        <v>459</v>
      </c>
      <c r="N979">
        <v>459</v>
      </c>
      <c r="Q979">
        <v>425</v>
      </c>
      <c r="R979">
        <v>491</v>
      </c>
      <c r="S979">
        <v>66</v>
      </c>
      <c r="T979">
        <v>177.9</v>
      </c>
      <c r="U979">
        <v>438</v>
      </c>
      <c r="V979">
        <v>415</v>
      </c>
      <c r="W979">
        <v>500</v>
      </c>
      <c r="X979">
        <v>2.79</v>
      </c>
    </row>
    <row r="980" spans="1:24" hidden="1" outlineLevel="2" x14ac:dyDescent="0.25">
      <c r="A980" t="str">
        <f t="shared" si="144"/>
        <v>AK7 - 2006</v>
      </c>
      <c r="B980" t="s">
        <v>36</v>
      </c>
      <c r="C980">
        <v>9</v>
      </c>
      <c r="D980">
        <v>20</v>
      </c>
      <c r="E980">
        <v>2006</v>
      </c>
      <c r="F980">
        <v>207.7</v>
      </c>
      <c r="G980">
        <v>3.6</v>
      </c>
      <c r="H980">
        <v>3</v>
      </c>
      <c r="I980">
        <v>0.6</v>
      </c>
      <c r="J980">
        <v>16</v>
      </c>
      <c r="K980">
        <v>46.6</v>
      </c>
      <c r="L980">
        <v>1355.3</v>
      </c>
      <c r="M980">
        <v>418</v>
      </c>
      <c r="N980">
        <v>397</v>
      </c>
      <c r="O980">
        <v>526</v>
      </c>
      <c r="P980">
        <v>129</v>
      </c>
      <c r="Q980">
        <v>339</v>
      </c>
      <c r="R980">
        <v>547</v>
      </c>
      <c r="S980">
        <v>208</v>
      </c>
      <c r="T980">
        <v>227.1</v>
      </c>
      <c r="U980">
        <v>411</v>
      </c>
      <c r="V980">
        <v>418</v>
      </c>
      <c r="W980">
        <v>500</v>
      </c>
      <c r="X980">
        <v>2.79</v>
      </c>
    </row>
    <row r="981" spans="1:24" hidden="1" outlineLevel="2" x14ac:dyDescent="0.25">
      <c r="A981" t="str">
        <f t="shared" si="144"/>
        <v>AK7 - 2006</v>
      </c>
      <c r="B981" t="s">
        <v>36</v>
      </c>
      <c r="C981">
        <v>10</v>
      </c>
      <c r="D981">
        <v>20</v>
      </c>
      <c r="E981">
        <v>2006</v>
      </c>
      <c r="F981">
        <v>220</v>
      </c>
      <c r="G981">
        <v>5.7</v>
      </c>
      <c r="H981">
        <v>5.4</v>
      </c>
      <c r="I981">
        <v>0.3</v>
      </c>
      <c r="J981">
        <v>5</v>
      </c>
      <c r="K981">
        <v>77.8</v>
      </c>
      <c r="L981">
        <v>1520.5</v>
      </c>
      <c r="M981">
        <v>376</v>
      </c>
      <c r="N981">
        <v>368</v>
      </c>
      <c r="O981">
        <v>533</v>
      </c>
      <c r="P981">
        <v>165</v>
      </c>
      <c r="Q981">
        <v>334</v>
      </c>
      <c r="R981">
        <v>533</v>
      </c>
      <c r="S981">
        <v>199</v>
      </c>
      <c r="T981">
        <v>240.3</v>
      </c>
      <c r="U981">
        <v>373</v>
      </c>
      <c r="V981">
        <v>372</v>
      </c>
      <c r="W981">
        <v>500</v>
      </c>
      <c r="X981">
        <v>2.79</v>
      </c>
    </row>
    <row r="982" spans="1:24" hidden="1" outlineLevel="2" x14ac:dyDescent="0.25">
      <c r="A982" t="str">
        <f t="shared" si="144"/>
        <v>AK7 - 2006</v>
      </c>
      <c r="B982" t="s">
        <v>36</v>
      </c>
      <c r="C982">
        <v>11</v>
      </c>
      <c r="D982">
        <v>20</v>
      </c>
      <c r="E982">
        <v>2006</v>
      </c>
      <c r="F982">
        <v>134.4</v>
      </c>
      <c r="G982">
        <v>2.1</v>
      </c>
      <c r="H982">
        <v>2.1</v>
      </c>
      <c r="I982">
        <v>0</v>
      </c>
      <c r="J982">
        <v>0</v>
      </c>
      <c r="K982">
        <v>17.600000000000001</v>
      </c>
      <c r="L982">
        <v>567.5</v>
      </c>
      <c r="M982">
        <v>449</v>
      </c>
      <c r="N982">
        <v>449</v>
      </c>
      <c r="Q982">
        <v>407</v>
      </c>
      <c r="R982">
        <v>491</v>
      </c>
      <c r="S982">
        <v>84</v>
      </c>
      <c r="T982">
        <v>137.69999999999999</v>
      </c>
      <c r="U982">
        <v>408</v>
      </c>
      <c r="V982">
        <v>408</v>
      </c>
      <c r="W982">
        <v>500</v>
      </c>
      <c r="X982">
        <v>2.79</v>
      </c>
    </row>
    <row r="983" spans="1:24" hidden="1" outlineLevel="2" x14ac:dyDescent="0.25">
      <c r="A983" t="str">
        <f t="shared" si="144"/>
        <v>AK7 - 2006</v>
      </c>
      <c r="B983" t="s">
        <v>36</v>
      </c>
      <c r="C983">
        <v>13</v>
      </c>
      <c r="D983">
        <v>21</v>
      </c>
      <c r="E983">
        <v>2006</v>
      </c>
      <c r="F983">
        <v>202.4</v>
      </c>
      <c r="G983">
        <v>3.3</v>
      </c>
      <c r="H983">
        <v>2.1</v>
      </c>
      <c r="I983">
        <v>1.2</v>
      </c>
      <c r="J983">
        <v>36</v>
      </c>
      <c r="K983">
        <v>41.6</v>
      </c>
      <c r="L983">
        <v>1287</v>
      </c>
      <c r="M983">
        <v>454</v>
      </c>
      <c r="N983">
        <v>409</v>
      </c>
      <c r="O983">
        <v>532</v>
      </c>
      <c r="P983">
        <v>123</v>
      </c>
      <c r="Q983">
        <v>342</v>
      </c>
      <c r="R983">
        <v>572</v>
      </c>
      <c r="S983">
        <v>230</v>
      </c>
      <c r="T983">
        <v>226.2</v>
      </c>
      <c r="U983">
        <v>428</v>
      </c>
      <c r="V983">
        <v>431</v>
      </c>
      <c r="W983">
        <v>500</v>
      </c>
      <c r="X983">
        <v>2.79</v>
      </c>
    </row>
    <row r="984" spans="1:24" hidden="1" outlineLevel="2" x14ac:dyDescent="0.25">
      <c r="A984" t="str">
        <f t="shared" si="144"/>
        <v>AK7 - 2006</v>
      </c>
      <c r="B984" t="s">
        <v>36</v>
      </c>
      <c r="C984">
        <v>14</v>
      </c>
      <c r="D984">
        <v>21</v>
      </c>
      <c r="E984">
        <v>2006</v>
      </c>
      <c r="F984">
        <v>209.7</v>
      </c>
      <c r="G984">
        <v>2.7</v>
      </c>
      <c r="H984">
        <v>2.1</v>
      </c>
      <c r="I984">
        <v>0.6</v>
      </c>
      <c r="J984">
        <v>22</v>
      </c>
      <c r="K984">
        <v>35.299999999999997</v>
      </c>
      <c r="L984">
        <v>1381.5</v>
      </c>
      <c r="M984">
        <v>443</v>
      </c>
      <c r="N984">
        <v>415</v>
      </c>
      <c r="O984">
        <v>543</v>
      </c>
      <c r="P984">
        <v>128</v>
      </c>
      <c r="Q984">
        <v>343</v>
      </c>
      <c r="R984">
        <v>567</v>
      </c>
      <c r="S984">
        <v>224</v>
      </c>
      <c r="T984">
        <v>193.2</v>
      </c>
      <c r="U984">
        <v>390</v>
      </c>
      <c r="V984">
        <v>377</v>
      </c>
      <c r="W984">
        <v>500</v>
      </c>
      <c r="X984">
        <v>2.79</v>
      </c>
    </row>
    <row r="985" spans="1:24" hidden="1" outlineLevel="2" x14ac:dyDescent="0.25">
      <c r="A985" t="str">
        <f t="shared" si="144"/>
        <v>AK7 - 2006</v>
      </c>
      <c r="B985" t="s">
        <v>36</v>
      </c>
      <c r="C985">
        <v>15</v>
      </c>
      <c r="D985">
        <v>21</v>
      </c>
      <c r="E985">
        <v>2006</v>
      </c>
      <c r="F985">
        <v>181.7</v>
      </c>
      <c r="G985">
        <v>1.2</v>
      </c>
      <c r="H985">
        <v>0.6</v>
      </c>
      <c r="I985">
        <v>0.6</v>
      </c>
      <c r="J985">
        <v>49</v>
      </c>
      <c r="K985">
        <v>13.7</v>
      </c>
      <c r="L985">
        <v>1037.2</v>
      </c>
      <c r="M985">
        <v>473</v>
      </c>
      <c r="N985">
        <v>410</v>
      </c>
      <c r="O985">
        <v>537</v>
      </c>
      <c r="P985">
        <v>127</v>
      </c>
      <c r="Q985">
        <v>384</v>
      </c>
      <c r="R985">
        <v>562</v>
      </c>
      <c r="S985">
        <v>178</v>
      </c>
      <c r="T985">
        <v>172.5</v>
      </c>
      <c r="U985">
        <v>414</v>
      </c>
      <c r="V985">
        <v>397</v>
      </c>
      <c r="W985">
        <v>500</v>
      </c>
      <c r="X985">
        <v>2.79</v>
      </c>
    </row>
    <row r="986" spans="1:24" outlineLevel="1" collapsed="1" x14ac:dyDescent="0.25">
      <c r="A986" s="8" t="s">
        <v>109</v>
      </c>
      <c r="D986">
        <f t="shared" ref="D986:V986" si="145">SUBTOTAL(1,D973:D985)</f>
        <v>20.76923076923077</v>
      </c>
      <c r="E986">
        <f t="shared" si="145"/>
        <v>2006</v>
      </c>
      <c r="F986">
        <f t="shared" si="145"/>
        <v>202.68461538461537</v>
      </c>
      <c r="G986">
        <f t="shared" si="145"/>
        <v>2.7461538461538471</v>
      </c>
      <c r="H986">
        <f t="shared" si="145"/>
        <v>2.4000000000000008</v>
      </c>
      <c r="I986">
        <f t="shared" si="145"/>
        <v>0.34615384615384615</v>
      </c>
      <c r="J986">
        <f t="shared" si="145"/>
        <v>13.692307692307692</v>
      </c>
      <c r="K986">
        <f t="shared" si="145"/>
        <v>36.053846153846159</v>
      </c>
      <c r="L986">
        <f t="shared" si="145"/>
        <v>1317.2769230769231</v>
      </c>
      <c r="M986">
        <f t="shared" si="145"/>
        <v>430.84615384615387</v>
      </c>
      <c r="N986">
        <f t="shared" si="145"/>
        <v>414.53846153846155</v>
      </c>
      <c r="O986">
        <f t="shared" si="145"/>
        <v>530.57142857142856</v>
      </c>
      <c r="P986">
        <f t="shared" si="145"/>
        <v>122.85714285714286</v>
      </c>
      <c r="Q986">
        <f t="shared" si="145"/>
        <v>366.92307692307691</v>
      </c>
      <c r="R986">
        <f t="shared" si="145"/>
        <v>516.15384615384619</v>
      </c>
      <c r="S986">
        <f t="shared" si="145"/>
        <v>149.23076923076923</v>
      </c>
      <c r="T986">
        <f t="shared" si="145"/>
        <v>206.81538461538457</v>
      </c>
      <c r="U986">
        <f t="shared" si="145"/>
        <v>404.30769230769232</v>
      </c>
      <c r="V986">
        <f t="shared" si="145"/>
        <v>399.46153846153845</v>
      </c>
    </row>
    <row r="987" spans="1:24" hidden="1" outlineLevel="2" x14ac:dyDescent="0.25">
      <c r="A987" t="str">
        <f t="shared" ref="A987:A999" si="146">CONCATENATE(B987," - ",E987)</f>
        <v>AK7 - 2007</v>
      </c>
      <c r="B987" t="s">
        <v>36</v>
      </c>
      <c r="C987">
        <v>1</v>
      </c>
      <c r="D987">
        <v>22</v>
      </c>
      <c r="E987">
        <v>2007</v>
      </c>
      <c r="F987">
        <v>192.7</v>
      </c>
      <c r="G987">
        <v>2.1</v>
      </c>
      <c r="H987">
        <v>1.2</v>
      </c>
      <c r="I987">
        <v>0.9</v>
      </c>
      <c r="J987">
        <v>42</v>
      </c>
      <c r="K987">
        <v>25.3</v>
      </c>
      <c r="L987">
        <v>1166.5999999999999</v>
      </c>
      <c r="M987">
        <v>490</v>
      </c>
      <c r="N987">
        <v>440</v>
      </c>
      <c r="O987">
        <v>557</v>
      </c>
      <c r="P987">
        <v>117</v>
      </c>
      <c r="Q987">
        <v>408</v>
      </c>
      <c r="R987">
        <v>616</v>
      </c>
      <c r="S987">
        <v>208</v>
      </c>
      <c r="T987">
        <v>184.2</v>
      </c>
      <c r="U987">
        <v>438</v>
      </c>
      <c r="V987">
        <v>433</v>
      </c>
      <c r="W987">
        <v>500</v>
      </c>
      <c r="X987">
        <v>2.79</v>
      </c>
    </row>
    <row r="988" spans="1:24" hidden="1" outlineLevel="2" x14ac:dyDescent="0.25">
      <c r="A988" t="str">
        <f t="shared" si="146"/>
        <v>AK7 - 2007</v>
      </c>
      <c r="B988" t="s">
        <v>36</v>
      </c>
      <c r="C988">
        <v>2</v>
      </c>
      <c r="D988">
        <v>22</v>
      </c>
      <c r="E988">
        <v>2007</v>
      </c>
      <c r="F988">
        <v>192.1</v>
      </c>
      <c r="G988">
        <v>2.1</v>
      </c>
      <c r="H988">
        <v>1.8</v>
      </c>
      <c r="I988">
        <v>0.3</v>
      </c>
      <c r="J988">
        <v>14</v>
      </c>
      <c r="K988">
        <v>25.2</v>
      </c>
      <c r="L988">
        <v>1159.3</v>
      </c>
      <c r="M988">
        <v>468</v>
      </c>
      <c r="N988">
        <v>453</v>
      </c>
      <c r="O988">
        <v>554</v>
      </c>
      <c r="P988">
        <v>101</v>
      </c>
      <c r="Q988">
        <v>397</v>
      </c>
      <c r="R988">
        <v>554</v>
      </c>
      <c r="S988">
        <v>157</v>
      </c>
      <c r="T988">
        <v>195.9</v>
      </c>
      <c r="U988">
        <v>414</v>
      </c>
      <c r="V988">
        <v>411</v>
      </c>
      <c r="W988">
        <v>500</v>
      </c>
      <c r="X988">
        <v>2.79</v>
      </c>
    </row>
    <row r="989" spans="1:24" hidden="1" outlineLevel="2" x14ac:dyDescent="0.25">
      <c r="A989" t="str">
        <f t="shared" si="146"/>
        <v>AK7 - 2007</v>
      </c>
      <c r="B989" t="s">
        <v>36</v>
      </c>
      <c r="C989">
        <v>3</v>
      </c>
      <c r="D989">
        <v>22</v>
      </c>
      <c r="E989">
        <v>2007</v>
      </c>
      <c r="F989">
        <v>250.6</v>
      </c>
      <c r="G989">
        <v>2.7</v>
      </c>
      <c r="H989">
        <v>2.7</v>
      </c>
      <c r="I989">
        <v>0</v>
      </c>
      <c r="J989">
        <v>0</v>
      </c>
      <c r="K989">
        <v>42.3</v>
      </c>
      <c r="L989">
        <v>1972.9</v>
      </c>
      <c r="M989">
        <v>387</v>
      </c>
      <c r="N989">
        <v>387</v>
      </c>
      <c r="Q989">
        <v>333</v>
      </c>
      <c r="R989">
        <v>482</v>
      </c>
      <c r="S989">
        <v>149</v>
      </c>
      <c r="T989">
        <v>252.9</v>
      </c>
      <c r="U989">
        <v>370</v>
      </c>
      <c r="V989">
        <v>365</v>
      </c>
      <c r="W989">
        <v>500</v>
      </c>
      <c r="X989">
        <v>2.79</v>
      </c>
    </row>
    <row r="990" spans="1:24" hidden="1" outlineLevel="2" x14ac:dyDescent="0.25">
      <c r="A990" t="str">
        <f t="shared" si="146"/>
        <v>AK7 - 2007</v>
      </c>
      <c r="B990" t="s">
        <v>36</v>
      </c>
      <c r="C990">
        <v>5</v>
      </c>
      <c r="D990">
        <v>22</v>
      </c>
      <c r="E990">
        <v>2007</v>
      </c>
      <c r="F990">
        <v>213.6</v>
      </c>
      <c r="G990">
        <v>1.5</v>
      </c>
      <c r="H990">
        <v>1.2</v>
      </c>
      <c r="I990">
        <v>0.3</v>
      </c>
      <c r="J990">
        <v>20</v>
      </c>
      <c r="K990">
        <v>20.100000000000001</v>
      </c>
      <c r="L990">
        <v>1433.4</v>
      </c>
      <c r="M990">
        <v>466</v>
      </c>
      <c r="N990">
        <v>444</v>
      </c>
      <c r="O990">
        <v>553</v>
      </c>
      <c r="P990">
        <v>109</v>
      </c>
      <c r="Q990">
        <v>390</v>
      </c>
      <c r="R990">
        <v>553</v>
      </c>
      <c r="S990">
        <v>163</v>
      </c>
      <c r="T990">
        <v>221.1</v>
      </c>
      <c r="U990">
        <v>426</v>
      </c>
      <c r="V990">
        <v>420</v>
      </c>
      <c r="W990">
        <v>500</v>
      </c>
      <c r="X990">
        <v>2.79</v>
      </c>
    </row>
    <row r="991" spans="1:24" hidden="1" outlineLevel="2" x14ac:dyDescent="0.25">
      <c r="A991" t="str">
        <f t="shared" si="146"/>
        <v>AK7 - 2007</v>
      </c>
      <c r="B991" t="s">
        <v>36</v>
      </c>
      <c r="C991">
        <v>6</v>
      </c>
      <c r="D991">
        <v>22</v>
      </c>
      <c r="E991">
        <v>2007</v>
      </c>
      <c r="F991">
        <v>187.8</v>
      </c>
      <c r="G991">
        <v>0.9</v>
      </c>
      <c r="H991">
        <v>0.9</v>
      </c>
      <c r="I991">
        <v>0</v>
      </c>
      <c r="J991">
        <v>0</v>
      </c>
      <c r="K991">
        <v>10.6</v>
      </c>
      <c r="L991">
        <v>1108</v>
      </c>
      <c r="M991">
        <v>413</v>
      </c>
      <c r="N991">
        <v>413</v>
      </c>
      <c r="Q991">
        <v>335</v>
      </c>
      <c r="R991">
        <v>480</v>
      </c>
      <c r="S991">
        <v>145</v>
      </c>
      <c r="T991">
        <v>181.2</v>
      </c>
      <c r="U991">
        <v>379</v>
      </c>
      <c r="V991">
        <v>374</v>
      </c>
      <c r="W991">
        <v>500</v>
      </c>
      <c r="X991">
        <v>2.79</v>
      </c>
    </row>
    <row r="992" spans="1:24" hidden="1" outlineLevel="2" x14ac:dyDescent="0.25">
      <c r="A992" t="str">
        <f t="shared" si="146"/>
        <v>AK7 - 2007</v>
      </c>
      <c r="B992" t="s">
        <v>36</v>
      </c>
      <c r="C992">
        <v>7</v>
      </c>
      <c r="D992">
        <v>22</v>
      </c>
      <c r="E992">
        <v>2007</v>
      </c>
      <c r="F992">
        <v>261.8</v>
      </c>
      <c r="G992">
        <v>6</v>
      </c>
      <c r="H992">
        <v>5.0999999999999996</v>
      </c>
      <c r="I992">
        <v>0.9</v>
      </c>
      <c r="J992">
        <v>14</v>
      </c>
      <c r="K992">
        <v>97.6</v>
      </c>
      <c r="L992">
        <v>2153.1999999999998</v>
      </c>
      <c r="M992">
        <v>405</v>
      </c>
      <c r="N992">
        <v>384</v>
      </c>
      <c r="O992">
        <v>526</v>
      </c>
      <c r="P992">
        <v>142</v>
      </c>
      <c r="Q992">
        <v>344</v>
      </c>
      <c r="R992">
        <v>533</v>
      </c>
      <c r="S992">
        <v>189</v>
      </c>
      <c r="T992">
        <v>278.39999999999998</v>
      </c>
      <c r="U992">
        <v>367</v>
      </c>
      <c r="V992">
        <v>372</v>
      </c>
      <c r="W992">
        <v>500</v>
      </c>
      <c r="X992">
        <v>2.79</v>
      </c>
    </row>
    <row r="993" spans="1:24" hidden="1" outlineLevel="2" x14ac:dyDescent="0.25">
      <c r="A993" t="str">
        <f t="shared" si="146"/>
        <v>AK7 - 2007</v>
      </c>
      <c r="B993" t="s">
        <v>36</v>
      </c>
      <c r="C993">
        <v>8</v>
      </c>
      <c r="D993">
        <v>22</v>
      </c>
      <c r="E993">
        <v>2007</v>
      </c>
      <c r="F993">
        <v>196.6</v>
      </c>
      <c r="G993">
        <v>0.9</v>
      </c>
      <c r="H993">
        <v>0.6</v>
      </c>
      <c r="I993">
        <v>0.3</v>
      </c>
      <c r="J993">
        <v>33</v>
      </c>
      <c r="K993">
        <v>11.1</v>
      </c>
      <c r="L993">
        <v>1214.3</v>
      </c>
      <c r="M993">
        <v>489</v>
      </c>
      <c r="N993">
        <v>458</v>
      </c>
      <c r="O993">
        <v>553</v>
      </c>
      <c r="P993">
        <v>95</v>
      </c>
      <c r="Q993">
        <v>429</v>
      </c>
      <c r="R993">
        <v>553</v>
      </c>
      <c r="S993">
        <v>124</v>
      </c>
      <c r="T993">
        <v>177.9</v>
      </c>
      <c r="U993">
        <v>438</v>
      </c>
      <c r="V993">
        <v>415</v>
      </c>
      <c r="W993">
        <v>500</v>
      </c>
      <c r="X993">
        <v>2.79</v>
      </c>
    </row>
    <row r="994" spans="1:24" hidden="1" outlineLevel="2" x14ac:dyDescent="0.25">
      <c r="A994" t="str">
        <f t="shared" si="146"/>
        <v>AK7 - 2007</v>
      </c>
      <c r="B994" t="s">
        <v>36</v>
      </c>
      <c r="C994">
        <v>9</v>
      </c>
      <c r="D994">
        <v>21</v>
      </c>
      <c r="E994">
        <v>2007</v>
      </c>
      <c r="F994">
        <v>211.3</v>
      </c>
      <c r="G994">
        <v>3.6</v>
      </c>
      <c r="H994">
        <v>2.4</v>
      </c>
      <c r="I994">
        <v>1.2</v>
      </c>
      <c r="J994">
        <v>33</v>
      </c>
      <c r="K994">
        <v>47.4</v>
      </c>
      <c r="L994">
        <v>1402.6</v>
      </c>
      <c r="M994">
        <v>475</v>
      </c>
      <c r="N994">
        <v>436</v>
      </c>
      <c r="O994">
        <v>551</v>
      </c>
      <c r="P994">
        <v>115</v>
      </c>
      <c r="Q994">
        <v>357</v>
      </c>
      <c r="R994">
        <v>593</v>
      </c>
      <c r="S994">
        <v>236</v>
      </c>
      <c r="T994">
        <v>227.1</v>
      </c>
      <c r="U994">
        <v>411</v>
      </c>
      <c r="V994">
        <v>418</v>
      </c>
      <c r="W994">
        <v>500</v>
      </c>
      <c r="X994">
        <v>2.79</v>
      </c>
    </row>
    <row r="995" spans="1:24" hidden="1" outlineLevel="2" x14ac:dyDescent="0.25">
      <c r="A995" t="str">
        <f t="shared" si="146"/>
        <v>AK7 - 2007</v>
      </c>
      <c r="B995" t="s">
        <v>36</v>
      </c>
      <c r="C995">
        <v>10</v>
      </c>
      <c r="D995">
        <v>21</v>
      </c>
      <c r="E995">
        <v>2007</v>
      </c>
      <c r="F995">
        <v>224.8</v>
      </c>
      <c r="G995">
        <v>4.8</v>
      </c>
      <c r="H995">
        <v>4.2</v>
      </c>
      <c r="I995">
        <v>0.6</v>
      </c>
      <c r="J995">
        <v>12</v>
      </c>
      <c r="K995">
        <v>67.099999999999994</v>
      </c>
      <c r="L995">
        <v>1587.6</v>
      </c>
      <c r="M995">
        <v>405</v>
      </c>
      <c r="N995">
        <v>386</v>
      </c>
      <c r="O995">
        <v>543</v>
      </c>
      <c r="P995">
        <v>157</v>
      </c>
      <c r="Q995">
        <v>327</v>
      </c>
      <c r="R995">
        <v>550</v>
      </c>
      <c r="S995">
        <v>223</v>
      </c>
      <c r="T995">
        <v>240.3</v>
      </c>
      <c r="U995">
        <v>373</v>
      </c>
      <c r="V995">
        <v>372</v>
      </c>
      <c r="W995">
        <v>500</v>
      </c>
      <c r="X995">
        <v>2.79</v>
      </c>
    </row>
    <row r="996" spans="1:24" hidden="1" outlineLevel="2" x14ac:dyDescent="0.25">
      <c r="A996" t="str">
        <f t="shared" si="146"/>
        <v>AK7 - 2007</v>
      </c>
      <c r="B996" t="s">
        <v>36</v>
      </c>
      <c r="C996">
        <v>11</v>
      </c>
      <c r="D996">
        <v>21</v>
      </c>
      <c r="E996">
        <v>2007</v>
      </c>
      <c r="F996">
        <v>135</v>
      </c>
      <c r="G996">
        <v>0.6</v>
      </c>
      <c r="H996">
        <v>0.6</v>
      </c>
      <c r="I996">
        <v>0</v>
      </c>
      <c r="J996">
        <v>0</v>
      </c>
      <c r="K996">
        <v>5.0999999999999996</v>
      </c>
      <c r="L996">
        <v>572.6</v>
      </c>
      <c r="M996">
        <v>408</v>
      </c>
      <c r="N996">
        <v>408</v>
      </c>
      <c r="Q996">
        <v>393</v>
      </c>
      <c r="R996">
        <v>423</v>
      </c>
      <c r="S996">
        <v>30</v>
      </c>
      <c r="T996">
        <v>137.69999999999999</v>
      </c>
      <c r="U996">
        <v>408</v>
      </c>
      <c r="V996">
        <v>408</v>
      </c>
      <c r="W996">
        <v>500</v>
      </c>
      <c r="X996">
        <v>2.79</v>
      </c>
    </row>
    <row r="997" spans="1:24" hidden="1" outlineLevel="2" x14ac:dyDescent="0.25">
      <c r="A997" t="str">
        <f t="shared" si="146"/>
        <v>AK7 - 2007</v>
      </c>
      <c r="B997" t="s">
        <v>36</v>
      </c>
      <c r="C997">
        <v>13</v>
      </c>
      <c r="D997">
        <v>22</v>
      </c>
      <c r="E997">
        <v>2007</v>
      </c>
      <c r="F997">
        <v>206.6</v>
      </c>
      <c r="G997">
        <v>4.2</v>
      </c>
      <c r="H997">
        <v>1.8</v>
      </c>
      <c r="I997">
        <v>2.4</v>
      </c>
      <c r="J997">
        <v>57</v>
      </c>
      <c r="K997">
        <v>54</v>
      </c>
      <c r="L997">
        <v>1340.9</v>
      </c>
      <c r="M997">
        <v>482</v>
      </c>
      <c r="N997">
        <v>401</v>
      </c>
      <c r="O997">
        <v>543</v>
      </c>
      <c r="P997">
        <v>142</v>
      </c>
      <c r="Q997">
        <v>350</v>
      </c>
      <c r="R997">
        <v>629</v>
      </c>
      <c r="S997">
        <v>279</v>
      </c>
      <c r="T997">
        <v>226.2</v>
      </c>
      <c r="U997">
        <v>428</v>
      </c>
      <c r="V997">
        <v>431</v>
      </c>
      <c r="W997">
        <v>500</v>
      </c>
      <c r="X997">
        <v>2.79</v>
      </c>
    </row>
    <row r="998" spans="1:24" hidden="1" outlineLevel="2" x14ac:dyDescent="0.25">
      <c r="A998" t="str">
        <f t="shared" si="146"/>
        <v>AK7 - 2007</v>
      </c>
      <c r="B998" t="s">
        <v>36</v>
      </c>
      <c r="C998">
        <v>14</v>
      </c>
      <c r="D998">
        <v>22</v>
      </c>
      <c r="E998">
        <v>2007</v>
      </c>
      <c r="F998">
        <v>212.1</v>
      </c>
      <c r="G998">
        <v>2.4</v>
      </c>
      <c r="H998">
        <v>1.8</v>
      </c>
      <c r="I998">
        <v>0.6</v>
      </c>
      <c r="J998">
        <v>25</v>
      </c>
      <c r="K998">
        <v>31.8</v>
      </c>
      <c r="L998">
        <v>1413.3</v>
      </c>
      <c r="M998">
        <v>466</v>
      </c>
      <c r="N998">
        <v>430</v>
      </c>
      <c r="O998">
        <v>576</v>
      </c>
      <c r="P998">
        <v>146</v>
      </c>
      <c r="Q998">
        <v>368</v>
      </c>
      <c r="R998">
        <v>630</v>
      </c>
      <c r="S998">
        <v>262</v>
      </c>
      <c r="T998">
        <v>193.2</v>
      </c>
      <c r="U998">
        <v>390</v>
      </c>
      <c r="V998">
        <v>377</v>
      </c>
      <c r="W998">
        <v>500</v>
      </c>
      <c r="X998">
        <v>2.79</v>
      </c>
    </row>
    <row r="999" spans="1:24" hidden="1" outlineLevel="2" x14ac:dyDescent="0.25">
      <c r="A999" t="str">
        <f t="shared" si="146"/>
        <v>AK7 - 2007</v>
      </c>
      <c r="B999" t="s">
        <v>36</v>
      </c>
      <c r="C999">
        <v>15</v>
      </c>
      <c r="D999">
        <v>22</v>
      </c>
      <c r="E999">
        <v>2007</v>
      </c>
      <c r="F999">
        <v>182.6</v>
      </c>
      <c r="G999">
        <v>0.9</v>
      </c>
      <c r="H999">
        <v>0.3</v>
      </c>
      <c r="I999">
        <v>0.6</v>
      </c>
      <c r="J999">
        <v>66</v>
      </c>
      <c r="K999">
        <v>10.3</v>
      </c>
      <c r="L999">
        <v>1047.5</v>
      </c>
      <c r="M999">
        <v>510</v>
      </c>
      <c r="N999">
        <v>401</v>
      </c>
      <c r="O999">
        <v>565</v>
      </c>
      <c r="P999">
        <v>164</v>
      </c>
      <c r="Q999">
        <v>401</v>
      </c>
      <c r="R999">
        <v>604</v>
      </c>
      <c r="S999">
        <v>203</v>
      </c>
      <c r="T999">
        <v>172.5</v>
      </c>
      <c r="U999">
        <v>414</v>
      </c>
      <c r="V999">
        <v>397</v>
      </c>
      <c r="W999">
        <v>500</v>
      </c>
      <c r="X999">
        <v>2.79</v>
      </c>
    </row>
    <row r="1000" spans="1:24" outlineLevel="1" collapsed="1" x14ac:dyDescent="0.25">
      <c r="A1000" s="8" t="s">
        <v>110</v>
      </c>
      <c r="D1000">
        <f t="shared" ref="D1000:V1000" si="147">SUBTOTAL(1,D987:D999)</f>
        <v>21.76923076923077</v>
      </c>
      <c r="E1000">
        <f t="shared" si="147"/>
        <v>2007</v>
      </c>
      <c r="F1000">
        <f t="shared" si="147"/>
        <v>205.19999999999996</v>
      </c>
      <c r="G1000">
        <f t="shared" si="147"/>
        <v>2.5153846153846158</v>
      </c>
      <c r="H1000">
        <f t="shared" si="147"/>
        <v>1.8923076923076927</v>
      </c>
      <c r="I1000">
        <f t="shared" si="147"/>
        <v>0.62307692307692286</v>
      </c>
      <c r="J1000">
        <f t="shared" si="147"/>
        <v>24.307692307692307</v>
      </c>
      <c r="K1000">
        <f t="shared" si="147"/>
        <v>34.45384615384615</v>
      </c>
      <c r="L1000">
        <f t="shared" si="147"/>
        <v>1351.707692307692</v>
      </c>
      <c r="M1000">
        <f t="shared" si="147"/>
        <v>451.07692307692309</v>
      </c>
      <c r="N1000">
        <f t="shared" si="147"/>
        <v>418.53846153846155</v>
      </c>
      <c r="O1000">
        <f t="shared" si="147"/>
        <v>552.1</v>
      </c>
      <c r="P1000">
        <f t="shared" si="147"/>
        <v>128.80000000000001</v>
      </c>
      <c r="Q1000">
        <f t="shared" si="147"/>
        <v>371.69230769230768</v>
      </c>
      <c r="R1000">
        <f t="shared" si="147"/>
        <v>553.84615384615381</v>
      </c>
      <c r="S1000">
        <f t="shared" si="147"/>
        <v>182.15384615384616</v>
      </c>
      <c r="T1000">
        <f t="shared" si="147"/>
        <v>206.81538461538457</v>
      </c>
      <c r="U1000">
        <f t="shared" si="147"/>
        <v>404.30769230769232</v>
      </c>
      <c r="V1000">
        <f t="shared" si="147"/>
        <v>399.46153846153845</v>
      </c>
    </row>
    <row r="1001" spans="1:24" hidden="1" outlineLevel="2" x14ac:dyDescent="0.25">
      <c r="A1001" t="str">
        <f t="shared" ref="A1001:A1013" si="148">CONCATENATE(B1001," - ",E1001)</f>
        <v>AK7 - 2008</v>
      </c>
      <c r="B1001" t="s">
        <v>36</v>
      </c>
      <c r="C1001">
        <v>1</v>
      </c>
      <c r="D1001">
        <v>23</v>
      </c>
      <c r="E1001">
        <v>2008</v>
      </c>
      <c r="F1001">
        <v>197.8</v>
      </c>
      <c r="G1001">
        <v>5.0999999999999996</v>
      </c>
      <c r="H1001">
        <v>3.3</v>
      </c>
      <c r="I1001">
        <v>1.8</v>
      </c>
      <c r="J1001">
        <v>35</v>
      </c>
      <c r="K1001">
        <v>62.6</v>
      </c>
      <c r="L1001">
        <v>1229.0999999999999</v>
      </c>
      <c r="M1001">
        <v>484</v>
      </c>
      <c r="N1001">
        <v>445</v>
      </c>
      <c r="O1001">
        <v>556</v>
      </c>
      <c r="P1001">
        <v>111</v>
      </c>
      <c r="Q1001">
        <v>377</v>
      </c>
      <c r="R1001">
        <v>584</v>
      </c>
      <c r="S1001">
        <v>207</v>
      </c>
      <c r="T1001">
        <v>184.2</v>
      </c>
      <c r="U1001">
        <v>438</v>
      </c>
      <c r="V1001">
        <v>433</v>
      </c>
      <c r="W1001">
        <v>500</v>
      </c>
      <c r="X1001">
        <v>2.79</v>
      </c>
    </row>
    <row r="1002" spans="1:24" hidden="1" outlineLevel="2" x14ac:dyDescent="0.25">
      <c r="A1002" t="str">
        <f t="shared" si="148"/>
        <v>AK7 - 2008</v>
      </c>
      <c r="B1002" t="s">
        <v>36</v>
      </c>
      <c r="C1002">
        <v>2</v>
      </c>
      <c r="D1002">
        <v>23</v>
      </c>
      <c r="E1002">
        <v>2008</v>
      </c>
      <c r="F1002">
        <v>195.1</v>
      </c>
      <c r="G1002">
        <v>3</v>
      </c>
      <c r="H1002">
        <v>2.4</v>
      </c>
      <c r="I1002">
        <v>0.6</v>
      </c>
      <c r="J1002">
        <v>20</v>
      </c>
      <c r="K1002">
        <v>36.5</v>
      </c>
      <c r="L1002">
        <v>1195.8</v>
      </c>
      <c r="M1002">
        <v>447</v>
      </c>
      <c r="N1002">
        <v>426</v>
      </c>
      <c r="O1002">
        <v>531</v>
      </c>
      <c r="P1002">
        <v>105</v>
      </c>
      <c r="Q1002">
        <v>366</v>
      </c>
      <c r="R1002">
        <v>546</v>
      </c>
      <c r="S1002">
        <v>180</v>
      </c>
      <c r="T1002">
        <v>195.9</v>
      </c>
      <c r="U1002">
        <v>414</v>
      </c>
      <c r="V1002">
        <v>411</v>
      </c>
      <c r="W1002">
        <v>500</v>
      </c>
      <c r="X1002">
        <v>2.79</v>
      </c>
    </row>
    <row r="1003" spans="1:24" hidden="1" outlineLevel="2" x14ac:dyDescent="0.25">
      <c r="A1003" t="str">
        <f t="shared" si="148"/>
        <v>AK7 - 2008</v>
      </c>
      <c r="B1003" t="s">
        <v>36</v>
      </c>
      <c r="C1003">
        <v>3</v>
      </c>
      <c r="D1003">
        <v>23</v>
      </c>
      <c r="E1003">
        <v>2008</v>
      </c>
      <c r="F1003">
        <v>255.1</v>
      </c>
      <c r="G1003">
        <v>4.5</v>
      </c>
      <c r="H1003">
        <v>4.2</v>
      </c>
      <c r="I1003">
        <v>0.3</v>
      </c>
      <c r="J1003">
        <v>6</v>
      </c>
      <c r="K1003">
        <v>71.5</v>
      </c>
      <c r="L1003">
        <v>2044.4</v>
      </c>
      <c r="M1003">
        <v>391</v>
      </c>
      <c r="N1003">
        <v>380</v>
      </c>
      <c r="O1003">
        <v>550</v>
      </c>
      <c r="P1003">
        <v>170</v>
      </c>
      <c r="Q1003">
        <v>317</v>
      </c>
      <c r="R1003">
        <v>550</v>
      </c>
      <c r="S1003">
        <v>233</v>
      </c>
      <c r="T1003">
        <v>252.9</v>
      </c>
      <c r="U1003">
        <v>370</v>
      </c>
      <c r="V1003">
        <v>365</v>
      </c>
      <c r="W1003">
        <v>500</v>
      </c>
      <c r="X1003">
        <v>2.79</v>
      </c>
    </row>
    <row r="1004" spans="1:24" hidden="1" outlineLevel="2" x14ac:dyDescent="0.25">
      <c r="A1004" t="str">
        <f t="shared" si="148"/>
        <v>AK7 - 2008</v>
      </c>
      <c r="B1004" t="s">
        <v>36</v>
      </c>
      <c r="C1004">
        <v>5</v>
      </c>
      <c r="D1004">
        <v>23</v>
      </c>
      <c r="E1004">
        <v>2008</v>
      </c>
      <c r="F1004">
        <v>215.7</v>
      </c>
      <c r="G1004">
        <v>2.1</v>
      </c>
      <c r="H1004">
        <v>1.8</v>
      </c>
      <c r="I1004">
        <v>0.3</v>
      </c>
      <c r="J1004">
        <v>14</v>
      </c>
      <c r="K1004">
        <v>28.3</v>
      </c>
      <c r="L1004">
        <v>1461.7</v>
      </c>
      <c r="M1004">
        <v>431</v>
      </c>
      <c r="N1004">
        <v>418</v>
      </c>
      <c r="O1004">
        <v>508</v>
      </c>
      <c r="P1004">
        <v>90</v>
      </c>
      <c r="Q1004">
        <v>380</v>
      </c>
      <c r="R1004">
        <v>508</v>
      </c>
      <c r="S1004">
        <v>128</v>
      </c>
      <c r="T1004">
        <v>221.1</v>
      </c>
      <c r="U1004">
        <v>426</v>
      </c>
      <c r="V1004">
        <v>420</v>
      </c>
      <c r="W1004">
        <v>500</v>
      </c>
      <c r="X1004">
        <v>2.79</v>
      </c>
    </row>
    <row r="1005" spans="1:24" hidden="1" outlineLevel="2" x14ac:dyDescent="0.25">
      <c r="A1005" t="str">
        <f t="shared" si="148"/>
        <v>AK7 - 2008</v>
      </c>
      <c r="B1005" t="s">
        <v>36</v>
      </c>
      <c r="C1005">
        <v>6</v>
      </c>
      <c r="D1005">
        <v>23</v>
      </c>
      <c r="E1005">
        <v>2008</v>
      </c>
      <c r="F1005">
        <v>189</v>
      </c>
      <c r="G1005">
        <v>1.2</v>
      </c>
      <c r="H1005">
        <v>1.2</v>
      </c>
      <c r="I1005">
        <v>0</v>
      </c>
      <c r="J1005">
        <v>0</v>
      </c>
      <c r="K1005">
        <v>14.2</v>
      </c>
      <c r="L1005">
        <v>1122.2</v>
      </c>
      <c r="M1005">
        <v>376</v>
      </c>
      <c r="N1005">
        <v>376</v>
      </c>
      <c r="Q1005">
        <v>322</v>
      </c>
      <c r="R1005">
        <v>463</v>
      </c>
      <c r="S1005">
        <v>141</v>
      </c>
      <c r="T1005">
        <v>181.2</v>
      </c>
      <c r="U1005">
        <v>379</v>
      </c>
      <c r="V1005">
        <v>374</v>
      </c>
      <c r="W1005">
        <v>500</v>
      </c>
      <c r="X1005">
        <v>2.79</v>
      </c>
    </row>
    <row r="1006" spans="1:24" hidden="1" outlineLevel="2" x14ac:dyDescent="0.25">
      <c r="A1006" t="str">
        <f t="shared" si="148"/>
        <v>AK7 - 2008</v>
      </c>
      <c r="B1006" t="s">
        <v>36</v>
      </c>
      <c r="C1006">
        <v>7</v>
      </c>
      <c r="D1006">
        <v>23</v>
      </c>
      <c r="E1006">
        <v>2008</v>
      </c>
      <c r="F1006">
        <v>268.7</v>
      </c>
      <c r="G1006">
        <v>6.9</v>
      </c>
      <c r="H1006">
        <v>6.3</v>
      </c>
      <c r="I1006">
        <v>0.6</v>
      </c>
      <c r="J1006">
        <v>8</v>
      </c>
      <c r="K1006">
        <v>115</v>
      </c>
      <c r="L1006">
        <v>2268.1999999999998</v>
      </c>
      <c r="M1006">
        <v>393</v>
      </c>
      <c r="N1006">
        <v>381</v>
      </c>
      <c r="O1006">
        <v>516</v>
      </c>
      <c r="P1006">
        <v>135</v>
      </c>
      <c r="Q1006">
        <v>325</v>
      </c>
      <c r="R1006">
        <v>518</v>
      </c>
      <c r="S1006">
        <v>193</v>
      </c>
      <c r="T1006">
        <v>278.39999999999998</v>
      </c>
      <c r="U1006">
        <v>367</v>
      </c>
      <c r="V1006">
        <v>372</v>
      </c>
      <c r="W1006">
        <v>500</v>
      </c>
      <c r="X1006">
        <v>2.79</v>
      </c>
    </row>
    <row r="1007" spans="1:24" hidden="1" outlineLevel="2" x14ac:dyDescent="0.25">
      <c r="A1007" t="str">
        <f t="shared" si="148"/>
        <v>AK7 - 2008</v>
      </c>
      <c r="B1007" t="s">
        <v>36</v>
      </c>
      <c r="C1007">
        <v>8</v>
      </c>
      <c r="D1007">
        <v>23</v>
      </c>
      <c r="E1007">
        <v>2008</v>
      </c>
      <c r="F1007">
        <v>198.1</v>
      </c>
      <c r="G1007">
        <v>1.5</v>
      </c>
      <c r="H1007">
        <v>0.6</v>
      </c>
      <c r="I1007">
        <v>0.9</v>
      </c>
      <c r="J1007">
        <v>60</v>
      </c>
      <c r="K1007">
        <v>18.600000000000001</v>
      </c>
      <c r="L1007">
        <v>1232.9000000000001</v>
      </c>
      <c r="M1007">
        <v>521</v>
      </c>
      <c r="N1007">
        <v>492</v>
      </c>
      <c r="O1007">
        <v>541</v>
      </c>
      <c r="P1007">
        <v>49</v>
      </c>
      <c r="Q1007">
        <v>489</v>
      </c>
      <c r="R1007">
        <v>562</v>
      </c>
      <c r="S1007">
        <v>73</v>
      </c>
      <c r="T1007">
        <v>177.9</v>
      </c>
      <c r="U1007">
        <v>438</v>
      </c>
      <c r="V1007">
        <v>415</v>
      </c>
      <c r="W1007">
        <v>500</v>
      </c>
      <c r="X1007">
        <v>2.79</v>
      </c>
    </row>
    <row r="1008" spans="1:24" hidden="1" outlineLevel="2" x14ac:dyDescent="0.25">
      <c r="A1008" t="str">
        <f t="shared" si="148"/>
        <v>AK7 - 2008</v>
      </c>
      <c r="B1008" t="s">
        <v>36</v>
      </c>
      <c r="C1008">
        <v>9</v>
      </c>
      <c r="D1008">
        <v>22</v>
      </c>
      <c r="E1008">
        <v>2008</v>
      </c>
      <c r="F1008">
        <v>215.2</v>
      </c>
      <c r="G1008">
        <v>3.9</v>
      </c>
      <c r="H1008">
        <v>2.7</v>
      </c>
      <c r="I1008">
        <v>1.2</v>
      </c>
      <c r="J1008">
        <v>30</v>
      </c>
      <c r="K1008">
        <v>52.3</v>
      </c>
      <c r="L1008">
        <v>1454.9</v>
      </c>
      <c r="M1008">
        <v>462</v>
      </c>
      <c r="N1008">
        <v>422</v>
      </c>
      <c r="O1008">
        <v>552</v>
      </c>
      <c r="P1008">
        <v>130</v>
      </c>
      <c r="Q1008">
        <v>365</v>
      </c>
      <c r="R1008">
        <v>589</v>
      </c>
      <c r="S1008">
        <v>224</v>
      </c>
      <c r="T1008">
        <v>227.1</v>
      </c>
      <c r="U1008">
        <v>411</v>
      </c>
      <c r="V1008">
        <v>418</v>
      </c>
      <c r="W1008">
        <v>500</v>
      </c>
      <c r="X1008">
        <v>2.79</v>
      </c>
    </row>
    <row r="1009" spans="1:24" hidden="1" outlineLevel="2" x14ac:dyDescent="0.25">
      <c r="A1009" t="str">
        <f t="shared" si="148"/>
        <v>AK7 - 2008</v>
      </c>
      <c r="B1009" t="s">
        <v>36</v>
      </c>
      <c r="C1009">
        <v>10</v>
      </c>
      <c r="D1009">
        <v>22</v>
      </c>
      <c r="E1009">
        <v>2008</v>
      </c>
      <c r="F1009">
        <v>230.5</v>
      </c>
      <c r="G1009">
        <v>5.7</v>
      </c>
      <c r="H1009">
        <v>5.0999999999999996</v>
      </c>
      <c r="I1009">
        <v>0.6</v>
      </c>
      <c r="J1009">
        <v>10</v>
      </c>
      <c r="K1009">
        <v>81.5</v>
      </c>
      <c r="L1009">
        <v>1669.1</v>
      </c>
      <c r="M1009">
        <v>380</v>
      </c>
      <c r="N1009">
        <v>362</v>
      </c>
      <c r="O1009">
        <v>534</v>
      </c>
      <c r="P1009">
        <v>172</v>
      </c>
      <c r="Q1009">
        <v>313</v>
      </c>
      <c r="R1009">
        <v>539</v>
      </c>
      <c r="S1009">
        <v>226</v>
      </c>
      <c r="T1009">
        <v>240.3</v>
      </c>
      <c r="U1009">
        <v>373</v>
      </c>
      <c r="V1009">
        <v>372</v>
      </c>
      <c r="W1009">
        <v>500</v>
      </c>
      <c r="X1009">
        <v>2.79</v>
      </c>
    </row>
    <row r="1010" spans="1:24" hidden="1" outlineLevel="2" x14ac:dyDescent="0.25">
      <c r="A1010" t="str">
        <f t="shared" si="148"/>
        <v>AK7 - 2008</v>
      </c>
      <c r="B1010" t="s">
        <v>36</v>
      </c>
      <c r="C1010">
        <v>11</v>
      </c>
      <c r="D1010">
        <v>22</v>
      </c>
      <c r="E1010">
        <v>2008</v>
      </c>
      <c r="F1010">
        <v>135.6</v>
      </c>
      <c r="G1010">
        <v>0.6</v>
      </c>
      <c r="H1010">
        <v>0.6</v>
      </c>
      <c r="I1010">
        <v>0</v>
      </c>
      <c r="J1010">
        <v>0</v>
      </c>
      <c r="K1010">
        <v>5.0999999999999996</v>
      </c>
      <c r="L1010">
        <v>577.70000000000005</v>
      </c>
      <c r="M1010">
        <v>427</v>
      </c>
      <c r="N1010">
        <v>427</v>
      </c>
      <c r="Q1010">
        <v>389</v>
      </c>
      <c r="R1010">
        <v>466</v>
      </c>
      <c r="S1010">
        <v>77</v>
      </c>
      <c r="T1010">
        <v>137.69999999999999</v>
      </c>
      <c r="U1010">
        <v>408</v>
      </c>
      <c r="V1010">
        <v>408</v>
      </c>
      <c r="W1010">
        <v>500</v>
      </c>
      <c r="X1010">
        <v>2.79</v>
      </c>
    </row>
    <row r="1011" spans="1:24" hidden="1" outlineLevel="2" x14ac:dyDescent="0.25">
      <c r="A1011" t="str">
        <f t="shared" si="148"/>
        <v>AK7 - 2008</v>
      </c>
      <c r="B1011" t="s">
        <v>36</v>
      </c>
      <c r="C1011">
        <v>13</v>
      </c>
      <c r="D1011">
        <v>23</v>
      </c>
      <c r="E1011">
        <v>2008</v>
      </c>
      <c r="F1011">
        <v>212.3</v>
      </c>
      <c r="G1011">
        <v>5.7</v>
      </c>
      <c r="H1011">
        <v>3.9</v>
      </c>
      <c r="I1011">
        <v>1.8</v>
      </c>
      <c r="J1011">
        <v>31</v>
      </c>
      <c r="K1011">
        <v>75</v>
      </c>
      <c r="L1011">
        <v>1416</v>
      </c>
      <c r="M1011">
        <v>458</v>
      </c>
      <c r="N1011">
        <v>416</v>
      </c>
      <c r="O1011">
        <v>549</v>
      </c>
      <c r="P1011">
        <v>133</v>
      </c>
      <c r="Q1011">
        <v>351</v>
      </c>
      <c r="R1011">
        <v>580</v>
      </c>
      <c r="S1011">
        <v>229</v>
      </c>
      <c r="T1011">
        <v>226.2</v>
      </c>
      <c r="U1011">
        <v>428</v>
      </c>
      <c r="V1011">
        <v>431</v>
      </c>
      <c r="W1011">
        <v>500</v>
      </c>
      <c r="X1011">
        <v>2.79</v>
      </c>
    </row>
    <row r="1012" spans="1:24" hidden="1" outlineLevel="2" x14ac:dyDescent="0.25">
      <c r="A1012" t="str">
        <f t="shared" si="148"/>
        <v>AK7 - 2008</v>
      </c>
      <c r="B1012" t="s">
        <v>36</v>
      </c>
      <c r="C1012">
        <v>14</v>
      </c>
      <c r="D1012">
        <v>23</v>
      </c>
      <c r="E1012">
        <v>2008</v>
      </c>
      <c r="F1012">
        <v>215.4</v>
      </c>
      <c r="G1012">
        <v>3.3</v>
      </c>
      <c r="H1012">
        <v>3</v>
      </c>
      <c r="I1012">
        <v>0.3</v>
      </c>
      <c r="J1012">
        <v>9</v>
      </c>
      <c r="K1012">
        <v>44.3</v>
      </c>
      <c r="L1012">
        <v>1457.6</v>
      </c>
      <c r="M1012">
        <v>421</v>
      </c>
      <c r="N1012">
        <v>407</v>
      </c>
      <c r="O1012">
        <v>560</v>
      </c>
      <c r="P1012">
        <v>153</v>
      </c>
      <c r="Q1012">
        <v>365</v>
      </c>
      <c r="R1012">
        <v>560</v>
      </c>
      <c r="S1012">
        <v>195</v>
      </c>
      <c r="T1012">
        <v>193.2</v>
      </c>
      <c r="U1012">
        <v>390</v>
      </c>
      <c r="V1012">
        <v>377</v>
      </c>
      <c r="W1012">
        <v>500</v>
      </c>
      <c r="X1012">
        <v>2.79</v>
      </c>
    </row>
    <row r="1013" spans="1:24" hidden="1" outlineLevel="2" x14ac:dyDescent="0.25">
      <c r="A1013" t="str">
        <f t="shared" si="148"/>
        <v>AK7 - 2008</v>
      </c>
      <c r="B1013" t="s">
        <v>36</v>
      </c>
      <c r="C1013">
        <v>15</v>
      </c>
      <c r="D1013">
        <v>23</v>
      </c>
      <c r="E1013">
        <v>2008</v>
      </c>
      <c r="F1013">
        <v>185.3</v>
      </c>
      <c r="G1013">
        <v>2.7</v>
      </c>
      <c r="H1013">
        <v>1.5</v>
      </c>
      <c r="I1013">
        <v>1.2</v>
      </c>
      <c r="J1013">
        <v>44</v>
      </c>
      <c r="K1013">
        <v>31.2</v>
      </c>
      <c r="L1013">
        <v>1078.7</v>
      </c>
      <c r="M1013">
        <v>450</v>
      </c>
      <c r="N1013">
        <v>387</v>
      </c>
      <c r="O1013">
        <v>530</v>
      </c>
      <c r="P1013">
        <v>143</v>
      </c>
      <c r="Q1013">
        <v>360</v>
      </c>
      <c r="R1013">
        <v>552</v>
      </c>
      <c r="S1013">
        <v>192</v>
      </c>
      <c r="T1013">
        <v>172.5</v>
      </c>
      <c r="U1013">
        <v>414</v>
      </c>
      <c r="V1013">
        <v>397</v>
      </c>
      <c r="W1013">
        <v>500</v>
      </c>
      <c r="X1013">
        <v>2.79</v>
      </c>
    </row>
    <row r="1014" spans="1:24" outlineLevel="1" collapsed="1" x14ac:dyDescent="0.25">
      <c r="A1014" s="8" t="s">
        <v>111</v>
      </c>
      <c r="D1014">
        <f t="shared" ref="D1014:V1014" si="149">SUBTOTAL(1,D1001:D1013)</f>
        <v>22.76923076923077</v>
      </c>
      <c r="E1014">
        <f t="shared" si="149"/>
        <v>2008</v>
      </c>
      <c r="F1014">
        <f t="shared" si="149"/>
        <v>208.75384615384621</v>
      </c>
      <c r="G1014">
        <f t="shared" si="149"/>
        <v>3.5538461538461541</v>
      </c>
      <c r="H1014">
        <f t="shared" si="149"/>
        <v>2.8153846153846156</v>
      </c>
      <c r="I1014">
        <f t="shared" si="149"/>
        <v>0.73846153846153839</v>
      </c>
      <c r="J1014">
        <f t="shared" si="149"/>
        <v>20.53846153846154</v>
      </c>
      <c r="K1014">
        <f t="shared" si="149"/>
        <v>48.930769230769243</v>
      </c>
      <c r="L1014">
        <f t="shared" si="149"/>
        <v>1400.6384615384616</v>
      </c>
      <c r="M1014">
        <f t="shared" si="149"/>
        <v>433.92307692307691</v>
      </c>
      <c r="N1014">
        <f t="shared" si="149"/>
        <v>410.69230769230768</v>
      </c>
      <c r="O1014">
        <f t="shared" si="149"/>
        <v>538.81818181818187</v>
      </c>
      <c r="P1014">
        <f t="shared" si="149"/>
        <v>126.45454545454545</v>
      </c>
      <c r="Q1014">
        <f t="shared" si="149"/>
        <v>363</v>
      </c>
      <c r="R1014">
        <f t="shared" si="149"/>
        <v>539.76923076923072</v>
      </c>
      <c r="S1014">
        <f t="shared" si="149"/>
        <v>176.76923076923077</v>
      </c>
      <c r="T1014">
        <f t="shared" si="149"/>
        <v>206.81538461538457</v>
      </c>
      <c r="U1014">
        <f t="shared" si="149"/>
        <v>404.30769230769232</v>
      </c>
      <c r="V1014">
        <f t="shared" si="149"/>
        <v>399.46153846153845</v>
      </c>
    </row>
    <row r="1015" spans="1:24" hidden="1" outlineLevel="2" x14ac:dyDescent="0.25">
      <c r="A1015" t="str">
        <f t="shared" ref="A1015:A1027" si="150">CONCATENATE(B1015," - ",E1015)</f>
        <v>AK7 - 2009</v>
      </c>
      <c r="B1015" t="s">
        <v>36</v>
      </c>
      <c r="C1015">
        <v>1</v>
      </c>
      <c r="D1015">
        <v>24</v>
      </c>
      <c r="E1015">
        <v>2009</v>
      </c>
      <c r="F1015">
        <v>203.2</v>
      </c>
      <c r="G1015">
        <v>5.4</v>
      </c>
      <c r="H1015">
        <v>3.3</v>
      </c>
      <c r="I1015">
        <v>2.1</v>
      </c>
      <c r="J1015">
        <v>38</v>
      </c>
      <c r="K1015">
        <v>68</v>
      </c>
      <c r="L1015">
        <v>1297.2</v>
      </c>
      <c r="M1015">
        <v>501</v>
      </c>
      <c r="N1015">
        <v>468</v>
      </c>
      <c r="O1015">
        <v>554</v>
      </c>
      <c r="P1015">
        <v>86</v>
      </c>
      <c r="Q1015">
        <v>414</v>
      </c>
      <c r="R1015">
        <v>601</v>
      </c>
      <c r="S1015">
        <v>187</v>
      </c>
      <c r="T1015">
        <v>184.2</v>
      </c>
      <c r="U1015">
        <v>438</v>
      </c>
      <c r="V1015">
        <v>433</v>
      </c>
      <c r="W1015">
        <v>500</v>
      </c>
      <c r="X1015">
        <v>2.79</v>
      </c>
    </row>
    <row r="1016" spans="1:24" hidden="1" outlineLevel="2" x14ac:dyDescent="0.25">
      <c r="A1016" t="str">
        <f t="shared" si="150"/>
        <v>AK7 - 2009</v>
      </c>
      <c r="B1016" t="s">
        <v>36</v>
      </c>
      <c r="C1016">
        <v>2</v>
      </c>
      <c r="D1016">
        <v>24</v>
      </c>
      <c r="E1016">
        <v>2009</v>
      </c>
      <c r="F1016">
        <v>197.8</v>
      </c>
      <c r="G1016">
        <v>2.7</v>
      </c>
      <c r="H1016">
        <v>2.1</v>
      </c>
      <c r="I1016">
        <v>0.6</v>
      </c>
      <c r="J1016">
        <v>22</v>
      </c>
      <c r="K1016">
        <v>33.299999999999997</v>
      </c>
      <c r="L1016">
        <v>1229.0999999999999</v>
      </c>
      <c r="M1016">
        <v>467</v>
      </c>
      <c r="N1016">
        <v>445</v>
      </c>
      <c r="O1016">
        <v>543</v>
      </c>
      <c r="P1016">
        <v>98</v>
      </c>
      <c r="Q1016">
        <v>412</v>
      </c>
      <c r="R1016">
        <v>545</v>
      </c>
      <c r="S1016">
        <v>133</v>
      </c>
      <c r="T1016">
        <v>195.9</v>
      </c>
      <c r="U1016">
        <v>414</v>
      </c>
      <c r="V1016">
        <v>411</v>
      </c>
      <c r="W1016">
        <v>500</v>
      </c>
      <c r="X1016">
        <v>2.79</v>
      </c>
    </row>
    <row r="1017" spans="1:24" hidden="1" outlineLevel="2" x14ac:dyDescent="0.25">
      <c r="A1017" t="str">
        <f t="shared" si="150"/>
        <v>AK7 - 2009</v>
      </c>
      <c r="B1017" t="s">
        <v>36</v>
      </c>
      <c r="C1017">
        <v>3</v>
      </c>
      <c r="D1017">
        <v>24</v>
      </c>
      <c r="E1017">
        <v>2009</v>
      </c>
      <c r="F1017">
        <v>261.10000000000002</v>
      </c>
      <c r="G1017">
        <v>6</v>
      </c>
      <c r="H1017">
        <v>5.0999999999999996</v>
      </c>
      <c r="I1017">
        <v>0.9</v>
      </c>
      <c r="J1017">
        <v>15</v>
      </c>
      <c r="K1017">
        <v>97.3</v>
      </c>
      <c r="L1017">
        <v>2141.6999999999998</v>
      </c>
      <c r="M1017">
        <v>408</v>
      </c>
      <c r="N1017">
        <v>386</v>
      </c>
      <c r="O1017">
        <v>531</v>
      </c>
      <c r="P1017">
        <v>145</v>
      </c>
      <c r="Q1017">
        <v>326</v>
      </c>
      <c r="R1017">
        <v>552</v>
      </c>
      <c r="S1017">
        <v>226</v>
      </c>
      <c r="T1017">
        <v>252.9</v>
      </c>
      <c r="U1017">
        <v>370</v>
      </c>
      <c r="V1017">
        <v>365</v>
      </c>
      <c r="W1017">
        <v>500</v>
      </c>
      <c r="X1017">
        <v>2.79</v>
      </c>
    </row>
    <row r="1018" spans="1:24" hidden="1" outlineLevel="2" x14ac:dyDescent="0.25">
      <c r="A1018" t="str">
        <f t="shared" si="150"/>
        <v>AK7 - 2009</v>
      </c>
      <c r="B1018" t="s">
        <v>36</v>
      </c>
      <c r="C1018">
        <v>5</v>
      </c>
      <c r="D1018">
        <v>24</v>
      </c>
      <c r="E1018">
        <v>2009</v>
      </c>
      <c r="F1018">
        <v>218.1</v>
      </c>
      <c r="G1018">
        <v>2.4</v>
      </c>
      <c r="H1018">
        <v>1.8</v>
      </c>
      <c r="I1018">
        <v>0.6</v>
      </c>
      <c r="J1018">
        <v>25</v>
      </c>
      <c r="K1018">
        <v>32.700000000000003</v>
      </c>
      <c r="L1018">
        <v>1494.4</v>
      </c>
      <c r="M1018">
        <v>454</v>
      </c>
      <c r="N1018">
        <v>428</v>
      </c>
      <c r="O1018">
        <v>531</v>
      </c>
      <c r="P1018">
        <v>103</v>
      </c>
      <c r="Q1018">
        <v>388</v>
      </c>
      <c r="R1018">
        <v>554</v>
      </c>
      <c r="S1018">
        <v>166</v>
      </c>
      <c r="T1018">
        <v>221.1</v>
      </c>
      <c r="U1018">
        <v>426</v>
      </c>
      <c r="V1018">
        <v>420</v>
      </c>
      <c r="W1018">
        <v>500</v>
      </c>
      <c r="X1018">
        <v>2.79</v>
      </c>
    </row>
    <row r="1019" spans="1:24" hidden="1" outlineLevel="2" x14ac:dyDescent="0.25">
      <c r="A1019" t="str">
        <f t="shared" si="150"/>
        <v>AK7 - 2009</v>
      </c>
      <c r="B1019" t="s">
        <v>36</v>
      </c>
      <c r="C1019">
        <v>6</v>
      </c>
      <c r="D1019">
        <v>24</v>
      </c>
      <c r="E1019">
        <v>2009</v>
      </c>
      <c r="F1019">
        <v>190.8</v>
      </c>
      <c r="G1019">
        <v>1.8</v>
      </c>
      <c r="H1019">
        <v>1.8</v>
      </c>
      <c r="I1019">
        <v>0</v>
      </c>
      <c r="J1019">
        <v>0</v>
      </c>
      <c r="K1019">
        <v>21.5</v>
      </c>
      <c r="L1019">
        <v>1143.7</v>
      </c>
      <c r="M1019">
        <v>407</v>
      </c>
      <c r="N1019">
        <v>407</v>
      </c>
      <c r="Q1019">
        <v>358</v>
      </c>
      <c r="R1019">
        <v>486</v>
      </c>
      <c r="S1019">
        <v>128</v>
      </c>
      <c r="T1019">
        <v>181.2</v>
      </c>
      <c r="U1019">
        <v>379</v>
      </c>
      <c r="V1019">
        <v>374</v>
      </c>
      <c r="W1019">
        <v>500</v>
      </c>
      <c r="X1019">
        <v>2.79</v>
      </c>
    </row>
    <row r="1020" spans="1:24" hidden="1" outlineLevel="2" x14ac:dyDescent="0.25">
      <c r="A1020" t="str">
        <f t="shared" si="150"/>
        <v>AK7 - 2009</v>
      </c>
      <c r="B1020" t="s">
        <v>36</v>
      </c>
      <c r="C1020">
        <v>7</v>
      </c>
      <c r="D1020">
        <v>24</v>
      </c>
      <c r="E1020">
        <v>2009</v>
      </c>
      <c r="F1020">
        <v>274.10000000000002</v>
      </c>
      <c r="G1020">
        <v>5.4</v>
      </c>
      <c r="H1020">
        <v>4.8</v>
      </c>
      <c r="I1020">
        <v>0.6</v>
      </c>
      <c r="J1020">
        <v>11</v>
      </c>
      <c r="K1020">
        <v>92.1</v>
      </c>
      <c r="L1020">
        <v>2360.3000000000002</v>
      </c>
      <c r="M1020">
        <v>410</v>
      </c>
      <c r="N1020">
        <v>395</v>
      </c>
      <c r="O1020">
        <v>529</v>
      </c>
      <c r="P1020">
        <v>134</v>
      </c>
      <c r="Q1020">
        <v>355</v>
      </c>
      <c r="R1020">
        <v>559</v>
      </c>
      <c r="S1020">
        <v>204</v>
      </c>
      <c r="T1020">
        <v>278.39999999999998</v>
      </c>
      <c r="U1020">
        <v>367</v>
      </c>
      <c r="V1020">
        <v>372</v>
      </c>
      <c r="W1020">
        <v>500</v>
      </c>
      <c r="X1020">
        <v>2.79</v>
      </c>
    </row>
    <row r="1021" spans="1:24" hidden="1" outlineLevel="2" x14ac:dyDescent="0.25">
      <c r="A1021" t="str">
        <f t="shared" si="150"/>
        <v>AK7 - 2009</v>
      </c>
      <c r="B1021" t="s">
        <v>36</v>
      </c>
      <c r="C1021">
        <v>8</v>
      </c>
      <c r="D1021">
        <v>24</v>
      </c>
      <c r="E1021">
        <v>2009</v>
      </c>
      <c r="F1021">
        <v>199.3</v>
      </c>
      <c r="G1021">
        <v>1.2</v>
      </c>
      <c r="H1021">
        <v>0.3</v>
      </c>
      <c r="I1021">
        <v>0.9</v>
      </c>
      <c r="J1021">
        <v>75</v>
      </c>
      <c r="K1021">
        <v>15</v>
      </c>
      <c r="L1021">
        <v>1247.9000000000001</v>
      </c>
      <c r="M1021">
        <v>524</v>
      </c>
      <c r="N1021">
        <v>456</v>
      </c>
      <c r="O1021">
        <v>547</v>
      </c>
      <c r="P1021">
        <v>91</v>
      </c>
      <c r="Q1021">
        <v>456</v>
      </c>
      <c r="R1021">
        <v>568</v>
      </c>
      <c r="S1021">
        <v>112</v>
      </c>
      <c r="T1021">
        <v>177.9</v>
      </c>
      <c r="U1021">
        <v>438</v>
      </c>
      <c r="V1021">
        <v>415</v>
      </c>
      <c r="W1021">
        <v>500</v>
      </c>
      <c r="X1021">
        <v>2.79</v>
      </c>
    </row>
    <row r="1022" spans="1:24" hidden="1" outlineLevel="2" x14ac:dyDescent="0.25">
      <c r="A1022" t="str">
        <f t="shared" si="150"/>
        <v>AK7 - 2009</v>
      </c>
      <c r="B1022" t="s">
        <v>36</v>
      </c>
      <c r="C1022">
        <v>9</v>
      </c>
      <c r="D1022">
        <v>23</v>
      </c>
      <c r="E1022">
        <v>2009</v>
      </c>
      <c r="F1022">
        <v>218.2</v>
      </c>
      <c r="G1022">
        <v>3</v>
      </c>
      <c r="H1022">
        <v>1.8</v>
      </c>
      <c r="I1022">
        <v>1.2</v>
      </c>
      <c r="J1022">
        <v>40</v>
      </c>
      <c r="K1022">
        <v>40.799999999999997</v>
      </c>
      <c r="L1022">
        <v>1495.8</v>
      </c>
      <c r="M1022">
        <v>480</v>
      </c>
      <c r="N1022">
        <v>440</v>
      </c>
      <c r="O1022">
        <v>541</v>
      </c>
      <c r="P1022">
        <v>101</v>
      </c>
      <c r="Q1022">
        <v>397</v>
      </c>
      <c r="R1022">
        <v>590</v>
      </c>
      <c r="S1022">
        <v>193</v>
      </c>
      <c r="T1022">
        <v>227.1</v>
      </c>
      <c r="U1022">
        <v>411</v>
      </c>
      <c r="V1022">
        <v>418</v>
      </c>
      <c r="W1022">
        <v>500</v>
      </c>
      <c r="X1022">
        <v>2.79</v>
      </c>
    </row>
    <row r="1023" spans="1:24" hidden="1" outlineLevel="2" x14ac:dyDescent="0.25">
      <c r="A1023" t="str">
        <f t="shared" si="150"/>
        <v>AK7 - 2009</v>
      </c>
      <c r="B1023" t="s">
        <v>36</v>
      </c>
      <c r="C1023">
        <v>10</v>
      </c>
      <c r="D1023">
        <v>23</v>
      </c>
      <c r="E1023">
        <v>2009</v>
      </c>
      <c r="F1023">
        <v>235.9</v>
      </c>
      <c r="G1023">
        <v>5.4</v>
      </c>
      <c r="H1023">
        <v>4.8</v>
      </c>
      <c r="I1023">
        <v>0.6</v>
      </c>
      <c r="J1023">
        <v>11</v>
      </c>
      <c r="K1023">
        <v>79.099999999999994</v>
      </c>
      <c r="L1023">
        <v>1748.3</v>
      </c>
      <c r="M1023">
        <v>395</v>
      </c>
      <c r="N1023">
        <v>379</v>
      </c>
      <c r="O1023">
        <v>524</v>
      </c>
      <c r="P1023">
        <v>145</v>
      </c>
      <c r="Q1023">
        <v>342</v>
      </c>
      <c r="R1023">
        <v>533</v>
      </c>
      <c r="S1023">
        <v>191</v>
      </c>
      <c r="T1023">
        <v>240.3</v>
      </c>
      <c r="U1023">
        <v>373</v>
      </c>
      <c r="V1023">
        <v>372</v>
      </c>
      <c r="W1023">
        <v>500</v>
      </c>
      <c r="X1023">
        <v>2.79</v>
      </c>
    </row>
    <row r="1024" spans="1:24" hidden="1" outlineLevel="2" x14ac:dyDescent="0.25">
      <c r="A1024" t="str">
        <f t="shared" si="150"/>
        <v>AK7 - 2009</v>
      </c>
      <c r="B1024" t="s">
        <v>36</v>
      </c>
      <c r="C1024">
        <v>11</v>
      </c>
      <c r="D1024">
        <v>23</v>
      </c>
      <c r="E1024">
        <v>2009</v>
      </c>
      <c r="F1024">
        <v>136.19999999999999</v>
      </c>
      <c r="G1024">
        <v>0.6</v>
      </c>
      <c r="H1024">
        <v>0.6</v>
      </c>
      <c r="I1024">
        <v>0</v>
      </c>
      <c r="J1024">
        <v>0</v>
      </c>
      <c r="K1024">
        <v>5.0999999999999996</v>
      </c>
      <c r="L1024">
        <v>582.79999999999995</v>
      </c>
      <c r="M1024">
        <v>427</v>
      </c>
      <c r="N1024">
        <v>427</v>
      </c>
      <c r="Q1024">
        <v>418</v>
      </c>
      <c r="R1024">
        <v>437</v>
      </c>
      <c r="S1024">
        <v>19</v>
      </c>
      <c r="T1024">
        <v>137.69999999999999</v>
      </c>
      <c r="U1024">
        <v>408</v>
      </c>
      <c r="V1024">
        <v>408</v>
      </c>
      <c r="W1024">
        <v>500</v>
      </c>
      <c r="X1024">
        <v>2.79</v>
      </c>
    </row>
    <row r="1025" spans="1:24" hidden="1" outlineLevel="2" x14ac:dyDescent="0.25">
      <c r="A1025" t="str">
        <f t="shared" si="150"/>
        <v>AK7 - 2009</v>
      </c>
      <c r="B1025" t="s">
        <v>36</v>
      </c>
      <c r="C1025">
        <v>13</v>
      </c>
      <c r="D1025">
        <v>24</v>
      </c>
      <c r="E1025">
        <v>2009</v>
      </c>
      <c r="F1025">
        <v>217.7</v>
      </c>
      <c r="G1025">
        <v>5.4</v>
      </c>
      <c r="H1025">
        <v>3.3</v>
      </c>
      <c r="I1025">
        <v>2.1</v>
      </c>
      <c r="J1025">
        <v>38</v>
      </c>
      <c r="K1025">
        <v>72.900000000000006</v>
      </c>
      <c r="L1025">
        <v>1488.9</v>
      </c>
      <c r="M1025">
        <v>450</v>
      </c>
      <c r="N1025">
        <v>399</v>
      </c>
      <c r="O1025">
        <v>530</v>
      </c>
      <c r="P1025">
        <v>131</v>
      </c>
      <c r="Q1025">
        <v>336</v>
      </c>
      <c r="R1025">
        <v>553</v>
      </c>
      <c r="S1025">
        <v>217</v>
      </c>
      <c r="T1025">
        <v>226.2</v>
      </c>
      <c r="U1025">
        <v>428</v>
      </c>
      <c r="V1025">
        <v>431</v>
      </c>
      <c r="W1025">
        <v>500</v>
      </c>
      <c r="X1025">
        <v>2.79</v>
      </c>
    </row>
    <row r="1026" spans="1:24" hidden="1" outlineLevel="2" x14ac:dyDescent="0.25">
      <c r="A1026" t="str">
        <f t="shared" si="150"/>
        <v>AK7 - 2009</v>
      </c>
      <c r="B1026" t="s">
        <v>36</v>
      </c>
      <c r="C1026">
        <v>14</v>
      </c>
      <c r="D1026">
        <v>24</v>
      </c>
      <c r="E1026">
        <v>2009</v>
      </c>
      <c r="F1026">
        <v>218.1</v>
      </c>
      <c r="G1026">
        <v>2.7</v>
      </c>
      <c r="H1026">
        <v>2.4</v>
      </c>
      <c r="I1026">
        <v>0.3</v>
      </c>
      <c r="J1026">
        <v>11</v>
      </c>
      <c r="K1026">
        <v>36.799999999999997</v>
      </c>
      <c r="L1026">
        <v>1494.4</v>
      </c>
      <c r="M1026">
        <v>441</v>
      </c>
      <c r="N1026">
        <v>423</v>
      </c>
      <c r="O1026">
        <v>586</v>
      </c>
      <c r="P1026">
        <v>163</v>
      </c>
      <c r="Q1026">
        <v>383</v>
      </c>
      <c r="R1026">
        <v>586</v>
      </c>
      <c r="S1026">
        <v>203</v>
      </c>
      <c r="T1026">
        <v>193.2</v>
      </c>
      <c r="U1026">
        <v>390</v>
      </c>
      <c r="V1026">
        <v>377</v>
      </c>
      <c r="W1026">
        <v>500</v>
      </c>
      <c r="X1026">
        <v>2.79</v>
      </c>
    </row>
    <row r="1027" spans="1:24" hidden="1" outlineLevel="2" x14ac:dyDescent="0.25">
      <c r="A1027" t="str">
        <f t="shared" si="150"/>
        <v>AK7 - 2009</v>
      </c>
      <c r="B1027" t="s">
        <v>36</v>
      </c>
      <c r="C1027">
        <v>15</v>
      </c>
      <c r="D1027">
        <v>24</v>
      </c>
      <c r="E1027">
        <v>2009</v>
      </c>
      <c r="F1027">
        <v>187.7</v>
      </c>
      <c r="G1027">
        <v>2.4</v>
      </c>
      <c r="H1027">
        <v>1.2</v>
      </c>
      <c r="I1027">
        <v>1.2</v>
      </c>
      <c r="J1027">
        <v>49</v>
      </c>
      <c r="K1027">
        <v>28.1</v>
      </c>
      <c r="L1027">
        <v>1106.8</v>
      </c>
      <c r="M1027">
        <v>475</v>
      </c>
      <c r="N1027">
        <v>407</v>
      </c>
      <c r="O1027">
        <v>543</v>
      </c>
      <c r="P1027">
        <v>136</v>
      </c>
      <c r="Q1027">
        <v>373</v>
      </c>
      <c r="R1027">
        <v>592</v>
      </c>
      <c r="S1027">
        <v>219</v>
      </c>
      <c r="T1027">
        <v>172.5</v>
      </c>
      <c r="U1027">
        <v>414</v>
      </c>
      <c r="V1027">
        <v>397</v>
      </c>
      <c r="W1027">
        <v>500</v>
      </c>
      <c r="X1027">
        <v>2.79</v>
      </c>
    </row>
    <row r="1028" spans="1:24" outlineLevel="1" collapsed="1" x14ac:dyDescent="0.25">
      <c r="A1028" s="8" t="s">
        <v>112</v>
      </c>
      <c r="D1028">
        <f t="shared" ref="D1028:V1028" si="151">SUBTOTAL(1,D1015:D1027)</f>
        <v>23.76923076923077</v>
      </c>
      <c r="E1028">
        <f t="shared" si="151"/>
        <v>2009</v>
      </c>
      <c r="F1028">
        <f t="shared" si="151"/>
        <v>212.16923076923072</v>
      </c>
      <c r="G1028">
        <f t="shared" si="151"/>
        <v>3.4153846153846157</v>
      </c>
      <c r="H1028">
        <f t="shared" si="151"/>
        <v>2.5615384615384622</v>
      </c>
      <c r="I1028">
        <f t="shared" si="151"/>
        <v>0.85384615384615381</v>
      </c>
      <c r="J1028">
        <f t="shared" si="151"/>
        <v>25.76923076923077</v>
      </c>
      <c r="K1028">
        <f t="shared" si="151"/>
        <v>47.899999999999991</v>
      </c>
      <c r="L1028">
        <f t="shared" si="151"/>
        <v>1448.561538461538</v>
      </c>
      <c r="M1028">
        <f t="shared" si="151"/>
        <v>449.15384615384613</v>
      </c>
      <c r="N1028">
        <f t="shared" si="151"/>
        <v>420</v>
      </c>
      <c r="O1028">
        <f t="shared" si="151"/>
        <v>541.72727272727275</v>
      </c>
      <c r="P1028">
        <f t="shared" si="151"/>
        <v>121.18181818181819</v>
      </c>
      <c r="Q1028">
        <f t="shared" si="151"/>
        <v>381.38461538461536</v>
      </c>
      <c r="R1028">
        <f t="shared" si="151"/>
        <v>550.46153846153845</v>
      </c>
      <c r="S1028">
        <f t="shared" si="151"/>
        <v>169.07692307692307</v>
      </c>
      <c r="T1028">
        <f t="shared" si="151"/>
        <v>206.81538461538457</v>
      </c>
      <c r="U1028">
        <f t="shared" si="151"/>
        <v>404.30769230769232</v>
      </c>
      <c r="V1028">
        <f t="shared" si="151"/>
        <v>399.46153846153845</v>
      </c>
    </row>
    <row r="1029" spans="1:24" hidden="1" outlineLevel="2" x14ac:dyDescent="0.25">
      <c r="A1029" t="str">
        <f t="shared" ref="A1029:A1041" si="152">CONCATENATE(B1029," - ",E1029)</f>
        <v>AK7 - 2010</v>
      </c>
      <c r="B1029" t="s">
        <v>36</v>
      </c>
      <c r="C1029">
        <v>1</v>
      </c>
      <c r="D1029">
        <v>25</v>
      </c>
      <c r="E1029">
        <v>2010</v>
      </c>
      <c r="F1029">
        <v>205.9</v>
      </c>
      <c r="G1029">
        <v>2.7</v>
      </c>
      <c r="H1029">
        <v>1.8</v>
      </c>
      <c r="I1029">
        <v>0.9</v>
      </c>
      <c r="J1029">
        <v>33</v>
      </c>
      <c r="K1029">
        <v>34.700000000000003</v>
      </c>
      <c r="L1029">
        <v>1331.9</v>
      </c>
      <c r="M1029">
        <v>495</v>
      </c>
      <c r="N1029">
        <v>459</v>
      </c>
      <c r="O1029">
        <v>568</v>
      </c>
      <c r="P1029">
        <v>109</v>
      </c>
      <c r="Q1029">
        <v>424</v>
      </c>
      <c r="R1029">
        <v>587</v>
      </c>
      <c r="S1029">
        <v>163</v>
      </c>
      <c r="T1029">
        <v>184.2</v>
      </c>
      <c r="U1029">
        <v>438</v>
      </c>
      <c r="V1029">
        <v>433</v>
      </c>
      <c r="W1029">
        <v>500</v>
      </c>
      <c r="X1029">
        <v>2.79</v>
      </c>
    </row>
    <row r="1030" spans="1:24" hidden="1" outlineLevel="2" x14ac:dyDescent="0.25">
      <c r="A1030" t="str">
        <f t="shared" si="152"/>
        <v>AK7 - 2010</v>
      </c>
      <c r="B1030" t="s">
        <v>36</v>
      </c>
      <c r="C1030">
        <v>2</v>
      </c>
      <c r="D1030">
        <v>25</v>
      </c>
      <c r="E1030">
        <v>2010</v>
      </c>
      <c r="F1030">
        <v>200.8</v>
      </c>
      <c r="G1030">
        <v>3</v>
      </c>
      <c r="H1030">
        <v>2.4</v>
      </c>
      <c r="I1030">
        <v>0.6</v>
      </c>
      <c r="J1030">
        <v>20</v>
      </c>
      <c r="K1030">
        <v>37.6</v>
      </c>
      <c r="L1030">
        <v>1266.7</v>
      </c>
      <c r="M1030">
        <v>464</v>
      </c>
      <c r="N1030">
        <v>439</v>
      </c>
      <c r="O1030">
        <v>561</v>
      </c>
      <c r="P1030">
        <v>122</v>
      </c>
      <c r="Q1030">
        <v>383</v>
      </c>
      <c r="R1030">
        <v>564</v>
      </c>
      <c r="S1030">
        <v>181</v>
      </c>
      <c r="T1030">
        <v>195.9</v>
      </c>
      <c r="U1030">
        <v>414</v>
      </c>
      <c r="V1030">
        <v>411</v>
      </c>
      <c r="W1030">
        <v>500</v>
      </c>
      <c r="X1030">
        <v>2.79</v>
      </c>
    </row>
    <row r="1031" spans="1:24" hidden="1" outlineLevel="2" x14ac:dyDescent="0.25">
      <c r="A1031" t="str">
        <f t="shared" si="152"/>
        <v>AK7 - 2010</v>
      </c>
      <c r="B1031" t="s">
        <v>36</v>
      </c>
      <c r="C1031">
        <v>3</v>
      </c>
      <c r="D1031">
        <v>25</v>
      </c>
      <c r="E1031">
        <v>2010</v>
      </c>
      <c r="F1031">
        <v>267.7</v>
      </c>
      <c r="G1031">
        <v>6.6</v>
      </c>
      <c r="H1031">
        <v>6.3</v>
      </c>
      <c r="I1031">
        <v>0.3</v>
      </c>
      <c r="J1031">
        <v>4</v>
      </c>
      <c r="K1031">
        <v>109.6</v>
      </c>
      <c r="L1031">
        <v>2251.4</v>
      </c>
      <c r="M1031">
        <v>390</v>
      </c>
      <c r="N1031">
        <v>381</v>
      </c>
      <c r="O1031">
        <v>569</v>
      </c>
      <c r="P1031">
        <v>188</v>
      </c>
      <c r="Q1031">
        <v>356</v>
      </c>
      <c r="R1031">
        <v>569</v>
      </c>
      <c r="S1031">
        <v>213</v>
      </c>
      <c r="T1031">
        <v>252.9</v>
      </c>
      <c r="U1031">
        <v>370</v>
      </c>
      <c r="V1031">
        <v>365</v>
      </c>
      <c r="W1031">
        <v>500</v>
      </c>
      <c r="X1031">
        <v>2.79</v>
      </c>
    </row>
    <row r="1032" spans="1:24" hidden="1" outlineLevel="2" x14ac:dyDescent="0.25">
      <c r="A1032" t="str">
        <f t="shared" si="152"/>
        <v>AK7 - 2010</v>
      </c>
      <c r="B1032" t="s">
        <v>36</v>
      </c>
      <c r="C1032">
        <v>5</v>
      </c>
      <c r="D1032">
        <v>25</v>
      </c>
      <c r="E1032">
        <v>2010</v>
      </c>
      <c r="F1032">
        <v>221.1</v>
      </c>
      <c r="G1032">
        <v>3</v>
      </c>
      <c r="H1032">
        <v>2.7</v>
      </c>
      <c r="I1032">
        <v>0.3</v>
      </c>
      <c r="J1032">
        <v>10</v>
      </c>
      <c r="K1032">
        <v>41.4</v>
      </c>
      <c r="L1032">
        <v>1535.8</v>
      </c>
      <c r="M1032">
        <v>437</v>
      </c>
      <c r="N1032">
        <v>427</v>
      </c>
      <c r="O1032">
        <v>526</v>
      </c>
      <c r="P1032">
        <v>99</v>
      </c>
      <c r="Q1032">
        <v>375</v>
      </c>
      <c r="R1032">
        <v>526</v>
      </c>
      <c r="S1032">
        <v>151</v>
      </c>
      <c r="T1032">
        <v>221.1</v>
      </c>
      <c r="U1032">
        <v>426</v>
      </c>
      <c r="V1032">
        <v>420</v>
      </c>
      <c r="W1032">
        <v>500</v>
      </c>
      <c r="X1032">
        <v>2.79</v>
      </c>
    </row>
    <row r="1033" spans="1:24" hidden="1" outlineLevel="2" x14ac:dyDescent="0.25">
      <c r="A1033" t="str">
        <f t="shared" si="152"/>
        <v>AK7 - 2010</v>
      </c>
      <c r="B1033" t="s">
        <v>36</v>
      </c>
      <c r="C1033">
        <v>6</v>
      </c>
      <c r="D1033">
        <v>25</v>
      </c>
      <c r="E1033">
        <v>2010</v>
      </c>
      <c r="F1033">
        <v>193.2</v>
      </c>
      <c r="G1033">
        <v>2.4</v>
      </c>
      <c r="H1033">
        <v>2.1</v>
      </c>
      <c r="I1033">
        <v>0.3</v>
      </c>
      <c r="J1033">
        <v>12</v>
      </c>
      <c r="K1033">
        <v>29</v>
      </c>
      <c r="L1033">
        <v>1172.5999999999999</v>
      </c>
      <c r="M1033">
        <v>401</v>
      </c>
      <c r="N1033">
        <v>384</v>
      </c>
      <c r="O1033">
        <v>517</v>
      </c>
      <c r="P1033">
        <v>133</v>
      </c>
      <c r="Q1033">
        <v>371</v>
      </c>
      <c r="R1033">
        <v>517</v>
      </c>
      <c r="S1033">
        <v>146</v>
      </c>
      <c r="T1033">
        <v>181.2</v>
      </c>
      <c r="U1033">
        <v>379</v>
      </c>
      <c r="V1033">
        <v>374</v>
      </c>
      <c r="W1033">
        <v>500</v>
      </c>
      <c r="X1033">
        <v>2.79</v>
      </c>
    </row>
    <row r="1034" spans="1:24" hidden="1" outlineLevel="2" x14ac:dyDescent="0.25">
      <c r="A1034" t="str">
        <f t="shared" si="152"/>
        <v>AK7 - 2010</v>
      </c>
      <c r="B1034" t="s">
        <v>36</v>
      </c>
      <c r="C1034">
        <v>7</v>
      </c>
      <c r="D1034">
        <v>25</v>
      </c>
      <c r="E1034">
        <v>2010</v>
      </c>
      <c r="F1034">
        <v>280.10000000000002</v>
      </c>
      <c r="G1034">
        <v>6</v>
      </c>
      <c r="H1034">
        <v>6</v>
      </c>
      <c r="I1034">
        <v>0</v>
      </c>
      <c r="J1034">
        <v>0</v>
      </c>
      <c r="K1034">
        <v>104.5</v>
      </c>
      <c r="L1034">
        <v>2464.8000000000002</v>
      </c>
      <c r="M1034">
        <v>385</v>
      </c>
      <c r="N1034">
        <v>385</v>
      </c>
      <c r="Q1034">
        <v>356</v>
      </c>
      <c r="R1034">
        <v>489</v>
      </c>
      <c r="S1034">
        <v>133</v>
      </c>
      <c r="T1034">
        <v>278.39999999999998</v>
      </c>
      <c r="U1034">
        <v>367</v>
      </c>
      <c r="V1034">
        <v>372</v>
      </c>
      <c r="W1034">
        <v>500</v>
      </c>
      <c r="X1034">
        <v>2.79</v>
      </c>
    </row>
    <row r="1035" spans="1:24" hidden="1" outlineLevel="2" x14ac:dyDescent="0.25">
      <c r="A1035" t="str">
        <f t="shared" si="152"/>
        <v>AK7 - 2010</v>
      </c>
      <c r="B1035" t="s">
        <v>36</v>
      </c>
      <c r="C1035">
        <v>8</v>
      </c>
      <c r="D1035">
        <v>25</v>
      </c>
      <c r="E1035">
        <v>2010</v>
      </c>
      <c r="F1035">
        <v>200.5</v>
      </c>
      <c r="G1035">
        <v>1.2</v>
      </c>
      <c r="H1035">
        <v>0.3</v>
      </c>
      <c r="I1035">
        <v>0.9</v>
      </c>
      <c r="J1035">
        <v>75</v>
      </c>
      <c r="K1035">
        <v>15.1</v>
      </c>
      <c r="L1035">
        <v>1262.9000000000001</v>
      </c>
      <c r="M1035">
        <v>540</v>
      </c>
      <c r="N1035">
        <v>476</v>
      </c>
      <c r="O1035">
        <v>562</v>
      </c>
      <c r="P1035">
        <v>86</v>
      </c>
      <c r="Q1035">
        <v>476</v>
      </c>
      <c r="R1035">
        <v>592</v>
      </c>
      <c r="S1035">
        <v>116</v>
      </c>
      <c r="T1035">
        <v>177.9</v>
      </c>
      <c r="U1035">
        <v>438</v>
      </c>
      <c r="V1035">
        <v>415</v>
      </c>
      <c r="W1035">
        <v>500</v>
      </c>
      <c r="X1035">
        <v>2.79</v>
      </c>
    </row>
    <row r="1036" spans="1:24" hidden="1" outlineLevel="2" x14ac:dyDescent="0.25">
      <c r="A1036" t="str">
        <f t="shared" si="152"/>
        <v>AK7 - 2010</v>
      </c>
      <c r="B1036" t="s">
        <v>36</v>
      </c>
      <c r="C1036">
        <v>9</v>
      </c>
      <c r="D1036">
        <v>24</v>
      </c>
      <c r="E1036">
        <v>2010</v>
      </c>
      <c r="F1036">
        <v>222.4</v>
      </c>
      <c r="G1036">
        <v>4.2</v>
      </c>
      <c r="H1036">
        <v>3.3</v>
      </c>
      <c r="I1036">
        <v>0.9</v>
      </c>
      <c r="J1036">
        <v>21</v>
      </c>
      <c r="K1036">
        <v>58.1</v>
      </c>
      <c r="L1036">
        <v>1553.9</v>
      </c>
      <c r="M1036">
        <v>457</v>
      </c>
      <c r="N1036">
        <v>423</v>
      </c>
      <c r="O1036">
        <v>583</v>
      </c>
      <c r="P1036">
        <v>160</v>
      </c>
      <c r="Q1036">
        <v>354</v>
      </c>
      <c r="R1036">
        <v>610</v>
      </c>
      <c r="S1036">
        <v>256</v>
      </c>
      <c r="T1036">
        <v>227.1</v>
      </c>
      <c r="U1036">
        <v>411</v>
      </c>
      <c r="V1036">
        <v>418</v>
      </c>
      <c r="W1036">
        <v>500</v>
      </c>
      <c r="X1036">
        <v>2.79</v>
      </c>
    </row>
    <row r="1037" spans="1:24" hidden="1" outlineLevel="2" x14ac:dyDescent="0.25">
      <c r="A1037" t="str">
        <f t="shared" si="152"/>
        <v>AK7 - 2010</v>
      </c>
      <c r="B1037" t="s">
        <v>36</v>
      </c>
      <c r="C1037">
        <v>10</v>
      </c>
      <c r="D1037">
        <v>24</v>
      </c>
      <c r="E1037">
        <v>2010</v>
      </c>
      <c r="F1037">
        <v>241.3</v>
      </c>
      <c r="G1037">
        <v>5.4</v>
      </c>
      <c r="H1037">
        <v>4.8</v>
      </c>
      <c r="I1037">
        <v>0.6</v>
      </c>
      <c r="J1037">
        <v>11</v>
      </c>
      <c r="K1037">
        <v>81</v>
      </c>
      <c r="L1037">
        <v>1829.2</v>
      </c>
      <c r="M1037">
        <v>388</v>
      </c>
      <c r="N1037">
        <v>367</v>
      </c>
      <c r="O1037">
        <v>557</v>
      </c>
      <c r="P1037">
        <v>190</v>
      </c>
      <c r="Q1037">
        <v>298</v>
      </c>
      <c r="R1037">
        <v>567</v>
      </c>
      <c r="S1037">
        <v>269</v>
      </c>
      <c r="T1037">
        <v>240.3</v>
      </c>
      <c r="U1037">
        <v>373</v>
      </c>
      <c r="V1037">
        <v>372</v>
      </c>
      <c r="W1037">
        <v>500</v>
      </c>
      <c r="X1037">
        <v>2.79</v>
      </c>
    </row>
    <row r="1038" spans="1:24" hidden="1" outlineLevel="2" x14ac:dyDescent="0.25">
      <c r="A1038" t="str">
        <f t="shared" si="152"/>
        <v>AK7 - 2010</v>
      </c>
      <c r="B1038" t="s">
        <v>36</v>
      </c>
      <c r="C1038">
        <v>11</v>
      </c>
      <c r="D1038">
        <v>24</v>
      </c>
      <c r="E1038">
        <v>2010</v>
      </c>
      <c r="F1038">
        <v>136.80000000000001</v>
      </c>
      <c r="G1038">
        <v>0.6</v>
      </c>
      <c r="H1038">
        <v>0.6</v>
      </c>
      <c r="I1038">
        <v>0</v>
      </c>
      <c r="J1038">
        <v>0</v>
      </c>
      <c r="K1038">
        <v>5.0999999999999996</v>
      </c>
      <c r="L1038">
        <v>587.9</v>
      </c>
      <c r="M1038">
        <v>408</v>
      </c>
      <c r="N1038">
        <v>408</v>
      </c>
      <c r="Q1038">
        <v>393</v>
      </c>
      <c r="R1038">
        <v>423</v>
      </c>
      <c r="S1038">
        <v>30</v>
      </c>
      <c r="T1038">
        <v>137.69999999999999</v>
      </c>
      <c r="U1038">
        <v>408</v>
      </c>
      <c r="V1038">
        <v>408</v>
      </c>
      <c r="W1038">
        <v>500</v>
      </c>
      <c r="X1038">
        <v>2.79</v>
      </c>
    </row>
    <row r="1039" spans="1:24" hidden="1" outlineLevel="2" x14ac:dyDescent="0.25">
      <c r="A1039" t="str">
        <f t="shared" si="152"/>
        <v>AK7 - 2010</v>
      </c>
      <c r="B1039" t="s">
        <v>36</v>
      </c>
      <c r="C1039">
        <v>13</v>
      </c>
      <c r="D1039">
        <v>25</v>
      </c>
      <c r="E1039">
        <v>2010</v>
      </c>
      <c r="F1039">
        <v>222.5</v>
      </c>
      <c r="G1039">
        <v>4.8</v>
      </c>
      <c r="H1039">
        <v>3.6</v>
      </c>
      <c r="I1039">
        <v>1.2</v>
      </c>
      <c r="J1039">
        <v>24</v>
      </c>
      <c r="K1039">
        <v>66.400000000000006</v>
      </c>
      <c r="L1039">
        <v>1555.3</v>
      </c>
      <c r="M1039">
        <v>431</v>
      </c>
      <c r="N1039">
        <v>386</v>
      </c>
      <c r="O1039">
        <v>566</v>
      </c>
      <c r="P1039">
        <v>180</v>
      </c>
      <c r="Q1039">
        <v>332</v>
      </c>
      <c r="R1039">
        <v>587</v>
      </c>
      <c r="S1039">
        <v>255</v>
      </c>
      <c r="T1039">
        <v>226.2</v>
      </c>
      <c r="U1039">
        <v>428</v>
      </c>
      <c r="V1039">
        <v>431</v>
      </c>
      <c r="W1039">
        <v>500</v>
      </c>
      <c r="X1039">
        <v>2.79</v>
      </c>
    </row>
    <row r="1040" spans="1:24" hidden="1" outlineLevel="2" x14ac:dyDescent="0.25">
      <c r="A1040" t="str">
        <f t="shared" si="152"/>
        <v>AK7 - 2010</v>
      </c>
      <c r="B1040" t="s">
        <v>36</v>
      </c>
      <c r="C1040">
        <v>14</v>
      </c>
      <c r="D1040">
        <v>25</v>
      </c>
      <c r="E1040">
        <v>2010</v>
      </c>
      <c r="F1040">
        <v>220.5</v>
      </c>
      <c r="G1040">
        <v>2.4</v>
      </c>
      <c r="H1040">
        <v>1.8</v>
      </c>
      <c r="I1040">
        <v>0.6</v>
      </c>
      <c r="J1040">
        <v>25</v>
      </c>
      <c r="K1040">
        <v>33.1</v>
      </c>
      <c r="L1040">
        <v>1527.5</v>
      </c>
      <c r="M1040">
        <v>449</v>
      </c>
      <c r="N1040">
        <v>416</v>
      </c>
      <c r="O1040">
        <v>547</v>
      </c>
      <c r="P1040">
        <v>131</v>
      </c>
      <c r="Q1040">
        <v>372</v>
      </c>
      <c r="R1040">
        <v>551</v>
      </c>
      <c r="S1040">
        <v>179</v>
      </c>
      <c r="T1040">
        <v>193.2</v>
      </c>
      <c r="U1040">
        <v>390</v>
      </c>
      <c r="V1040">
        <v>377</v>
      </c>
      <c r="W1040">
        <v>500</v>
      </c>
      <c r="X1040">
        <v>2.79</v>
      </c>
    </row>
    <row r="1041" spans="1:24" hidden="1" outlineLevel="2" x14ac:dyDescent="0.25">
      <c r="A1041" t="str">
        <f t="shared" si="152"/>
        <v>AK7 - 2010</v>
      </c>
      <c r="B1041" t="s">
        <v>36</v>
      </c>
      <c r="C1041">
        <v>15</v>
      </c>
      <c r="D1041">
        <v>25</v>
      </c>
      <c r="E1041">
        <v>2010</v>
      </c>
      <c r="F1041">
        <v>190.4</v>
      </c>
      <c r="G1041">
        <v>2.7</v>
      </c>
      <c r="H1041">
        <v>2.4</v>
      </c>
      <c r="I1041">
        <v>0.3</v>
      </c>
      <c r="J1041">
        <v>11</v>
      </c>
      <c r="K1041">
        <v>32.1</v>
      </c>
      <c r="L1041">
        <v>1138.9000000000001</v>
      </c>
      <c r="M1041">
        <v>437</v>
      </c>
      <c r="N1041">
        <v>425</v>
      </c>
      <c r="O1041">
        <v>527</v>
      </c>
      <c r="P1041">
        <v>102</v>
      </c>
      <c r="Q1041">
        <v>378</v>
      </c>
      <c r="R1041">
        <v>527</v>
      </c>
      <c r="S1041">
        <v>149</v>
      </c>
      <c r="T1041">
        <v>172.5</v>
      </c>
      <c r="U1041">
        <v>414</v>
      </c>
      <c r="V1041">
        <v>397</v>
      </c>
      <c r="W1041">
        <v>500</v>
      </c>
      <c r="X1041">
        <v>2.79</v>
      </c>
    </row>
    <row r="1042" spans="1:24" outlineLevel="1" collapsed="1" x14ac:dyDescent="0.25">
      <c r="A1042" s="8" t="s">
        <v>113</v>
      </c>
      <c r="D1042">
        <f t="shared" ref="D1042:V1042" si="153">SUBTOTAL(1,D1029:D1041)</f>
        <v>24.76923076923077</v>
      </c>
      <c r="E1042">
        <f t="shared" si="153"/>
        <v>2010</v>
      </c>
      <c r="F1042">
        <f t="shared" si="153"/>
        <v>215.63076923076926</v>
      </c>
      <c r="G1042">
        <f t="shared" si="153"/>
        <v>3.4615384615384617</v>
      </c>
      <c r="H1042">
        <f t="shared" si="153"/>
        <v>2.9307692307692301</v>
      </c>
      <c r="I1042">
        <f t="shared" si="153"/>
        <v>0.53076923076923077</v>
      </c>
      <c r="J1042">
        <f t="shared" si="153"/>
        <v>18.923076923076923</v>
      </c>
      <c r="K1042">
        <f t="shared" si="153"/>
        <v>49.823076923076925</v>
      </c>
      <c r="L1042">
        <f t="shared" si="153"/>
        <v>1498.3692307692311</v>
      </c>
      <c r="M1042">
        <f t="shared" si="153"/>
        <v>437.07692307692309</v>
      </c>
      <c r="N1042">
        <f t="shared" si="153"/>
        <v>413.53846153846155</v>
      </c>
      <c r="O1042">
        <f t="shared" si="153"/>
        <v>553</v>
      </c>
      <c r="P1042">
        <f t="shared" si="153"/>
        <v>136.36363636363637</v>
      </c>
      <c r="Q1042">
        <f t="shared" si="153"/>
        <v>374.46153846153845</v>
      </c>
      <c r="R1042">
        <f t="shared" si="153"/>
        <v>546.84615384615381</v>
      </c>
      <c r="S1042">
        <f t="shared" si="153"/>
        <v>172.38461538461539</v>
      </c>
      <c r="T1042">
        <f t="shared" si="153"/>
        <v>206.81538461538457</v>
      </c>
      <c r="U1042">
        <f t="shared" si="153"/>
        <v>404.30769230769232</v>
      </c>
      <c r="V1042">
        <f t="shared" si="153"/>
        <v>399.46153846153845</v>
      </c>
    </row>
    <row r="1043" spans="1:24" hidden="1" outlineLevel="2" x14ac:dyDescent="0.25">
      <c r="A1043" t="str">
        <f t="shared" ref="A1043:A1055" si="154">CONCATENATE(B1043," - ",E1043)</f>
        <v>AK7 - 2011</v>
      </c>
      <c r="B1043" t="s">
        <v>36</v>
      </c>
      <c r="C1043">
        <v>1</v>
      </c>
      <c r="D1043">
        <v>26</v>
      </c>
      <c r="E1043">
        <v>2011</v>
      </c>
      <c r="F1043">
        <v>208</v>
      </c>
      <c r="G1043">
        <v>2.1</v>
      </c>
      <c r="H1043">
        <v>1.5</v>
      </c>
      <c r="I1043">
        <v>0.6</v>
      </c>
      <c r="J1043">
        <v>28</v>
      </c>
      <c r="K1043">
        <v>27.3</v>
      </c>
      <c r="L1043">
        <v>1359.2</v>
      </c>
      <c r="M1043">
        <v>466</v>
      </c>
      <c r="N1043">
        <v>419</v>
      </c>
      <c r="O1043">
        <v>585</v>
      </c>
      <c r="P1043">
        <v>166</v>
      </c>
      <c r="Q1043">
        <v>389</v>
      </c>
      <c r="R1043">
        <v>618</v>
      </c>
      <c r="S1043">
        <v>229</v>
      </c>
      <c r="T1043">
        <v>184.2</v>
      </c>
      <c r="U1043">
        <v>438</v>
      </c>
      <c r="V1043">
        <v>433</v>
      </c>
      <c r="W1043">
        <v>500</v>
      </c>
      <c r="X1043">
        <v>2.79</v>
      </c>
    </row>
    <row r="1044" spans="1:24" hidden="1" outlineLevel="2" x14ac:dyDescent="0.25">
      <c r="A1044" t="str">
        <f t="shared" si="154"/>
        <v>AK7 - 2011</v>
      </c>
      <c r="B1044" t="s">
        <v>36</v>
      </c>
      <c r="C1044">
        <v>2</v>
      </c>
      <c r="D1044">
        <v>26</v>
      </c>
      <c r="E1044">
        <v>2011</v>
      </c>
      <c r="F1044">
        <v>203.5</v>
      </c>
      <c r="G1044">
        <v>2.7</v>
      </c>
      <c r="H1044">
        <v>1.8</v>
      </c>
      <c r="I1044">
        <v>0.9</v>
      </c>
      <c r="J1044">
        <v>33</v>
      </c>
      <c r="K1044">
        <v>34.299999999999997</v>
      </c>
      <c r="L1044">
        <v>1301</v>
      </c>
      <c r="M1044">
        <v>471</v>
      </c>
      <c r="N1044">
        <v>441</v>
      </c>
      <c r="O1044">
        <v>531</v>
      </c>
      <c r="P1044">
        <v>90</v>
      </c>
      <c r="Q1044">
        <v>388</v>
      </c>
      <c r="R1044">
        <v>534</v>
      </c>
      <c r="S1044">
        <v>146</v>
      </c>
      <c r="T1044">
        <v>195.9</v>
      </c>
      <c r="U1044">
        <v>414</v>
      </c>
      <c r="V1044">
        <v>411</v>
      </c>
      <c r="W1044">
        <v>500</v>
      </c>
      <c r="X1044">
        <v>2.79</v>
      </c>
    </row>
    <row r="1045" spans="1:24" hidden="1" outlineLevel="2" x14ac:dyDescent="0.25">
      <c r="A1045" t="str">
        <f t="shared" si="154"/>
        <v>AK7 - 2011</v>
      </c>
      <c r="B1045" t="s">
        <v>36</v>
      </c>
      <c r="C1045">
        <v>3</v>
      </c>
      <c r="D1045">
        <v>26</v>
      </c>
      <c r="E1045">
        <v>2011</v>
      </c>
      <c r="F1045">
        <v>273.39999999999998</v>
      </c>
      <c r="G1045">
        <v>5.7</v>
      </c>
      <c r="H1045">
        <v>5.0999999999999996</v>
      </c>
      <c r="I1045">
        <v>0.6</v>
      </c>
      <c r="J1045">
        <v>10</v>
      </c>
      <c r="K1045">
        <v>96.9</v>
      </c>
      <c r="L1045">
        <v>2348.3000000000002</v>
      </c>
      <c r="M1045">
        <v>402</v>
      </c>
      <c r="N1045">
        <v>386</v>
      </c>
      <c r="O1045">
        <v>537</v>
      </c>
      <c r="P1045">
        <v>151</v>
      </c>
      <c r="Q1045">
        <v>348</v>
      </c>
      <c r="R1045">
        <v>539</v>
      </c>
      <c r="S1045">
        <v>191</v>
      </c>
      <c r="T1045">
        <v>252.9</v>
      </c>
      <c r="U1045">
        <v>370</v>
      </c>
      <c r="V1045">
        <v>365</v>
      </c>
      <c r="W1045">
        <v>500</v>
      </c>
      <c r="X1045">
        <v>2.79</v>
      </c>
    </row>
    <row r="1046" spans="1:24" hidden="1" outlineLevel="2" x14ac:dyDescent="0.25">
      <c r="A1046" t="str">
        <f t="shared" si="154"/>
        <v>AK7 - 2011</v>
      </c>
      <c r="B1046" t="s">
        <v>36</v>
      </c>
      <c r="C1046">
        <v>5</v>
      </c>
      <c r="D1046">
        <v>26</v>
      </c>
      <c r="E1046">
        <v>2011</v>
      </c>
      <c r="F1046">
        <v>222.9</v>
      </c>
      <c r="G1046">
        <v>1.8</v>
      </c>
      <c r="H1046">
        <v>1.8</v>
      </c>
      <c r="I1046">
        <v>0</v>
      </c>
      <c r="J1046">
        <v>0</v>
      </c>
      <c r="K1046">
        <v>25.1</v>
      </c>
      <c r="L1046">
        <v>1560.9</v>
      </c>
      <c r="M1046">
        <v>443</v>
      </c>
      <c r="N1046">
        <v>443</v>
      </c>
      <c r="Q1046">
        <v>410</v>
      </c>
      <c r="R1046">
        <v>491</v>
      </c>
      <c r="S1046">
        <v>81</v>
      </c>
      <c r="T1046">
        <v>221.1</v>
      </c>
      <c r="U1046">
        <v>426</v>
      </c>
      <c r="V1046">
        <v>420</v>
      </c>
      <c r="W1046">
        <v>500</v>
      </c>
      <c r="X1046">
        <v>2.79</v>
      </c>
    </row>
    <row r="1047" spans="1:24" hidden="1" outlineLevel="2" x14ac:dyDescent="0.25">
      <c r="A1047" t="str">
        <f t="shared" si="154"/>
        <v>AK7 - 2011</v>
      </c>
      <c r="B1047" t="s">
        <v>36</v>
      </c>
      <c r="C1047">
        <v>6</v>
      </c>
      <c r="D1047">
        <v>26</v>
      </c>
      <c r="E1047">
        <v>2011</v>
      </c>
      <c r="F1047">
        <v>195</v>
      </c>
      <c r="G1047">
        <v>1.8</v>
      </c>
      <c r="H1047">
        <v>1.5</v>
      </c>
      <c r="I1047">
        <v>0.3</v>
      </c>
      <c r="J1047">
        <v>16</v>
      </c>
      <c r="K1047">
        <v>22</v>
      </c>
      <c r="L1047">
        <v>1194.5999999999999</v>
      </c>
      <c r="M1047">
        <v>398</v>
      </c>
      <c r="N1047">
        <v>367</v>
      </c>
      <c r="O1047">
        <v>552</v>
      </c>
      <c r="P1047">
        <v>185</v>
      </c>
      <c r="Q1047">
        <v>326</v>
      </c>
      <c r="R1047">
        <v>552</v>
      </c>
      <c r="S1047">
        <v>226</v>
      </c>
      <c r="T1047">
        <v>181.2</v>
      </c>
      <c r="U1047">
        <v>379</v>
      </c>
      <c r="V1047">
        <v>374</v>
      </c>
      <c r="W1047">
        <v>500</v>
      </c>
      <c r="X1047">
        <v>2.79</v>
      </c>
    </row>
    <row r="1048" spans="1:24" hidden="1" outlineLevel="2" x14ac:dyDescent="0.25">
      <c r="A1048" t="str">
        <f t="shared" si="154"/>
        <v>AK7 - 2011</v>
      </c>
      <c r="B1048" t="s">
        <v>36</v>
      </c>
      <c r="C1048">
        <v>7</v>
      </c>
      <c r="D1048">
        <v>26</v>
      </c>
      <c r="E1048">
        <v>2011</v>
      </c>
      <c r="F1048">
        <v>284</v>
      </c>
      <c r="G1048">
        <v>3.9</v>
      </c>
      <c r="H1048">
        <v>3.9</v>
      </c>
      <c r="I1048">
        <v>0</v>
      </c>
      <c r="J1048">
        <v>0</v>
      </c>
      <c r="K1048">
        <v>69.099999999999994</v>
      </c>
      <c r="L1048">
        <v>2533.9</v>
      </c>
      <c r="M1048">
        <v>384</v>
      </c>
      <c r="N1048">
        <v>384</v>
      </c>
      <c r="Q1048">
        <v>322</v>
      </c>
      <c r="R1048">
        <v>458</v>
      </c>
      <c r="S1048">
        <v>136</v>
      </c>
      <c r="T1048">
        <v>278.39999999999998</v>
      </c>
      <c r="U1048">
        <v>367</v>
      </c>
      <c r="V1048">
        <v>372</v>
      </c>
      <c r="W1048">
        <v>500</v>
      </c>
      <c r="X1048">
        <v>2.79</v>
      </c>
    </row>
    <row r="1049" spans="1:24" hidden="1" outlineLevel="2" x14ac:dyDescent="0.25">
      <c r="A1049" t="str">
        <f t="shared" si="154"/>
        <v>AK7 - 2011</v>
      </c>
      <c r="B1049" t="s">
        <v>36</v>
      </c>
      <c r="C1049">
        <v>8</v>
      </c>
      <c r="D1049">
        <v>26</v>
      </c>
      <c r="E1049">
        <v>2011</v>
      </c>
      <c r="F1049">
        <v>201.7</v>
      </c>
      <c r="G1049">
        <v>1.2</v>
      </c>
      <c r="H1049">
        <v>0.6</v>
      </c>
      <c r="I1049">
        <v>0.6</v>
      </c>
      <c r="J1049">
        <v>49</v>
      </c>
      <c r="K1049">
        <v>15.2</v>
      </c>
      <c r="L1049">
        <v>1278.0999999999999</v>
      </c>
      <c r="M1049">
        <v>503</v>
      </c>
      <c r="N1049">
        <v>467</v>
      </c>
      <c r="O1049">
        <v>539</v>
      </c>
      <c r="P1049">
        <v>72</v>
      </c>
      <c r="Q1049">
        <v>462</v>
      </c>
      <c r="R1049">
        <v>564</v>
      </c>
      <c r="S1049">
        <v>102</v>
      </c>
      <c r="T1049">
        <v>177.9</v>
      </c>
      <c r="U1049">
        <v>438</v>
      </c>
      <c r="V1049">
        <v>415</v>
      </c>
      <c r="W1049">
        <v>500</v>
      </c>
      <c r="X1049">
        <v>2.79</v>
      </c>
    </row>
    <row r="1050" spans="1:24" hidden="1" outlineLevel="2" x14ac:dyDescent="0.25">
      <c r="A1050" t="str">
        <f t="shared" si="154"/>
        <v>AK7 - 2011</v>
      </c>
      <c r="B1050" t="s">
        <v>36</v>
      </c>
      <c r="C1050">
        <v>9</v>
      </c>
      <c r="D1050">
        <v>25</v>
      </c>
      <c r="E1050">
        <v>2011</v>
      </c>
      <c r="F1050">
        <v>226.3</v>
      </c>
      <c r="G1050">
        <v>3.9</v>
      </c>
      <c r="H1050">
        <v>2.7</v>
      </c>
      <c r="I1050">
        <v>1.2</v>
      </c>
      <c r="J1050">
        <v>30</v>
      </c>
      <c r="K1050">
        <v>55</v>
      </c>
      <c r="L1050">
        <v>1608.9</v>
      </c>
      <c r="M1050">
        <v>445</v>
      </c>
      <c r="N1050">
        <v>404</v>
      </c>
      <c r="O1050">
        <v>537</v>
      </c>
      <c r="P1050">
        <v>133</v>
      </c>
      <c r="Q1050">
        <v>351</v>
      </c>
      <c r="R1050">
        <v>573</v>
      </c>
      <c r="S1050">
        <v>222</v>
      </c>
      <c r="T1050">
        <v>227.1</v>
      </c>
      <c r="U1050">
        <v>411</v>
      </c>
      <c r="V1050">
        <v>418</v>
      </c>
      <c r="W1050">
        <v>500</v>
      </c>
      <c r="X1050">
        <v>2.79</v>
      </c>
    </row>
    <row r="1051" spans="1:24" hidden="1" outlineLevel="2" x14ac:dyDescent="0.25">
      <c r="A1051" t="str">
        <f t="shared" si="154"/>
        <v>AK7 - 2011</v>
      </c>
      <c r="B1051" t="s">
        <v>36</v>
      </c>
      <c r="C1051">
        <v>10</v>
      </c>
      <c r="D1051">
        <v>25</v>
      </c>
      <c r="E1051">
        <v>2011</v>
      </c>
      <c r="F1051">
        <v>246.4</v>
      </c>
      <c r="G1051">
        <v>5.0999999999999996</v>
      </c>
      <c r="H1051">
        <v>4.5</v>
      </c>
      <c r="I1051">
        <v>0.6</v>
      </c>
      <c r="J1051">
        <v>11</v>
      </c>
      <c r="K1051">
        <v>78.099999999999994</v>
      </c>
      <c r="L1051">
        <v>1907.4</v>
      </c>
      <c r="M1051">
        <v>394</v>
      </c>
      <c r="N1051">
        <v>373</v>
      </c>
      <c r="O1051">
        <v>554</v>
      </c>
      <c r="P1051">
        <v>181</v>
      </c>
      <c r="Q1051">
        <v>307</v>
      </c>
      <c r="R1051">
        <v>565</v>
      </c>
      <c r="S1051">
        <v>258</v>
      </c>
      <c r="T1051">
        <v>240.3</v>
      </c>
      <c r="U1051">
        <v>373</v>
      </c>
      <c r="V1051">
        <v>372</v>
      </c>
      <c r="W1051">
        <v>500</v>
      </c>
      <c r="X1051">
        <v>2.79</v>
      </c>
    </row>
    <row r="1052" spans="1:24" hidden="1" outlineLevel="2" x14ac:dyDescent="0.25">
      <c r="A1052" t="str">
        <f t="shared" si="154"/>
        <v>AK7 - 2011</v>
      </c>
      <c r="B1052" t="s">
        <v>36</v>
      </c>
      <c r="C1052">
        <v>11</v>
      </c>
      <c r="D1052">
        <v>25</v>
      </c>
      <c r="E1052">
        <v>2011</v>
      </c>
      <c r="F1052">
        <v>137.1</v>
      </c>
      <c r="G1052">
        <v>0.3</v>
      </c>
      <c r="H1052">
        <v>0.3</v>
      </c>
      <c r="I1052">
        <v>0</v>
      </c>
      <c r="J1052">
        <v>0</v>
      </c>
      <c r="K1052">
        <v>2.6</v>
      </c>
      <c r="L1052">
        <v>590.5</v>
      </c>
      <c r="M1052">
        <v>420</v>
      </c>
      <c r="N1052">
        <v>420</v>
      </c>
      <c r="Q1052">
        <v>420</v>
      </c>
      <c r="R1052">
        <v>420</v>
      </c>
      <c r="S1052">
        <v>0</v>
      </c>
      <c r="T1052">
        <v>137.69999999999999</v>
      </c>
      <c r="U1052">
        <v>408</v>
      </c>
      <c r="V1052">
        <v>408</v>
      </c>
      <c r="W1052">
        <v>500</v>
      </c>
      <c r="X1052">
        <v>2.79</v>
      </c>
    </row>
    <row r="1053" spans="1:24" hidden="1" outlineLevel="2" x14ac:dyDescent="0.25">
      <c r="A1053" t="str">
        <f t="shared" si="154"/>
        <v>AK7 - 2011</v>
      </c>
      <c r="B1053" t="s">
        <v>36</v>
      </c>
      <c r="C1053">
        <v>13</v>
      </c>
      <c r="D1053">
        <v>26</v>
      </c>
      <c r="E1053">
        <v>2011</v>
      </c>
      <c r="F1053">
        <v>227.6</v>
      </c>
      <c r="G1053">
        <v>5.0999999999999996</v>
      </c>
      <c r="H1053">
        <v>4.2</v>
      </c>
      <c r="I1053">
        <v>0.9</v>
      </c>
      <c r="J1053">
        <v>17</v>
      </c>
      <c r="K1053">
        <v>72.099999999999994</v>
      </c>
      <c r="L1053">
        <v>1627.4</v>
      </c>
      <c r="M1053">
        <v>410</v>
      </c>
      <c r="N1053">
        <v>379</v>
      </c>
      <c r="O1053">
        <v>551</v>
      </c>
      <c r="P1053">
        <v>172</v>
      </c>
      <c r="Q1053">
        <v>312</v>
      </c>
      <c r="R1053">
        <v>587</v>
      </c>
      <c r="S1053">
        <v>275</v>
      </c>
      <c r="T1053">
        <v>226.2</v>
      </c>
      <c r="U1053">
        <v>428</v>
      </c>
      <c r="V1053">
        <v>431</v>
      </c>
      <c r="W1053">
        <v>500</v>
      </c>
      <c r="X1053">
        <v>2.79</v>
      </c>
    </row>
    <row r="1054" spans="1:24" hidden="1" outlineLevel="2" x14ac:dyDescent="0.25">
      <c r="A1054" t="str">
        <f t="shared" si="154"/>
        <v>AK7 - 2011</v>
      </c>
      <c r="B1054" t="s">
        <v>36</v>
      </c>
      <c r="C1054">
        <v>14</v>
      </c>
      <c r="D1054">
        <v>26</v>
      </c>
      <c r="E1054">
        <v>2011</v>
      </c>
      <c r="F1054">
        <v>222.3</v>
      </c>
      <c r="G1054">
        <v>1.8</v>
      </c>
      <c r="H1054">
        <v>1.8</v>
      </c>
      <c r="I1054">
        <v>0</v>
      </c>
      <c r="J1054">
        <v>0</v>
      </c>
      <c r="K1054">
        <v>25</v>
      </c>
      <c r="L1054">
        <v>1552.5</v>
      </c>
      <c r="M1054">
        <v>414</v>
      </c>
      <c r="N1054">
        <v>414</v>
      </c>
      <c r="Q1054">
        <v>369</v>
      </c>
      <c r="R1054">
        <v>461</v>
      </c>
      <c r="S1054">
        <v>92</v>
      </c>
      <c r="T1054">
        <v>193.2</v>
      </c>
      <c r="U1054">
        <v>390</v>
      </c>
      <c r="V1054">
        <v>377</v>
      </c>
      <c r="W1054">
        <v>500</v>
      </c>
      <c r="X1054">
        <v>2.79</v>
      </c>
    </row>
    <row r="1055" spans="1:24" hidden="1" outlineLevel="2" x14ac:dyDescent="0.25">
      <c r="A1055" t="str">
        <f t="shared" si="154"/>
        <v>AK7 - 2011</v>
      </c>
      <c r="B1055" t="s">
        <v>36</v>
      </c>
      <c r="C1055">
        <v>15</v>
      </c>
      <c r="D1055">
        <v>26</v>
      </c>
      <c r="E1055">
        <v>2011</v>
      </c>
      <c r="F1055">
        <v>191.9</v>
      </c>
      <c r="G1055">
        <v>1.5</v>
      </c>
      <c r="H1055">
        <v>1.2</v>
      </c>
      <c r="I1055">
        <v>0.3</v>
      </c>
      <c r="J1055">
        <v>20</v>
      </c>
      <c r="K1055">
        <v>18</v>
      </c>
      <c r="L1055">
        <v>1156.9000000000001</v>
      </c>
      <c r="M1055">
        <v>412</v>
      </c>
      <c r="N1055">
        <v>388</v>
      </c>
      <c r="O1055">
        <v>508</v>
      </c>
      <c r="P1055">
        <v>120</v>
      </c>
      <c r="Q1055">
        <v>376</v>
      </c>
      <c r="R1055">
        <v>508</v>
      </c>
      <c r="S1055">
        <v>132</v>
      </c>
      <c r="T1055">
        <v>172.5</v>
      </c>
      <c r="U1055">
        <v>414</v>
      </c>
      <c r="V1055">
        <v>397</v>
      </c>
      <c r="W1055">
        <v>500</v>
      </c>
      <c r="X1055">
        <v>2.79</v>
      </c>
    </row>
    <row r="1056" spans="1:24" outlineLevel="1" collapsed="1" x14ac:dyDescent="0.25">
      <c r="A1056" s="8" t="s">
        <v>114</v>
      </c>
      <c r="D1056">
        <f t="shared" ref="D1056:V1056" si="155">SUBTOTAL(1,D1043:D1055)</f>
        <v>25.76923076923077</v>
      </c>
      <c r="E1056">
        <f t="shared" si="155"/>
        <v>2011</v>
      </c>
      <c r="F1056">
        <f t="shared" si="155"/>
        <v>218.46923076923076</v>
      </c>
      <c r="G1056">
        <f t="shared" si="155"/>
        <v>2.8384615384615377</v>
      </c>
      <c r="H1056">
        <f t="shared" si="155"/>
        <v>2.3769230769230769</v>
      </c>
      <c r="I1056">
        <f t="shared" si="155"/>
        <v>0.46153846153846156</v>
      </c>
      <c r="J1056">
        <f t="shared" si="155"/>
        <v>16.46153846153846</v>
      </c>
      <c r="K1056">
        <f t="shared" si="155"/>
        <v>41.592307692307699</v>
      </c>
      <c r="L1056">
        <f t="shared" si="155"/>
        <v>1539.969230769231</v>
      </c>
      <c r="M1056">
        <f t="shared" si="155"/>
        <v>427.84615384615387</v>
      </c>
      <c r="N1056">
        <f t="shared" si="155"/>
        <v>406.53846153846155</v>
      </c>
      <c r="O1056">
        <f t="shared" si="155"/>
        <v>543.77777777777783</v>
      </c>
      <c r="P1056">
        <f t="shared" si="155"/>
        <v>141.11111111111111</v>
      </c>
      <c r="Q1056">
        <f t="shared" si="155"/>
        <v>367.69230769230768</v>
      </c>
      <c r="R1056">
        <f t="shared" si="155"/>
        <v>528.46153846153845</v>
      </c>
      <c r="S1056">
        <f t="shared" si="155"/>
        <v>160.76923076923077</v>
      </c>
      <c r="T1056">
        <f t="shared" si="155"/>
        <v>206.81538461538457</v>
      </c>
      <c r="U1056">
        <f t="shared" si="155"/>
        <v>404.30769230769232</v>
      </c>
      <c r="V1056">
        <f t="shared" si="155"/>
        <v>399.46153846153845</v>
      </c>
    </row>
    <row r="1057" spans="1:24" hidden="1" outlineLevel="2" x14ac:dyDescent="0.25">
      <c r="A1057" t="str">
        <f t="shared" ref="A1057:A1069" si="156">CONCATENATE(B1057," - ",E1057)</f>
        <v>AK7 - 2012</v>
      </c>
      <c r="B1057" t="s">
        <v>36</v>
      </c>
      <c r="C1057">
        <v>1</v>
      </c>
      <c r="D1057">
        <v>27</v>
      </c>
      <c r="E1057">
        <v>2012</v>
      </c>
      <c r="F1057">
        <v>209.2</v>
      </c>
      <c r="G1057">
        <v>1.2</v>
      </c>
      <c r="H1057">
        <v>0.9</v>
      </c>
      <c r="I1057">
        <v>0.3</v>
      </c>
      <c r="J1057">
        <v>24</v>
      </c>
      <c r="K1057">
        <v>15.7</v>
      </c>
      <c r="L1057">
        <v>1374.9</v>
      </c>
      <c r="M1057">
        <v>438</v>
      </c>
      <c r="N1057">
        <v>411</v>
      </c>
      <c r="O1057">
        <v>520</v>
      </c>
      <c r="P1057">
        <v>109</v>
      </c>
      <c r="Q1057">
        <v>368</v>
      </c>
      <c r="R1057">
        <v>520</v>
      </c>
      <c r="S1057">
        <v>152</v>
      </c>
      <c r="T1057">
        <v>184.2</v>
      </c>
      <c r="U1057">
        <v>438</v>
      </c>
      <c r="V1057">
        <v>433</v>
      </c>
      <c r="W1057">
        <v>500</v>
      </c>
      <c r="X1057">
        <v>2.79</v>
      </c>
    </row>
    <row r="1058" spans="1:24" hidden="1" outlineLevel="2" x14ac:dyDescent="0.25">
      <c r="A1058" t="str">
        <f t="shared" si="156"/>
        <v>AK7 - 2012</v>
      </c>
      <c r="B1058" t="s">
        <v>36</v>
      </c>
      <c r="C1058">
        <v>2</v>
      </c>
      <c r="D1058">
        <v>27</v>
      </c>
      <c r="E1058">
        <v>2012</v>
      </c>
      <c r="F1058">
        <v>205.9</v>
      </c>
      <c r="G1058">
        <v>2.4</v>
      </c>
      <c r="H1058">
        <v>2.4</v>
      </c>
      <c r="I1058">
        <v>0</v>
      </c>
      <c r="J1058">
        <v>0</v>
      </c>
      <c r="K1058">
        <v>30.9</v>
      </c>
      <c r="L1058">
        <v>1331.9</v>
      </c>
      <c r="M1058">
        <v>417</v>
      </c>
      <c r="N1058">
        <v>417</v>
      </c>
      <c r="Q1058">
        <v>226</v>
      </c>
      <c r="R1058">
        <v>493</v>
      </c>
      <c r="S1058">
        <v>267</v>
      </c>
      <c r="T1058">
        <v>195.9</v>
      </c>
      <c r="U1058">
        <v>414</v>
      </c>
      <c r="V1058">
        <v>411</v>
      </c>
      <c r="W1058">
        <v>500</v>
      </c>
      <c r="X1058">
        <v>2.79</v>
      </c>
    </row>
    <row r="1059" spans="1:24" hidden="1" outlineLevel="2" x14ac:dyDescent="0.25">
      <c r="A1059" t="str">
        <f t="shared" si="156"/>
        <v>AK7 - 2012</v>
      </c>
      <c r="B1059" t="s">
        <v>36</v>
      </c>
      <c r="C1059">
        <v>3</v>
      </c>
      <c r="D1059">
        <v>27</v>
      </c>
      <c r="E1059">
        <v>2012</v>
      </c>
      <c r="F1059">
        <v>277.89999999999998</v>
      </c>
      <c r="G1059">
        <v>4.5</v>
      </c>
      <c r="H1059">
        <v>4.5</v>
      </c>
      <c r="I1059">
        <v>0</v>
      </c>
      <c r="J1059">
        <v>0</v>
      </c>
      <c r="K1059">
        <v>77.900000000000006</v>
      </c>
      <c r="L1059">
        <v>2426.1999999999998</v>
      </c>
      <c r="M1059">
        <v>417</v>
      </c>
      <c r="N1059">
        <v>417</v>
      </c>
      <c r="Q1059">
        <v>345</v>
      </c>
      <c r="R1059">
        <v>494</v>
      </c>
      <c r="S1059">
        <v>149</v>
      </c>
      <c r="T1059">
        <v>252.9</v>
      </c>
      <c r="U1059">
        <v>370</v>
      </c>
      <c r="V1059">
        <v>365</v>
      </c>
      <c r="W1059">
        <v>500</v>
      </c>
      <c r="X1059">
        <v>2.79</v>
      </c>
    </row>
    <row r="1060" spans="1:24" hidden="1" outlineLevel="2" x14ac:dyDescent="0.25">
      <c r="A1060" t="str">
        <f t="shared" si="156"/>
        <v>AK7 - 2012</v>
      </c>
      <c r="B1060" t="s">
        <v>36</v>
      </c>
      <c r="C1060">
        <v>5</v>
      </c>
      <c r="D1060">
        <v>27</v>
      </c>
      <c r="E1060">
        <v>2012</v>
      </c>
      <c r="F1060">
        <v>224.1</v>
      </c>
      <c r="G1060">
        <v>1.2</v>
      </c>
      <c r="H1060">
        <v>0.9</v>
      </c>
      <c r="I1060">
        <v>0.3</v>
      </c>
      <c r="J1060">
        <v>25</v>
      </c>
      <c r="K1060">
        <v>16.899999999999999</v>
      </c>
      <c r="L1060">
        <v>1577.7</v>
      </c>
      <c r="M1060">
        <v>471</v>
      </c>
      <c r="N1060">
        <v>454</v>
      </c>
      <c r="O1060">
        <v>523</v>
      </c>
      <c r="P1060">
        <v>69</v>
      </c>
      <c r="Q1060">
        <v>419</v>
      </c>
      <c r="R1060">
        <v>523</v>
      </c>
      <c r="S1060">
        <v>104</v>
      </c>
      <c r="T1060">
        <v>221.1</v>
      </c>
      <c r="U1060">
        <v>426</v>
      </c>
      <c r="V1060">
        <v>420</v>
      </c>
      <c r="W1060">
        <v>500</v>
      </c>
      <c r="X1060">
        <v>2.79</v>
      </c>
    </row>
    <row r="1061" spans="1:24" hidden="1" outlineLevel="2" x14ac:dyDescent="0.25">
      <c r="A1061" t="str">
        <f t="shared" si="156"/>
        <v>AK7 - 2012</v>
      </c>
      <c r="B1061" t="s">
        <v>36</v>
      </c>
      <c r="C1061">
        <v>6</v>
      </c>
      <c r="D1061">
        <v>27</v>
      </c>
      <c r="E1061">
        <v>2012</v>
      </c>
      <c r="F1061">
        <v>196.2</v>
      </c>
      <c r="G1061">
        <v>1.2</v>
      </c>
      <c r="H1061">
        <v>1.2</v>
      </c>
      <c r="I1061">
        <v>0</v>
      </c>
      <c r="J1061">
        <v>0</v>
      </c>
      <c r="K1061">
        <v>14.7</v>
      </c>
      <c r="L1061">
        <v>1209.3</v>
      </c>
      <c r="M1061">
        <v>362</v>
      </c>
      <c r="N1061">
        <v>362</v>
      </c>
      <c r="Q1061">
        <v>314</v>
      </c>
      <c r="R1061">
        <v>420</v>
      </c>
      <c r="S1061">
        <v>106</v>
      </c>
      <c r="T1061">
        <v>181.2</v>
      </c>
      <c r="U1061">
        <v>379</v>
      </c>
      <c r="V1061">
        <v>374</v>
      </c>
      <c r="W1061">
        <v>500</v>
      </c>
      <c r="X1061">
        <v>2.79</v>
      </c>
    </row>
    <row r="1062" spans="1:24" hidden="1" outlineLevel="2" x14ac:dyDescent="0.25">
      <c r="A1062" t="str">
        <f t="shared" si="156"/>
        <v>AK7 - 2012</v>
      </c>
      <c r="B1062" t="s">
        <v>36</v>
      </c>
      <c r="C1062">
        <v>7</v>
      </c>
      <c r="D1062">
        <v>27</v>
      </c>
      <c r="E1062">
        <v>2012</v>
      </c>
      <c r="F1062">
        <v>286.39999999999998</v>
      </c>
      <c r="G1062">
        <v>2.4</v>
      </c>
      <c r="H1062">
        <v>2.4</v>
      </c>
      <c r="I1062">
        <v>0</v>
      </c>
      <c r="J1062">
        <v>0</v>
      </c>
      <c r="K1062">
        <v>43</v>
      </c>
      <c r="L1062">
        <v>2576.9</v>
      </c>
      <c r="M1062">
        <v>342</v>
      </c>
      <c r="N1062">
        <v>342</v>
      </c>
      <c r="Q1062">
        <v>320</v>
      </c>
      <c r="R1062">
        <v>371</v>
      </c>
      <c r="S1062">
        <v>51</v>
      </c>
      <c r="T1062">
        <v>278.39999999999998</v>
      </c>
      <c r="U1062">
        <v>367</v>
      </c>
      <c r="V1062">
        <v>372</v>
      </c>
      <c r="W1062">
        <v>500</v>
      </c>
      <c r="X1062">
        <v>2.79</v>
      </c>
    </row>
    <row r="1063" spans="1:24" hidden="1" outlineLevel="2" x14ac:dyDescent="0.25">
      <c r="A1063" t="str">
        <f t="shared" si="156"/>
        <v>AK7 - 2012</v>
      </c>
      <c r="B1063" t="s">
        <v>36</v>
      </c>
      <c r="C1063">
        <v>8</v>
      </c>
      <c r="D1063">
        <v>27</v>
      </c>
      <c r="E1063">
        <v>2012</v>
      </c>
      <c r="F1063">
        <v>202.9</v>
      </c>
      <c r="G1063">
        <v>1.2</v>
      </c>
      <c r="H1063">
        <v>0.9</v>
      </c>
      <c r="I1063">
        <v>0.3</v>
      </c>
      <c r="J1063">
        <v>25</v>
      </c>
      <c r="K1063">
        <v>15.3</v>
      </c>
      <c r="L1063">
        <v>1293.3</v>
      </c>
      <c r="M1063">
        <v>490</v>
      </c>
      <c r="N1063">
        <v>464</v>
      </c>
      <c r="O1063">
        <v>567</v>
      </c>
      <c r="P1063">
        <v>103</v>
      </c>
      <c r="Q1063">
        <v>416</v>
      </c>
      <c r="R1063">
        <v>567</v>
      </c>
      <c r="S1063">
        <v>151</v>
      </c>
      <c r="T1063">
        <v>177.9</v>
      </c>
      <c r="U1063">
        <v>438</v>
      </c>
      <c r="V1063">
        <v>415</v>
      </c>
      <c r="W1063">
        <v>500</v>
      </c>
      <c r="X1063">
        <v>2.79</v>
      </c>
    </row>
    <row r="1064" spans="1:24" hidden="1" outlineLevel="2" x14ac:dyDescent="0.25">
      <c r="A1064" t="str">
        <f t="shared" si="156"/>
        <v>AK7 - 2012</v>
      </c>
      <c r="B1064" t="s">
        <v>36</v>
      </c>
      <c r="C1064">
        <v>9</v>
      </c>
      <c r="D1064">
        <v>26</v>
      </c>
      <c r="E1064">
        <v>2012</v>
      </c>
      <c r="F1064">
        <v>228.1</v>
      </c>
      <c r="G1064">
        <v>1.8</v>
      </c>
      <c r="H1064">
        <v>1.8</v>
      </c>
      <c r="I1064">
        <v>0</v>
      </c>
      <c r="J1064">
        <v>0</v>
      </c>
      <c r="K1064">
        <v>25.7</v>
      </c>
      <c r="L1064">
        <v>1634.6</v>
      </c>
      <c r="M1064">
        <v>420</v>
      </c>
      <c r="N1064">
        <v>420</v>
      </c>
      <c r="Q1064">
        <v>355</v>
      </c>
      <c r="R1064">
        <v>474</v>
      </c>
      <c r="S1064">
        <v>119</v>
      </c>
      <c r="T1064">
        <v>227.1</v>
      </c>
      <c r="U1064">
        <v>411</v>
      </c>
      <c r="V1064">
        <v>418</v>
      </c>
      <c r="W1064">
        <v>500</v>
      </c>
      <c r="X1064">
        <v>2.79</v>
      </c>
    </row>
    <row r="1065" spans="1:24" hidden="1" outlineLevel="2" x14ac:dyDescent="0.25">
      <c r="A1065" t="str">
        <f t="shared" si="156"/>
        <v>AK7 - 2012</v>
      </c>
      <c r="B1065" t="s">
        <v>36</v>
      </c>
      <c r="C1065">
        <v>10</v>
      </c>
      <c r="D1065">
        <v>26</v>
      </c>
      <c r="E1065">
        <v>2012</v>
      </c>
      <c r="F1065">
        <v>250.3</v>
      </c>
      <c r="G1065">
        <v>3.9</v>
      </c>
      <c r="H1065">
        <v>3.9</v>
      </c>
      <c r="I1065">
        <v>0</v>
      </c>
      <c r="J1065">
        <v>0</v>
      </c>
      <c r="K1065">
        <v>60.9</v>
      </c>
      <c r="L1065">
        <v>1968.2</v>
      </c>
      <c r="M1065">
        <v>358</v>
      </c>
      <c r="N1065">
        <v>358</v>
      </c>
      <c r="Q1065">
        <v>205</v>
      </c>
      <c r="R1065">
        <v>470</v>
      </c>
      <c r="S1065">
        <v>265</v>
      </c>
      <c r="T1065">
        <v>240.3</v>
      </c>
      <c r="U1065">
        <v>373</v>
      </c>
      <c r="V1065">
        <v>372</v>
      </c>
      <c r="W1065">
        <v>500</v>
      </c>
      <c r="X1065">
        <v>2.79</v>
      </c>
    </row>
    <row r="1066" spans="1:24" hidden="1" outlineLevel="2" x14ac:dyDescent="0.25">
      <c r="A1066" t="str">
        <f t="shared" si="156"/>
        <v>AK7 - 2012</v>
      </c>
      <c r="B1066" t="s">
        <v>36</v>
      </c>
      <c r="C1066">
        <v>11</v>
      </c>
      <c r="D1066">
        <v>26</v>
      </c>
      <c r="E1066">
        <v>2012</v>
      </c>
      <c r="F1066">
        <v>137.69999999999999</v>
      </c>
      <c r="G1066">
        <v>0.6</v>
      </c>
      <c r="H1066">
        <v>0.6</v>
      </c>
      <c r="I1066">
        <v>0</v>
      </c>
      <c r="J1066">
        <v>0</v>
      </c>
      <c r="K1066">
        <v>5.2</v>
      </c>
      <c r="L1066">
        <v>595.70000000000005</v>
      </c>
      <c r="M1066">
        <v>358</v>
      </c>
      <c r="N1066">
        <v>358</v>
      </c>
      <c r="Q1066">
        <v>326</v>
      </c>
      <c r="R1066">
        <v>391</v>
      </c>
      <c r="S1066">
        <v>65</v>
      </c>
      <c r="T1066">
        <v>137.69999999999999</v>
      </c>
      <c r="U1066">
        <v>408</v>
      </c>
      <c r="V1066">
        <v>408</v>
      </c>
      <c r="W1066">
        <v>500</v>
      </c>
      <c r="X1066">
        <v>2.79</v>
      </c>
    </row>
    <row r="1067" spans="1:24" hidden="1" outlineLevel="2" x14ac:dyDescent="0.25">
      <c r="A1067" t="str">
        <f t="shared" si="156"/>
        <v>AK7 - 2012</v>
      </c>
      <c r="B1067" t="s">
        <v>36</v>
      </c>
      <c r="C1067">
        <v>13</v>
      </c>
      <c r="D1067">
        <v>27</v>
      </c>
      <c r="E1067">
        <v>2012</v>
      </c>
      <c r="F1067">
        <v>231.2</v>
      </c>
      <c r="G1067">
        <v>3.6</v>
      </c>
      <c r="H1067">
        <v>3</v>
      </c>
      <c r="I1067">
        <v>0.6</v>
      </c>
      <c r="J1067">
        <v>16</v>
      </c>
      <c r="K1067">
        <v>51.9</v>
      </c>
      <c r="L1067">
        <v>1679.3</v>
      </c>
      <c r="M1067">
        <v>435</v>
      </c>
      <c r="N1067">
        <v>403</v>
      </c>
      <c r="O1067">
        <v>591</v>
      </c>
      <c r="P1067">
        <v>188</v>
      </c>
      <c r="Q1067">
        <v>326</v>
      </c>
      <c r="R1067">
        <v>628</v>
      </c>
      <c r="S1067">
        <v>302</v>
      </c>
      <c r="T1067">
        <v>226.2</v>
      </c>
      <c r="U1067">
        <v>428</v>
      </c>
      <c r="V1067">
        <v>431</v>
      </c>
      <c r="W1067">
        <v>500</v>
      </c>
      <c r="X1067">
        <v>2.79</v>
      </c>
    </row>
    <row r="1068" spans="1:24" hidden="1" outlineLevel="2" x14ac:dyDescent="0.25">
      <c r="A1068" t="str">
        <f t="shared" si="156"/>
        <v>AK7 - 2012</v>
      </c>
      <c r="B1068" t="s">
        <v>36</v>
      </c>
      <c r="C1068">
        <v>14</v>
      </c>
      <c r="D1068">
        <v>27</v>
      </c>
      <c r="E1068">
        <v>2012</v>
      </c>
      <c r="F1068">
        <v>223.2</v>
      </c>
      <c r="G1068">
        <v>0.9</v>
      </c>
      <c r="H1068">
        <v>0.9</v>
      </c>
      <c r="I1068">
        <v>0</v>
      </c>
      <c r="J1068">
        <v>0</v>
      </c>
      <c r="K1068">
        <v>12.6</v>
      </c>
      <c r="L1068">
        <v>1565.1</v>
      </c>
      <c r="M1068">
        <v>419</v>
      </c>
      <c r="N1068">
        <v>419</v>
      </c>
      <c r="Q1068">
        <v>366</v>
      </c>
      <c r="R1068">
        <v>459</v>
      </c>
      <c r="S1068">
        <v>93</v>
      </c>
      <c r="T1068">
        <v>193.2</v>
      </c>
      <c r="U1068">
        <v>390</v>
      </c>
      <c r="V1068">
        <v>377</v>
      </c>
      <c r="W1068">
        <v>500</v>
      </c>
      <c r="X1068">
        <v>2.79</v>
      </c>
    </row>
    <row r="1069" spans="1:24" hidden="1" outlineLevel="2" x14ac:dyDescent="0.25">
      <c r="A1069" t="str">
        <f t="shared" si="156"/>
        <v>AK7 - 2012</v>
      </c>
      <c r="B1069" t="s">
        <v>36</v>
      </c>
      <c r="C1069">
        <v>15</v>
      </c>
      <c r="D1069">
        <v>27</v>
      </c>
      <c r="E1069">
        <v>2012</v>
      </c>
      <c r="F1069">
        <v>192.5</v>
      </c>
      <c r="G1069">
        <v>0.6</v>
      </c>
      <c r="H1069">
        <v>0.3</v>
      </c>
      <c r="I1069">
        <v>0.3</v>
      </c>
      <c r="J1069">
        <v>50</v>
      </c>
      <c r="K1069">
        <v>7.2</v>
      </c>
      <c r="L1069">
        <v>1164.2</v>
      </c>
      <c r="M1069">
        <v>483</v>
      </c>
      <c r="N1069">
        <v>422</v>
      </c>
      <c r="O1069">
        <v>544</v>
      </c>
      <c r="P1069">
        <v>122</v>
      </c>
      <c r="Q1069">
        <v>422</v>
      </c>
      <c r="R1069">
        <v>544</v>
      </c>
      <c r="S1069">
        <v>122</v>
      </c>
      <c r="T1069">
        <v>172.5</v>
      </c>
      <c r="U1069">
        <v>414</v>
      </c>
      <c r="V1069">
        <v>397</v>
      </c>
      <c r="W1069">
        <v>500</v>
      </c>
      <c r="X1069">
        <v>2.79</v>
      </c>
    </row>
    <row r="1070" spans="1:24" outlineLevel="1" collapsed="1" x14ac:dyDescent="0.25">
      <c r="A1070" s="8" t="s">
        <v>115</v>
      </c>
      <c r="D1070">
        <f t="shared" ref="D1070:V1070" si="157">SUBTOTAL(1,D1057:D1069)</f>
        <v>26.76923076923077</v>
      </c>
      <c r="E1070">
        <f t="shared" si="157"/>
        <v>2012</v>
      </c>
      <c r="F1070">
        <f t="shared" si="157"/>
        <v>220.43076923076919</v>
      </c>
      <c r="G1070">
        <f t="shared" si="157"/>
        <v>1.9615384615384615</v>
      </c>
      <c r="H1070">
        <f t="shared" si="157"/>
        <v>1.823076923076923</v>
      </c>
      <c r="I1070">
        <f t="shared" si="157"/>
        <v>0.13846153846153847</v>
      </c>
      <c r="J1070">
        <f t="shared" si="157"/>
        <v>10.76923076923077</v>
      </c>
      <c r="K1070">
        <f t="shared" si="157"/>
        <v>29.069230769230767</v>
      </c>
      <c r="L1070">
        <f t="shared" si="157"/>
        <v>1569.0230769230768</v>
      </c>
      <c r="M1070">
        <f t="shared" si="157"/>
        <v>416.15384615384613</v>
      </c>
      <c r="N1070">
        <f t="shared" si="157"/>
        <v>403.61538461538464</v>
      </c>
      <c r="O1070">
        <f t="shared" si="157"/>
        <v>549</v>
      </c>
      <c r="P1070">
        <f t="shared" si="157"/>
        <v>118.2</v>
      </c>
      <c r="Q1070">
        <f t="shared" si="157"/>
        <v>339.07692307692309</v>
      </c>
      <c r="R1070">
        <f t="shared" si="157"/>
        <v>488.76923076923077</v>
      </c>
      <c r="S1070">
        <f t="shared" si="157"/>
        <v>149.69230769230768</v>
      </c>
      <c r="T1070">
        <f t="shared" si="157"/>
        <v>206.81538461538457</v>
      </c>
      <c r="U1070">
        <f t="shared" si="157"/>
        <v>404.30769230769232</v>
      </c>
      <c r="V1070">
        <f t="shared" si="157"/>
        <v>399.46153846153845</v>
      </c>
    </row>
    <row r="1071" spans="1:24" hidden="1" outlineLevel="2" x14ac:dyDescent="0.25">
      <c r="A1071" t="str">
        <f>CONCATENATE(B1071," - ",E1071)</f>
        <v>AK8 - 1986</v>
      </c>
      <c r="B1071" t="s">
        <v>37</v>
      </c>
      <c r="C1071">
        <v>3</v>
      </c>
      <c r="D1071">
        <v>1</v>
      </c>
      <c r="E1071">
        <v>1986</v>
      </c>
      <c r="F1071">
        <v>11.7</v>
      </c>
      <c r="G1071">
        <v>11.7</v>
      </c>
      <c r="H1071">
        <v>11.7</v>
      </c>
      <c r="I1071">
        <v>0</v>
      </c>
      <c r="J1071">
        <v>0</v>
      </c>
      <c r="K1071">
        <v>4.3</v>
      </c>
      <c r="L1071">
        <v>4.3</v>
      </c>
      <c r="M1071">
        <v>376</v>
      </c>
      <c r="N1071">
        <v>376</v>
      </c>
      <c r="Q1071">
        <v>314</v>
      </c>
      <c r="R1071">
        <v>462</v>
      </c>
      <c r="S1071">
        <v>148</v>
      </c>
      <c r="T1071">
        <v>271.2</v>
      </c>
      <c r="U1071">
        <v>404</v>
      </c>
      <c r="V1071">
        <v>409</v>
      </c>
      <c r="W1071">
        <v>500</v>
      </c>
      <c r="X1071">
        <v>2.79</v>
      </c>
    </row>
    <row r="1072" spans="1:24" outlineLevel="1" collapsed="1" x14ac:dyDescent="0.25">
      <c r="A1072" s="8" t="s">
        <v>116</v>
      </c>
      <c r="D1072">
        <f t="shared" ref="D1072:V1072" si="158">SUBTOTAL(1,D1071:D1071)</f>
        <v>1</v>
      </c>
      <c r="E1072">
        <f t="shared" si="158"/>
        <v>1986</v>
      </c>
      <c r="F1072">
        <f t="shared" si="158"/>
        <v>11.7</v>
      </c>
      <c r="G1072">
        <f t="shared" si="158"/>
        <v>11.7</v>
      </c>
      <c r="H1072">
        <f t="shared" si="158"/>
        <v>11.7</v>
      </c>
      <c r="I1072">
        <f t="shared" si="158"/>
        <v>0</v>
      </c>
      <c r="J1072">
        <f t="shared" si="158"/>
        <v>0</v>
      </c>
      <c r="K1072">
        <f t="shared" si="158"/>
        <v>4.3</v>
      </c>
      <c r="L1072">
        <f t="shared" si="158"/>
        <v>4.3</v>
      </c>
      <c r="M1072">
        <f t="shared" si="158"/>
        <v>376</v>
      </c>
      <c r="N1072">
        <f t="shared" si="158"/>
        <v>376</v>
      </c>
      <c r="O1072" t="e">
        <f t="shared" si="158"/>
        <v>#DIV/0!</v>
      </c>
      <c r="P1072" t="e">
        <f t="shared" si="158"/>
        <v>#DIV/0!</v>
      </c>
      <c r="Q1072">
        <f t="shared" si="158"/>
        <v>314</v>
      </c>
      <c r="R1072">
        <f t="shared" si="158"/>
        <v>462</v>
      </c>
      <c r="S1072">
        <f t="shared" si="158"/>
        <v>148</v>
      </c>
      <c r="T1072">
        <f t="shared" si="158"/>
        <v>271.2</v>
      </c>
      <c r="U1072">
        <f t="shared" si="158"/>
        <v>404</v>
      </c>
      <c r="V1072">
        <f t="shared" si="158"/>
        <v>409</v>
      </c>
    </row>
    <row r="1073" spans="1:24" hidden="1" outlineLevel="2" x14ac:dyDescent="0.25">
      <c r="A1073" t="str">
        <f t="shared" ref="A1073:A1081" si="159">CONCATENATE(B1073," - ",E1073)</f>
        <v>AK8 - 1987</v>
      </c>
      <c r="B1073" t="s">
        <v>37</v>
      </c>
      <c r="C1073">
        <v>1</v>
      </c>
      <c r="D1073">
        <v>2</v>
      </c>
      <c r="E1073">
        <v>1987</v>
      </c>
      <c r="F1073">
        <v>19.3</v>
      </c>
      <c r="G1073">
        <v>19.3</v>
      </c>
      <c r="H1073">
        <v>15.3</v>
      </c>
      <c r="I1073">
        <v>0</v>
      </c>
      <c r="J1073">
        <v>0</v>
      </c>
      <c r="K1073">
        <v>11.7</v>
      </c>
      <c r="L1073">
        <v>11.7</v>
      </c>
      <c r="M1073">
        <v>329</v>
      </c>
      <c r="N1073">
        <v>329</v>
      </c>
      <c r="Q1073">
        <v>109</v>
      </c>
      <c r="R1073">
        <v>474</v>
      </c>
      <c r="S1073">
        <v>365</v>
      </c>
      <c r="T1073">
        <v>267.3</v>
      </c>
      <c r="U1073">
        <v>392</v>
      </c>
      <c r="V1073">
        <v>395</v>
      </c>
      <c r="W1073">
        <v>500</v>
      </c>
      <c r="X1073">
        <v>2.79</v>
      </c>
    </row>
    <row r="1074" spans="1:24" hidden="1" outlineLevel="2" x14ac:dyDescent="0.25">
      <c r="A1074" t="str">
        <f t="shared" si="159"/>
        <v>AK8 - 1987</v>
      </c>
      <c r="B1074" t="s">
        <v>37</v>
      </c>
      <c r="C1074">
        <v>2</v>
      </c>
      <c r="D1074">
        <v>2</v>
      </c>
      <c r="E1074">
        <v>1987</v>
      </c>
      <c r="F1074">
        <v>20.100000000000001</v>
      </c>
      <c r="G1074">
        <v>20.100000000000001</v>
      </c>
      <c r="H1074">
        <v>17.100000000000001</v>
      </c>
      <c r="I1074">
        <v>0</v>
      </c>
      <c r="J1074">
        <v>0</v>
      </c>
      <c r="K1074">
        <v>12.7</v>
      </c>
      <c r="L1074">
        <v>12.7</v>
      </c>
      <c r="M1074">
        <v>346</v>
      </c>
      <c r="N1074">
        <v>346</v>
      </c>
      <c r="Q1074">
        <v>287</v>
      </c>
      <c r="R1074">
        <v>487</v>
      </c>
      <c r="S1074">
        <v>200</v>
      </c>
      <c r="T1074">
        <v>143.1</v>
      </c>
      <c r="U1074">
        <v>431</v>
      </c>
      <c r="V1074">
        <v>434</v>
      </c>
      <c r="W1074">
        <v>500</v>
      </c>
      <c r="X1074">
        <v>2.79</v>
      </c>
    </row>
    <row r="1075" spans="1:24" hidden="1" outlineLevel="2" x14ac:dyDescent="0.25">
      <c r="A1075" t="str">
        <f t="shared" si="159"/>
        <v>AK8 - 1987</v>
      </c>
      <c r="B1075" t="s">
        <v>37</v>
      </c>
      <c r="C1075">
        <v>3</v>
      </c>
      <c r="D1075">
        <v>2</v>
      </c>
      <c r="E1075">
        <v>1987</v>
      </c>
      <c r="F1075">
        <v>31.2</v>
      </c>
      <c r="G1075">
        <v>19.5</v>
      </c>
      <c r="H1075">
        <v>19.5</v>
      </c>
      <c r="I1075">
        <v>0</v>
      </c>
      <c r="J1075">
        <v>0</v>
      </c>
      <c r="K1075">
        <v>26.3</v>
      </c>
      <c r="L1075">
        <v>30.6</v>
      </c>
      <c r="M1075">
        <v>329</v>
      </c>
      <c r="N1075">
        <v>329</v>
      </c>
      <c r="Q1075">
        <v>268</v>
      </c>
      <c r="R1075">
        <v>447</v>
      </c>
      <c r="S1075">
        <v>179</v>
      </c>
      <c r="T1075">
        <v>271.2</v>
      </c>
      <c r="U1075">
        <v>404</v>
      </c>
      <c r="V1075">
        <v>409</v>
      </c>
      <c r="W1075">
        <v>500</v>
      </c>
      <c r="X1075">
        <v>2.79</v>
      </c>
    </row>
    <row r="1076" spans="1:24" hidden="1" outlineLevel="2" x14ac:dyDescent="0.25">
      <c r="A1076" t="str">
        <f t="shared" si="159"/>
        <v>AK8 - 1987</v>
      </c>
      <c r="B1076" t="s">
        <v>37</v>
      </c>
      <c r="C1076">
        <v>4</v>
      </c>
      <c r="D1076">
        <v>2</v>
      </c>
      <c r="E1076">
        <v>1987</v>
      </c>
      <c r="F1076">
        <v>26.3</v>
      </c>
      <c r="G1076">
        <v>26.3</v>
      </c>
      <c r="H1076">
        <v>18</v>
      </c>
      <c r="I1076">
        <v>0.3</v>
      </c>
      <c r="J1076">
        <v>1</v>
      </c>
      <c r="K1076">
        <v>21.7</v>
      </c>
      <c r="L1076">
        <v>21.7</v>
      </c>
      <c r="M1076">
        <v>317</v>
      </c>
      <c r="N1076">
        <v>314</v>
      </c>
      <c r="O1076">
        <v>502</v>
      </c>
      <c r="P1076">
        <v>188</v>
      </c>
      <c r="Q1076">
        <v>233</v>
      </c>
      <c r="R1076">
        <v>502</v>
      </c>
      <c r="S1076">
        <v>269</v>
      </c>
      <c r="T1076">
        <v>217.8</v>
      </c>
      <c r="U1076">
        <v>383</v>
      </c>
      <c r="V1076">
        <v>385</v>
      </c>
      <c r="W1076">
        <v>500</v>
      </c>
      <c r="X1076">
        <v>2.79</v>
      </c>
    </row>
    <row r="1077" spans="1:24" hidden="1" outlineLevel="2" x14ac:dyDescent="0.25">
      <c r="A1077" t="str">
        <f t="shared" si="159"/>
        <v>AK8 - 1987</v>
      </c>
      <c r="B1077" t="s">
        <v>37</v>
      </c>
      <c r="C1077">
        <v>5</v>
      </c>
      <c r="D1077">
        <v>2</v>
      </c>
      <c r="E1077">
        <v>1987</v>
      </c>
      <c r="F1077">
        <v>20.3</v>
      </c>
      <c r="G1077">
        <v>20.3</v>
      </c>
      <c r="H1077">
        <v>17.100000000000001</v>
      </c>
      <c r="I1077">
        <v>1.2</v>
      </c>
      <c r="J1077">
        <v>5</v>
      </c>
      <c r="K1077">
        <v>12.9</v>
      </c>
      <c r="L1077">
        <v>12.9</v>
      </c>
      <c r="M1077">
        <v>364</v>
      </c>
      <c r="N1077">
        <v>354</v>
      </c>
      <c r="O1077">
        <v>509</v>
      </c>
      <c r="P1077">
        <v>155</v>
      </c>
      <c r="Q1077">
        <v>315</v>
      </c>
      <c r="R1077">
        <v>517</v>
      </c>
      <c r="S1077">
        <v>202</v>
      </c>
      <c r="T1077">
        <v>196.8</v>
      </c>
      <c r="U1077">
        <v>444</v>
      </c>
      <c r="V1077">
        <v>445</v>
      </c>
      <c r="W1077">
        <v>500</v>
      </c>
      <c r="X1077">
        <v>2.79</v>
      </c>
    </row>
    <row r="1078" spans="1:24" hidden="1" outlineLevel="2" x14ac:dyDescent="0.25">
      <c r="A1078" t="str">
        <f t="shared" si="159"/>
        <v>AK8 - 1987</v>
      </c>
      <c r="B1078" t="s">
        <v>37</v>
      </c>
      <c r="C1078">
        <v>6</v>
      </c>
      <c r="D1078">
        <v>2</v>
      </c>
      <c r="E1078">
        <v>1987</v>
      </c>
      <c r="F1078">
        <v>15.6</v>
      </c>
      <c r="G1078">
        <v>15.6</v>
      </c>
      <c r="H1078">
        <v>12.3</v>
      </c>
      <c r="I1078">
        <v>0.3</v>
      </c>
      <c r="J1078">
        <v>1</v>
      </c>
      <c r="K1078">
        <v>7.6</v>
      </c>
      <c r="L1078">
        <v>7.6</v>
      </c>
      <c r="M1078">
        <v>368</v>
      </c>
      <c r="N1078">
        <v>365</v>
      </c>
      <c r="O1078">
        <v>500</v>
      </c>
      <c r="P1078">
        <v>135</v>
      </c>
      <c r="Q1078">
        <v>277</v>
      </c>
      <c r="R1078">
        <v>500</v>
      </c>
      <c r="S1078">
        <v>223</v>
      </c>
      <c r="T1078">
        <v>280.2</v>
      </c>
      <c r="U1078">
        <v>413</v>
      </c>
      <c r="V1078">
        <v>417</v>
      </c>
      <c r="W1078">
        <v>500</v>
      </c>
      <c r="X1078">
        <v>2.79</v>
      </c>
    </row>
    <row r="1079" spans="1:24" hidden="1" outlineLevel="2" x14ac:dyDescent="0.25">
      <c r="A1079" t="str">
        <f t="shared" si="159"/>
        <v>AK8 - 1987</v>
      </c>
      <c r="B1079" t="s">
        <v>37</v>
      </c>
      <c r="C1079">
        <v>8</v>
      </c>
      <c r="D1079">
        <v>2</v>
      </c>
      <c r="E1079">
        <v>1987</v>
      </c>
      <c r="F1079">
        <v>37.200000000000003</v>
      </c>
      <c r="G1079">
        <v>37.200000000000003</v>
      </c>
      <c r="H1079">
        <v>22.2</v>
      </c>
      <c r="I1079">
        <v>0</v>
      </c>
      <c r="J1079">
        <v>0</v>
      </c>
      <c r="K1079">
        <v>43.5</v>
      </c>
      <c r="L1079">
        <v>43.5</v>
      </c>
      <c r="M1079">
        <v>404</v>
      </c>
      <c r="N1079">
        <v>404</v>
      </c>
      <c r="Q1079">
        <v>316</v>
      </c>
      <c r="R1079">
        <v>488</v>
      </c>
      <c r="S1079">
        <v>172</v>
      </c>
      <c r="T1079">
        <v>200.4</v>
      </c>
      <c r="U1079">
        <v>427</v>
      </c>
      <c r="V1079">
        <v>430</v>
      </c>
      <c r="W1079">
        <v>500</v>
      </c>
      <c r="X1079">
        <v>2.79</v>
      </c>
    </row>
    <row r="1080" spans="1:24" hidden="1" outlineLevel="2" x14ac:dyDescent="0.25">
      <c r="A1080" t="str">
        <f t="shared" si="159"/>
        <v>AK8 - 1987</v>
      </c>
      <c r="B1080" t="s">
        <v>37</v>
      </c>
      <c r="C1080">
        <v>9</v>
      </c>
      <c r="D1080">
        <v>1</v>
      </c>
      <c r="E1080">
        <v>1987</v>
      </c>
      <c r="F1080">
        <v>17.2</v>
      </c>
      <c r="G1080">
        <v>17.2</v>
      </c>
      <c r="H1080">
        <v>15.9</v>
      </c>
      <c r="I1080">
        <v>0.3</v>
      </c>
      <c r="J1080">
        <v>1</v>
      </c>
      <c r="K1080">
        <v>9.3000000000000007</v>
      </c>
      <c r="L1080">
        <v>9.3000000000000007</v>
      </c>
      <c r="M1080">
        <v>344</v>
      </c>
      <c r="N1080">
        <v>341</v>
      </c>
      <c r="O1080">
        <v>504</v>
      </c>
      <c r="P1080">
        <v>163</v>
      </c>
      <c r="Q1080">
        <v>268</v>
      </c>
      <c r="R1080">
        <v>504</v>
      </c>
      <c r="S1080">
        <v>236</v>
      </c>
      <c r="T1080">
        <v>261.60000000000002</v>
      </c>
      <c r="U1080">
        <v>413</v>
      </c>
      <c r="V1080">
        <v>408</v>
      </c>
      <c r="W1080">
        <v>500</v>
      </c>
      <c r="X1080">
        <v>2.79</v>
      </c>
    </row>
    <row r="1081" spans="1:24" hidden="1" outlineLevel="2" x14ac:dyDescent="0.25">
      <c r="A1081" t="str">
        <f t="shared" si="159"/>
        <v>AK8 - 1987</v>
      </c>
      <c r="B1081" t="s">
        <v>37</v>
      </c>
      <c r="C1081">
        <v>10</v>
      </c>
      <c r="D1081">
        <v>2</v>
      </c>
      <c r="E1081">
        <v>1987</v>
      </c>
      <c r="F1081">
        <v>52.1</v>
      </c>
      <c r="G1081">
        <v>52.1</v>
      </c>
      <c r="H1081">
        <v>30.3</v>
      </c>
      <c r="I1081">
        <v>1.8</v>
      </c>
      <c r="J1081">
        <v>3</v>
      </c>
      <c r="K1081">
        <v>85.3</v>
      </c>
      <c r="L1081">
        <v>85.3</v>
      </c>
      <c r="M1081">
        <v>349</v>
      </c>
      <c r="N1081">
        <v>338</v>
      </c>
      <c r="O1081">
        <v>518</v>
      </c>
      <c r="P1081">
        <v>180</v>
      </c>
      <c r="Q1081">
        <v>290</v>
      </c>
      <c r="R1081">
        <v>537</v>
      </c>
      <c r="S1081">
        <v>247</v>
      </c>
      <c r="T1081">
        <v>237.9</v>
      </c>
      <c r="U1081">
        <v>419</v>
      </c>
      <c r="V1081">
        <v>416</v>
      </c>
      <c r="W1081">
        <v>500</v>
      </c>
      <c r="X1081">
        <v>2.79</v>
      </c>
    </row>
    <row r="1082" spans="1:24" outlineLevel="1" collapsed="1" x14ac:dyDescent="0.25">
      <c r="A1082" s="8" t="s">
        <v>117</v>
      </c>
      <c r="D1082">
        <f t="shared" ref="D1082:V1082" si="160">SUBTOTAL(1,D1073:D1081)</f>
        <v>1.8888888888888888</v>
      </c>
      <c r="E1082">
        <f t="shared" si="160"/>
        <v>1987</v>
      </c>
      <c r="F1082">
        <f t="shared" si="160"/>
        <v>26.588888888888889</v>
      </c>
      <c r="G1082">
        <f t="shared" si="160"/>
        <v>25.288888888888888</v>
      </c>
      <c r="H1082">
        <f t="shared" si="160"/>
        <v>18.633333333333336</v>
      </c>
      <c r="I1082">
        <f t="shared" si="160"/>
        <v>0.43333333333333335</v>
      </c>
      <c r="J1082">
        <f t="shared" si="160"/>
        <v>1.2222222222222223</v>
      </c>
      <c r="K1082">
        <f t="shared" si="160"/>
        <v>25.666666666666668</v>
      </c>
      <c r="L1082">
        <f t="shared" si="160"/>
        <v>26.144444444444446</v>
      </c>
      <c r="M1082">
        <f t="shared" si="160"/>
        <v>350</v>
      </c>
      <c r="N1082">
        <f t="shared" si="160"/>
        <v>346.66666666666669</v>
      </c>
      <c r="O1082">
        <f t="shared" si="160"/>
        <v>506.6</v>
      </c>
      <c r="P1082">
        <f t="shared" si="160"/>
        <v>164.2</v>
      </c>
      <c r="Q1082">
        <f t="shared" si="160"/>
        <v>262.55555555555554</v>
      </c>
      <c r="R1082">
        <f t="shared" si="160"/>
        <v>495.11111111111109</v>
      </c>
      <c r="S1082">
        <f t="shared" si="160"/>
        <v>232.55555555555554</v>
      </c>
      <c r="T1082">
        <f t="shared" si="160"/>
        <v>230.70000000000002</v>
      </c>
      <c r="U1082">
        <f t="shared" si="160"/>
        <v>414</v>
      </c>
      <c r="V1082">
        <f t="shared" si="160"/>
        <v>415.44444444444446</v>
      </c>
    </row>
    <row r="1083" spans="1:24" hidden="1" outlineLevel="2" x14ac:dyDescent="0.25">
      <c r="A1083" t="str">
        <f t="shared" ref="A1083:A1092" si="161">CONCATENATE(B1083," - ",E1083)</f>
        <v>AK8 - 1988</v>
      </c>
      <c r="B1083" t="s">
        <v>37</v>
      </c>
      <c r="C1083">
        <v>1</v>
      </c>
      <c r="D1083">
        <v>3</v>
      </c>
      <c r="E1083">
        <v>1988</v>
      </c>
      <c r="F1083">
        <v>38.5</v>
      </c>
      <c r="G1083">
        <v>19.2</v>
      </c>
      <c r="H1083">
        <v>18.899999999999999</v>
      </c>
      <c r="I1083">
        <v>0.3</v>
      </c>
      <c r="J1083">
        <v>1</v>
      </c>
      <c r="K1083">
        <v>34.9</v>
      </c>
      <c r="L1083">
        <v>46.6</v>
      </c>
      <c r="M1083">
        <v>330</v>
      </c>
      <c r="N1083">
        <v>327</v>
      </c>
      <c r="O1083">
        <v>503</v>
      </c>
      <c r="P1083">
        <v>176</v>
      </c>
      <c r="Q1083">
        <v>261</v>
      </c>
      <c r="R1083">
        <v>503</v>
      </c>
      <c r="S1083">
        <v>242</v>
      </c>
      <c r="T1083">
        <v>267.3</v>
      </c>
      <c r="U1083">
        <v>392</v>
      </c>
      <c r="V1083">
        <v>395</v>
      </c>
      <c r="W1083">
        <v>500</v>
      </c>
      <c r="X1083">
        <v>2.79</v>
      </c>
    </row>
    <row r="1084" spans="1:24" hidden="1" outlineLevel="2" x14ac:dyDescent="0.25">
      <c r="A1084" t="str">
        <f t="shared" si="161"/>
        <v>AK8 - 1988</v>
      </c>
      <c r="B1084" t="s">
        <v>37</v>
      </c>
      <c r="C1084">
        <v>2</v>
      </c>
      <c r="D1084">
        <v>3</v>
      </c>
      <c r="E1084">
        <v>1988</v>
      </c>
      <c r="F1084">
        <v>40.200000000000003</v>
      </c>
      <c r="G1084">
        <v>20.100000000000001</v>
      </c>
      <c r="H1084">
        <v>20.100000000000001</v>
      </c>
      <c r="I1084">
        <v>0</v>
      </c>
      <c r="J1084">
        <v>0</v>
      </c>
      <c r="K1084">
        <v>38.1</v>
      </c>
      <c r="L1084">
        <v>50.8</v>
      </c>
      <c r="M1084">
        <v>359</v>
      </c>
      <c r="N1084">
        <v>359</v>
      </c>
      <c r="Q1084">
        <v>277</v>
      </c>
      <c r="R1084">
        <v>491</v>
      </c>
      <c r="S1084">
        <v>214</v>
      </c>
      <c r="T1084">
        <v>143.1</v>
      </c>
      <c r="U1084">
        <v>431</v>
      </c>
      <c r="V1084">
        <v>434</v>
      </c>
      <c r="W1084">
        <v>500</v>
      </c>
      <c r="X1084">
        <v>2.79</v>
      </c>
    </row>
    <row r="1085" spans="1:24" hidden="1" outlineLevel="2" x14ac:dyDescent="0.25">
      <c r="A1085" t="str">
        <f t="shared" si="161"/>
        <v>AK8 - 1988</v>
      </c>
      <c r="B1085" t="s">
        <v>37</v>
      </c>
      <c r="C1085">
        <v>3</v>
      </c>
      <c r="D1085">
        <v>3</v>
      </c>
      <c r="E1085">
        <v>1988</v>
      </c>
      <c r="F1085">
        <v>57.3</v>
      </c>
      <c r="G1085">
        <v>26.1</v>
      </c>
      <c r="H1085">
        <v>22.2</v>
      </c>
      <c r="I1085">
        <v>3.9</v>
      </c>
      <c r="J1085">
        <v>14</v>
      </c>
      <c r="K1085">
        <v>72.599999999999994</v>
      </c>
      <c r="L1085">
        <v>103.1</v>
      </c>
      <c r="M1085">
        <v>416</v>
      </c>
      <c r="N1085">
        <v>395</v>
      </c>
      <c r="O1085">
        <v>531</v>
      </c>
      <c r="P1085">
        <v>136</v>
      </c>
      <c r="Q1085">
        <v>294</v>
      </c>
      <c r="R1085">
        <v>554</v>
      </c>
      <c r="S1085">
        <v>260</v>
      </c>
      <c r="T1085">
        <v>271.2</v>
      </c>
      <c r="U1085">
        <v>404</v>
      </c>
      <c r="V1085">
        <v>409</v>
      </c>
      <c r="W1085">
        <v>500</v>
      </c>
      <c r="X1085">
        <v>2.79</v>
      </c>
    </row>
    <row r="1086" spans="1:24" hidden="1" outlineLevel="2" x14ac:dyDescent="0.25">
      <c r="A1086" t="str">
        <f t="shared" si="161"/>
        <v>AK8 - 1988</v>
      </c>
      <c r="B1086" t="s">
        <v>37</v>
      </c>
      <c r="C1086">
        <v>4</v>
      </c>
      <c r="D1086">
        <v>3</v>
      </c>
      <c r="E1086">
        <v>1988</v>
      </c>
      <c r="F1086">
        <v>42.2</v>
      </c>
      <c r="G1086">
        <v>15.9</v>
      </c>
      <c r="H1086">
        <v>15.3</v>
      </c>
      <c r="I1086">
        <v>0.6</v>
      </c>
      <c r="J1086">
        <v>3</v>
      </c>
      <c r="K1086">
        <v>34.200000000000003</v>
      </c>
      <c r="L1086">
        <v>55.9</v>
      </c>
      <c r="M1086">
        <v>334</v>
      </c>
      <c r="N1086">
        <v>327</v>
      </c>
      <c r="O1086">
        <v>512</v>
      </c>
      <c r="P1086">
        <v>185</v>
      </c>
      <c r="Q1086">
        <v>260</v>
      </c>
      <c r="R1086">
        <v>521</v>
      </c>
      <c r="S1086">
        <v>261</v>
      </c>
      <c r="T1086">
        <v>217.8</v>
      </c>
      <c r="U1086">
        <v>383</v>
      </c>
      <c r="V1086">
        <v>385</v>
      </c>
      <c r="W1086">
        <v>500</v>
      </c>
      <c r="X1086">
        <v>2.79</v>
      </c>
    </row>
    <row r="1087" spans="1:24" hidden="1" outlineLevel="2" x14ac:dyDescent="0.25">
      <c r="A1087" t="str">
        <f t="shared" si="161"/>
        <v>AK8 - 1988</v>
      </c>
      <c r="B1087" t="s">
        <v>37</v>
      </c>
      <c r="C1087">
        <v>5</v>
      </c>
      <c r="D1087">
        <v>3</v>
      </c>
      <c r="E1087">
        <v>1988</v>
      </c>
      <c r="F1087">
        <v>38.9</v>
      </c>
      <c r="G1087">
        <v>18.600000000000001</v>
      </c>
      <c r="H1087">
        <v>17.100000000000001</v>
      </c>
      <c r="I1087">
        <v>1.5</v>
      </c>
      <c r="J1087">
        <v>8</v>
      </c>
      <c r="K1087">
        <v>34.6</v>
      </c>
      <c r="L1087">
        <v>47.5</v>
      </c>
      <c r="M1087">
        <v>386</v>
      </c>
      <c r="N1087">
        <v>374</v>
      </c>
      <c r="O1087">
        <v>520</v>
      </c>
      <c r="P1087">
        <v>146</v>
      </c>
      <c r="Q1087">
        <v>312</v>
      </c>
      <c r="R1087">
        <v>536</v>
      </c>
      <c r="S1087">
        <v>224</v>
      </c>
      <c r="T1087">
        <v>196.8</v>
      </c>
      <c r="U1087">
        <v>444</v>
      </c>
      <c r="V1087">
        <v>445</v>
      </c>
      <c r="W1087">
        <v>500</v>
      </c>
      <c r="X1087">
        <v>2.79</v>
      </c>
    </row>
    <row r="1088" spans="1:24" hidden="1" outlineLevel="2" x14ac:dyDescent="0.25">
      <c r="A1088" t="str">
        <f t="shared" si="161"/>
        <v>AK8 - 1988</v>
      </c>
      <c r="B1088" t="s">
        <v>37</v>
      </c>
      <c r="C1088">
        <v>6</v>
      </c>
      <c r="D1088">
        <v>3</v>
      </c>
      <c r="E1088">
        <v>1988</v>
      </c>
      <c r="F1088">
        <v>34.200000000000003</v>
      </c>
      <c r="G1088">
        <v>18.600000000000001</v>
      </c>
      <c r="H1088">
        <v>18.600000000000001</v>
      </c>
      <c r="I1088">
        <v>0</v>
      </c>
      <c r="J1088">
        <v>0</v>
      </c>
      <c r="K1088">
        <v>29.1</v>
      </c>
      <c r="L1088">
        <v>36.700000000000003</v>
      </c>
      <c r="M1088">
        <v>362</v>
      </c>
      <c r="N1088">
        <v>362</v>
      </c>
      <c r="O1088">
        <v>0</v>
      </c>
      <c r="P1088">
        <v>0</v>
      </c>
      <c r="Q1088">
        <v>273</v>
      </c>
      <c r="R1088">
        <v>497</v>
      </c>
      <c r="S1088">
        <v>224</v>
      </c>
      <c r="T1088">
        <v>280.2</v>
      </c>
      <c r="U1088">
        <v>413</v>
      </c>
      <c r="V1088">
        <v>417</v>
      </c>
      <c r="W1088">
        <v>500</v>
      </c>
      <c r="X1088">
        <v>2.79</v>
      </c>
    </row>
    <row r="1089" spans="1:24" hidden="1" outlineLevel="2" x14ac:dyDescent="0.25">
      <c r="A1089" t="str">
        <f t="shared" si="161"/>
        <v>AK8 - 1988</v>
      </c>
      <c r="B1089" t="s">
        <v>37</v>
      </c>
      <c r="C1089">
        <v>7</v>
      </c>
      <c r="D1089">
        <v>3</v>
      </c>
      <c r="E1089">
        <v>1988</v>
      </c>
      <c r="F1089">
        <v>16.3</v>
      </c>
      <c r="G1089">
        <v>16.3</v>
      </c>
      <c r="H1089">
        <v>6.3</v>
      </c>
      <c r="I1089">
        <v>0</v>
      </c>
      <c r="J1089">
        <v>0</v>
      </c>
      <c r="K1089">
        <v>8.3000000000000007</v>
      </c>
      <c r="L1089">
        <v>8.3000000000000007</v>
      </c>
      <c r="M1089">
        <v>315</v>
      </c>
      <c r="N1089">
        <v>315</v>
      </c>
      <c r="Q1089">
        <v>165</v>
      </c>
      <c r="R1089">
        <v>407</v>
      </c>
      <c r="S1089">
        <v>242</v>
      </c>
      <c r="T1089">
        <v>213.6</v>
      </c>
      <c r="U1089">
        <v>413</v>
      </c>
      <c r="V1089">
        <v>422</v>
      </c>
      <c r="W1089">
        <v>500</v>
      </c>
      <c r="X1089">
        <v>2.79</v>
      </c>
    </row>
    <row r="1090" spans="1:24" hidden="1" outlineLevel="2" x14ac:dyDescent="0.25">
      <c r="A1090" t="str">
        <f t="shared" si="161"/>
        <v>AK8 - 1988</v>
      </c>
      <c r="B1090" t="s">
        <v>37</v>
      </c>
      <c r="C1090">
        <v>8</v>
      </c>
      <c r="D1090">
        <v>3</v>
      </c>
      <c r="E1090">
        <v>1988</v>
      </c>
      <c r="F1090">
        <v>49.8</v>
      </c>
      <c r="G1090">
        <v>12.6</v>
      </c>
      <c r="H1090">
        <v>12.6</v>
      </c>
      <c r="I1090">
        <v>0</v>
      </c>
      <c r="J1090">
        <v>0</v>
      </c>
      <c r="K1090">
        <v>34.4</v>
      </c>
      <c r="L1090">
        <v>77.900000000000006</v>
      </c>
      <c r="M1090">
        <v>387</v>
      </c>
      <c r="N1090">
        <v>387</v>
      </c>
      <c r="Q1090">
        <v>346</v>
      </c>
      <c r="R1090">
        <v>453</v>
      </c>
      <c r="S1090">
        <v>107</v>
      </c>
      <c r="T1090">
        <v>200.4</v>
      </c>
      <c r="U1090">
        <v>427</v>
      </c>
      <c r="V1090">
        <v>430</v>
      </c>
      <c r="W1090">
        <v>500</v>
      </c>
      <c r="X1090">
        <v>2.79</v>
      </c>
    </row>
    <row r="1091" spans="1:24" hidden="1" outlineLevel="2" x14ac:dyDescent="0.25">
      <c r="A1091" t="str">
        <f t="shared" si="161"/>
        <v>AK8 - 1988</v>
      </c>
      <c r="B1091" t="s">
        <v>37</v>
      </c>
      <c r="C1091">
        <v>9</v>
      </c>
      <c r="D1091">
        <v>2</v>
      </c>
      <c r="E1091">
        <v>1988</v>
      </c>
      <c r="F1091">
        <v>36.700000000000003</v>
      </c>
      <c r="G1091">
        <v>19.5</v>
      </c>
      <c r="H1091">
        <v>19.5</v>
      </c>
      <c r="I1091">
        <v>0</v>
      </c>
      <c r="J1091">
        <v>0</v>
      </c>
      <c r="K1091">
        <v>33</v>
      </c>
      <c r="L1091">
        <v>42.3</v>
      </c>
      <c r="M1091">
        <v>328</v>
      </c>
      <c r="N1091">
        <v>328</v>
      </c>
      <c r="Q1091">
        <v>249</v>
      </c>
      <c r="R1091">
        <v>499</v>
      </c>
      <c r="S1091">
        <v>250</v>
      </c>
      <c r="T1091">
        <v>261.60000000000002</v>
      </c>
      <c r="U1091">
        <v>413</v>
      </c>
      <c r="V1091">
        <v>408</v>
      </c>
      <c r="W1091">
        <v>500</v>
      </c>
      <c r="X1091">
        <v>2.79</v>
      </c>
    </row>
    <row r="1092" spans="1:24" hidden="1" outlineLevel="2" x14ac:dyDescent="0.25">
      <c r="A1092" t="str">
        <f t="shared" si="161"/>
        <v>AK8 - 1988</v>
      </c>
      <c r="B1092" t="s">
        <v>37</v>
      </c>
      <c r="C1092">
        <v>10</v>
      </c>
      <c r="D1092">
        <v>3</v>
      </c>
      <c r="E1092">
        <v>1988</v>
      </c>
      <c r="F1092">
        <v>71.3</v>
      </c>
      <c r="G1092">
        <v>19.2</v>
      </c>
      <c r="H1092">
        <v>18</v>
      </c>
      <c r="I1092">
        <v>1.2</v>
      </c>
      <c r="J1092">
        <v>6</v>
      </c>
      <c r="K1092">
        <v>74.400000000000006</v>
      </c>
      <c r="L1092">
        <v>159.69999999999999</v>
      </c>
      <c r="M1092">
        <v>380</v>
      </c>
      <c r="N1092">
        <v>371</v>
      </c>
      <c r="O1092">
        <v>514</v>
      </c>
      <c r="P1092">
        <v>143</v>
      </c>
      <c r="Q1092">
        <v>294</v>
      </c>
      <c r="R1092">
        <v>527</v>
      </c>
      <c r="S1092">
        <v>233</v>
      </c>
      <c r="T1092">
        <v>237.9</v>
      </c>
      <c r="U1092">
        <v>419</v>
      </c>
      <c r="V1092">
        <v>416</v>
      </c>
      <c r="W1092">
        <v>500</v>
      </c>
      <c r="X1092">
        <v>2.79</v>
      </c>
    </row>
    <row r="1093" spans="1:24" outlineLevel="1" collapsed="1" x14ac:dyDescent="0.25">
      <c r="A1093" s="8" t="s">
        <v>118</v>
      </c>
      <c r="D1093">
        <f t="shared" ref="D1093:V1093" si="162">SUBTOTAL(1,D1083:D1092)</f>
        <v>2.9</v>
      </c>
      <c r="E1093">
        <f t="shared" si="162"/>
        <v>1988</v>
      </c>
      <c r="F1093">
        <f t="shared" si="162"/>
        <v>42.540000000000006</v>
      </c>
      <c r="G1093">
        <f t="shared" si="162"/>
        <v>18.61</v>
      </c>
      <c r="H1093">
        <f t="shared" si="162"/>
        <v>16.86</v>
      </c>
      <c r="I1093">
        <f t="shared" si="162"/>
        <v>0.75</v>
      </c>
      <c r="J1093">
        <f t="shared" si="162"/>
        <v>3.2</v>
      </c>
      <c r="K1093">
        <f t="shared" si="162"/>
        <v>39.36</v>
      </c>
      <c r="L1093">
        <f t="shared" si="162"/>
        <v>62.879999999999995</v>
      </c>
      <c r="M1093">
        <f t="shared" si="162"/>
        <v>359.7</v>
      </c>
      <c r="N1093">
        <f t="shared" si="162"/>
        <v>354.5</v>
      </c>
      <c r="O1093">
        <f t="shared" si="162"/>
        <v>430</v>
      </c>
      <c r="P1093">
        <f t="shared" si="162"/>
        <v>131</v>
      </c>
      <c r="Q1093">
        <f t="shared" si="162"/>
        <v>273.10000000000002</v>
      </c>
      <c r="R1093">
        <f t="shared" si="162"/>
        <v>498.8</v>
      </c>
      <c r="S1093">
        <f t="shared" si="162"/>
        <v>225.7</v>
      </c>
      <c r="T1093">
        <f t="shared" si="162"/>
        <v>228.99</v>
      </c>
      <c r="U1093">
        <f t="shared" si="162"/>
        <v>413.9</v>
      </c>
      <c r="V1093">
        <f t="shared" si="162"/>
        <v>416.1</v>
      </c>
    </row>
    <row r="1094" spans="1:24" hidden="1" outlineLevel="2" x14ac:dyDescent="0.25">
      <c r="A1094" t="str">
        <f t="shared" ref="A1094:A1103" si="163">CONCATENATE(B1094," - ",E1094)</f>
        <v>AK8 - 1989</v>
      </c>
      <c r="B1094" t="s">
        <v>37</v>
      </c>
      <c r="C1094">
        <v>1</v>
      </c>
      <c r="D1094">
        <v>4</v>
      </c>
      <c r="E1094">
        <v>1989</v>
      </c>
      <c r="F1094">
        <v>61.3</v>
      </c>
      <c r="G1094">
        <v>22.8</v>
      </c>
      <c r="H1094">
        <v>22.8</v>
      </c>
      <c r="I1094">
        <v>0</v>
      </c>
      <c r="J1094">
        <v>0</v>
      </c>
      <c r="K1094">
        <v>71.5</v>
      </c>
      <c r="L1094">
        <v>118.1</v>
      </c>
      <c r="M1094">
        <v>353</v>
      </c>
      <c r="N1094">
        <v>353</v>
      </c>
      <c r="Q1094">
        <v>257</v>
      </c>
      <c r="R1094">
        <v>486</v>
      </c>
      <c r="S1094">
        <v>229</v>
      </c>
      <c r="T1094">
        <v>267.3</v>
      </c>
      <c r="U1094">
        <v>392</v>
      </c>
      <c r="V1094">
        <v>395</v>
      </c>
      <c r="W1094">
        <v>500</v>
      </c>
      <c r="X1094">
        <v>2.79</v>
      </c>
    </row>
    <row r="1095" spans="1:24" hidden="1" outlineLevel="2" x14ac:dyDescent="0.25">
      <c r="A1095" t="str">
        <f t="shared" si="163"/>
        <v>AK8 - 1989</v>
      </c>
      <c r="B1095" t="s">
        <v>37</v>
      </c>
      <c r="C1095">
        <v>2</v>
      </c>
      <c r="D1095">
        <v>4</v>
      </c>
      <c r="E1095">
        <v>1989</v>
      </c>
      <c r="F1095">
        <v>56.4</v>
      </c>
      <c r="G1095">
        <v>16.2</v>
      </c>
      <c r="H1095">
        <v>15.3</v>
      </c>
      <c r="I1095">
        <v>0.9</v>
      </c>
      <c r="J1095">
        <v>5</v>
      </c>
      <c r="K1095">
        <v>49.2</v>
      </c>
      <c r="L1095">
        <v>99.9</v>
      </c>
      <c r="M1095">
        <v>405</v>
      </c>
      <c r="N1095">
        <v>399</v>
      </c>
      <c r="O1095">
        <v>521</v>
      </c>
      <c r="P1095">
        <v>122</v>
      </c>
      <c r="Q1095">
        <v>359</v>
      </c>
      <c r="R1095">
        <v>530</v>
      </c>
      <c r="S1095">
        <v>171</v>
      </c>
      <c r="T1095">
        <v>143.1</v>
      </c>
      <c r="U1095">
        <v>431</v>
      </c>
      <c r="V1095">
        <v>434</v>
      </c>
      <c r="W1095">
        <v>500</v>
      </c>
      <c r="X1095">
        <v>2.79</v>
      </c>
    </row>
    <row r="1096" spans="1:24" hidden="1" outlineLevel="2" x14ac:dyDescent="0.25">
      <c r="A1096" t="str">
        <f t="shared" si="163"/>
        <v>AK8 - 1989</v>
      </c>
      <c r="B1096" t="s">
        <v>37</v>
      </c>
      <c r="C1096">
        <v>3</v>
      </c>
      <c r="D1096">
        <v>4</v>
      </c>
      <c r="E1096">
        <v>1989</v>
      </c>
      <c r="F1096">
        <v>76.2</v>
      </c>
      <c r="G1096">
        <v>18.899999999999999</v>
      </c>
      <c r="H1096">
        <v>17.7</v>
      </c>
      <c r="I1096">
        <v>1.2</v>
      </c>
      <c r="J1096">
        <v>6</v>
      </c>
      <c r="K1096">
        <v>79.3</v>
      </c>
      <c r="L1096">
        <v>182.4</v>
      </c>
      <c r="M1096">
        <v>412</v>
      </c>
      <c r="N1096">
        <v>404</v>
      </c>
      <c r="O1096">
        <v>527</v>
      </c>
      <c r="P1096">
        <v>123</v>
      </c>
      <c r="Q1096">
        <v>337</v>
      </c>
      <c r="R1096">
        <v>549</v>
      </c>
      <c r="S1096">
        <v>212</v>
      </c>
      <c r="T1096">
        <v>271.2</v>
      </c>
      <c r="U1096">
        <v>404</v>
      </c>
      <c r="V1096">
        <v>409</v>
      </c>
      <c r="W1096">
        <v>500</v>
      </c>
      <c r="X1096">
        <v>2.79</v>
      </c>
    </row>
    <row r="1097" spans="1:24" hidden="1" outlineLevel="2" x14ac:dyDescent="0.25">
      <c r="A1097" t="str">
        <f t="shared" si="163"/>
        <v>AK8 - 1989</v>
      </c>
      <c r="B1097" t="s">
        <v>37</v>
      </c>
      <c r="C1097">
        <v>4</v>
      </c>
      <c r="D1097">
        <v>4</v>
      </c>
      <c r="E1097">
        <v>1989</v>
      </c>
      <c r="F1097">
        <v>57.5</v>
      </c>
      <c r="G1097">
        <v>15.3</v>
      </c>
      <c r="H1097">
        <v>14.7</v>
      </c>
      <c r="I1097">
        <v>0.6</v>
      </c>
      <c r="J1097">
        <v>3</v>
      </c>
      <c r="K1097">
        <v>47.9</v>
      </c>
      <c r="L1097">
        <v>103.9</v>
      </c>
      <c r="M1097">
        <v>347</v>
      </c>
      <c r="N1097">
        <v>340</v>
      </c>
      <c r="O1097">
        <v>527</v>
      </c>
      <c r="P1097">
        <v>187</v>
      </c>
      <c r="Q1097">
        <v>272</v>
      </c>
      <c r="R1097">
        <v>542</v>
      </c>
      <c r="S1097">
        <v>270</v>
      </c>
      <c r="T1097">
        <v>217.8</v>
      </c>
      <c r="U1097">
        <v>383</v>
      </c>
      <c r="V1097">
        <v>385</v>
      </c>
      <c r="W1097">
        <v>500</v>
      </c>
      <c r="X1097">
        <v>2.79</v>
      </c>
    </row>
    <row r="1098" spans="1:24" hidden="1" outlineLevel="2" x14ac:dyDescent="0.25">
      <c r="A1098" t="str">
        <f t="shared" si="163"/>
        <v>AK8 - 1989</v>
      </c>
      <c r="B1098" t="s">
        <v>37</v>
      </c>
      <c r="C1098">
        <v>5</v>
      </c>
      <c r="D1098">
        <v>4</v>
      </c>
      <c r="E1098">
        <v>1989</v>
      </c>
      <c r="F1098">
        <v>53.3</v>
      </c>
      <c r="G1098">
        <v>14.4</v>
      </c>
      <c r="H1098">
        <v>12.9</v>
      </c>
      <c r="I1098">
        <v>1.5</v>
      </c>
      <c r="J1098">
        <v>10</v>
      </c>
      <c r="K1098">
        <v>41.7</v>
      </c>
      <c r="L1098">
        <v>89.2</v>
      </c>
      <c r="M1098">
        <v>392</v>
      </c>
      <c r="N1098">
        <v>375</v>
      </c>
      <c r="O1098">
        <v>535</v>
      </c>
      <c r="P1098">
        <v>160</v>
      </c>
      <c r="Q1098">
        <v>312</v>
      </c>
      <c r="R1098">
        <v>561</v>
      </c>
      <c r="S1098">
        <v>249</v>
      </c>
      <c r="T1098">
        <v>196.8</v>
      </c>
      <c r="U1098">
        <v>444</v>
      </c>
      <c r="V1098">
        <v>445</v>
      </c>
      <c r="W1098">
        <v>500</v>
      </c>
      <c r="X1098">
        <v>2.79</v>
      </c>
    </row>
    <row r="1099" spans="1:24" hidden="1" outlineLevel="2" x14ac:dyDescent="0.25">
      <c r="A1099" t="str">
        <f t="shared" si="163"/>
        <v>AK8 - 1989</v>
      </c>
      <c r="B1099" t="s">
        <v>37</v>
      </c>
      <c r="C1099">
        <v>6</v>
      </c>
      <c r="D1099">
        <v>4</v>
      </c>
      <c r="E1099">
        <v>1989</v>
      </c>
      <c r="F1099">
        <v>50.1</v>
      </c>
      <c r="G1099">
        <v>15.9</v>
      </c>
      <c r="H1099">
        <v>14.4</v>
      </c>
      <c r="I1099">
        <v>1.5</v>
      </c>
      <c r="J1099">
        <v>9</v>
      </c>
      <c r="K1099">
        <v>42.1</v>
      </c>
      <c r="L1099">
        <v>78.900000000000006</v>
      </c>
      <c r="M1099">
        <v>384</v>
      </c>
      <c r="N1099">
        <v>370</v>
      </c>
      <c r="O1099">
        <v>526</v>
      </c>
      <c r="P1099">
        <v>156</v>
      </c>
      <c r="Q1099">
        <v>288</v>
      </c>
      <c r="R1099">
        <v>550</v>
      </c>
      <c r="S1099">
        <v>262</v>
      </c>
      <c r="T1099">
        <v>280.2</v>
      </c>
      <c r="U1099">
        <v>413</v>
      </c>
      <c r="V1099">
        <v>417</v>
      </c>
      <c r="W1099">
        <v>500</v>
      </c>
      <c r="X1099">
        <v>2.79</v>
      </c>
    </row>
    <row r="1100" spans="1:24" hidden="1" outlineLevel="2" x14ac:dyDescent="0.25">
      <c r="A1100" t="str">
        <f t="shared" si="163"/>
        <v>AK8 - 1989</v>
      </c>
      <c r="B1100" t="s">
        <v>37</v>
      </c>
      <c r="C1100">
        <v>7</v>
      </c>
      <c r="D1100">
        <v>4</v>
      </c>
      <c r="E1100">
        <v>1989</v>
      </c>
      <c r="F1100">
        <v>23.8</v>
      </c>
      <c r="G1100">
        <v>7.5</v>
      </c>
      <c r="H1100">
        <v>6.9</v>
      </c>
      <c r="I1100">
        <v>0.6</v>
      </c>
      <c r="J1100">
        <v>8</v>
      </c>
      <c r="K1100">
        <v>9.4</v>
      </c>
      <c r="L1100">
        <v>17.8</v>
      </c>
      <c r="M1100">
        <v>365</v>
      </c>
      <c r="N1100">
        <v>352</v>
      </c>
      <c r="O1100">
        <v>519</v>
      </c>
      <c r="P1100">
        <v>167</v>
      </c>
      <c r="Q1100">
        <v>297</v>
      </c>
      <c r="R1100">
        <v>539</v>
      </c>
      <c r="S1100">
        <v>242</v>
      </c>
      <c r="T1100">
        <v>213.6</v>
      </c>
      <c r="U1100">
        <v>413</v>
      </c>
      <c r="V1100">
        <v>422</v>
      </c>
      <c r="W1100">
        <v>500</v>
      </c>
      <c r="X1100">
        <v>2.79</v>
      </c>
    </row>
    <row r="1101" spans="1:24" hidden="1" outlineLevel="2" x14ac:dyDescent="0.25">
      <c r="A1101" t="str">
        <f t="shared" si="163"/>
        <v>AK8 - 1989</v>
      </c>
      <c r="B1101" t="s">
        <v>37</v>
      </c>
      <c r="C1101">
        <v>8</v>
      </c>
      <c r="D1101">
        <v>4</v>
      </c>
      <c r="E1101">
        <v>1989</v>
      </c>
      <c r="F1101">
        <v>61.5</v>
      </c>
      <c r="G1101">
        <v>11.7</v>
      </c>
      <c r="H1101">
        <v>11.4</v>
      </c>
      <c r="I1101">
        <v>0.3</v>
      </c>
      <c r="J1101">
        <v>2</v>
      </c>
      <c r="K1101">
        <v>40.9</v>
      </c>
      <c r="L1101">
        <v>118.8</v>
      </c>
      <c r="M1101">
        <v>364</v>
      </c>
      <c r="N1101">
        <v>359</v>
      </c>
      <c r="O1101">
        <v>536</v>
      </c>
      <c r="P1101">
        <v>177</v>
      </c>
      <c r="Q1101">
        <v>279</v>
      </c>
      <c r="R1101">
        <v>536</v>
      </c>
      <c r="S1101">
        <v>257</v>
      </c>
      <c r="T1101">
        <v>200.4</v>
      </c>
      <c r="U1101">
        <v>427</v>
      </c>
      <c r="V1101">
        <v>430</v>
      </c>
      <c r="W1101">
        <v>500</v>
      </c>
      <c r="X1101">
        <v>2.79</v>
      </c>
    </row>
    <row r="1102" spans="1:24" hidden="1" outlineLevel="2" x14ac:dyDescent="0.25">
      <c r="A1102" t="str">
        <f t="shared" si="163"/>
        <v>AK8 - 1989</v>
      </c>
      <c r="B1102" t="s">
        <v>37</v>
      </c>
      <c r="C1102">
        <v>9</v>
      </c>
      <c r="D1102">
        <v>3</v>
      </c>
      <c r="E1102">
        <v>1989</v>
      </c>
      <c r="F1102">
        <v>58.6</v>
      </c>
      <c r="G1102">
        <v>21.9</v>
      </c>
      <c r="H1102">
        <v>21.3</v>
      </c>
      <c r="I1102">
        <v>0.6</v>
      </c>
      <c r="J1102">
        <v>2</v>
      </c>
      <c r="K1102">
        <v>65.599999999999994</v>
      </c>
      <c r="L1102">
        <v>107.9</v>
      </c>
      <c r="M1102">
        <v>332</v>
      </c>
      <c r="N1102">
        <v>327</v>
      </c>
      <c r="O1102">
        <v>518</v>
      </c>
      <c r="P1102">
        <v>191</v>
      </c>
      <c r="Q1102">
        <v>255</v>
      </c>
      <c r="R1102">
        <v>537</v>
      </c>
      <c r="S1102">
        <v>282</v>
      </c>
      <c r="T1102">
        <v>261.60000000000002</v>
      </c>
      <c r="U1102">
        <v>413</v>
      </c>
      <c r="V1102">
        <v>408</v>
      </c>
      <c r="W1102">
        <v>500</v>
      </c>
      <c r="X1102">
        <v>2.79</v>
      </c>
    </row>
    <row r="1103" spans="1:24" hidden="1" outlineLevel="2" x14ac:dyDescent="0.25">
      <c r="A1103" t="str">
        <f t="shared" si="163"/>
        <v>AK8 - 1989</v>
      </c>
      <c r="B1103" t="s">
        <v>37</v>
      </c>
      <c r="C1103">
        <v>10</v>
      </c>
      <c r="D1103">
        <v>4</v>
      </c>
      <c r="E1103">
        <v>1989</v>
      </c>
      <c r="F1103">
        <v>89.3</v>
      </c>
      <c r="G1103">
        <v>18</v>
      </c>
      <c r="H1103">
        <v>17.399999999999999</v>
      </c>
      <c r="I1103">
        <v>0.6</v>
      </c>
      <c r="J1103">
        <v>3</v>
      </c>
      <c r="K1103">
        <v>90.8</v>
      </c>
      <c r="L1103">
        <v>250.5</v>
      </c>
      <c r="M1103">
        <v>404</v>
      </c>
      <c r="N1103">
        <v>399</v>
      </c>
      <c r="O1103">
        <v>539</v>
      </c>
      <c r="P1103">
        <v>140</v>
      </c>
      <c r="Q1103">
        <v>327</v>
      </c>
      <c r="R1103">
        <v>550</v>
      </c>
      <c r="S1103">
        <v>223</v>
      </c>
      <c r="T1103">
        <v>237.9</v>
      </c>
      <c r="U1103">
        <v>419</v>
      </c>
      <c r="V1103">
        <v>416</v>
      </c>
      <c r="W1103">
        <v>500</v>
      </c>
      <c r="X1103">
        <v>2.79</v>
      </c>
    </row>
    <row r="1104" spans="1:24" outlineLevel="1" collapsed="1" x14ac:dyDescent="0.25">
      <c r="A1104" s="8" t="s">
        <v>119</v>
      </c>
      <c r="D1104">
        <f t="shared" ref="D1104:V1104" si="164">SUBTOTAL(1,D1094:D1103)</f>
        <v>3.9</v>
      </c>
      <c r="E1104">
        <f t="shared" si="164"/>
        <v>1989</v>
      </c>
      <c r="F1104">
        <f t="shared" si="164"/>
        <v>58.8</v>
      </c>
      <c r="G1104">
        <f t="shared" si="164"/>
        <v>16.260000000000002</v>
      </c>
      <c r="H1104">
        <f t="shared" si="164"/>
        <v>15.480000000000004</v>
      </c>
      <c r="I1104">
        <f t="shared" si="164"/>
        <v>0.77999999999999992</v>
      </c>
      <c r="J1104">
        <f t="shared" si="164"/>
        <v>4.8</v>
      </c>
      <c r="K1104">
        <f t="shared" si="164"/>
        <v>53.839999999999996</v>
      </c>
      <c r="L1104">
        <f t="shared" si="164"/>
        <v>116.73999999999998</v>
      </c>
      <c r="M1104">
        <f t="shared" si="164"/>
        <v>375.8</v>
      </c>
      <c r="N1104">
        <f t="shared" si="164"/>
        <v>367.8</v>
      </c>
      <c r="O1104">
        <f t="shared" si="164"/>
        <v>527.55555555555554</v>
      </c>
      <c r="P1104">
        <f t="shared" si="164"/>
        <v>158.11111111111111</v>
      </c>
      <c r="Q1104">
        <f t="shared" si="164"/>
        <v>298.3</v>
      </c>
      <c r="R1104">
        <f t="shared" si="164"/>
        <v>538</v>
      </c>
      <c r="S1104">
        <f t="shared" si="164"/>
        <v>239.7</v>
      </c>
      <c r="T1104">
        <f t="shared" si="164"/>
        <v>228.99</v>
      </c>
      <c r="U1104">
        <f t="shared" si="164"/>
        <v>413.9</v>
      </c>
      <c r="V1104">
        <f t="shared" si="164"/>
        <v>416.1</v>
      </c>
    </row>
    <row r="1105" spans="1:24" hidden="1" outlineLevel="2" x14ac:dyDescent="0.25">
      <c r="A1105" t="str">
        <f t="shared" ref="A1105:A1114" si="165">CONCATENATE(B1105," - ",E1105)</f>
        <v>AK8 - 1990</v>
      </c>
      <c r="B1105" t="s">
        <v>37</v>
      </c>
      <c r="C1105">
        <v>1</v>
      </c>
      <c r="D1105">
        <v>5</v>
      </c>
      <c r="E1105">
        <v>1990</v>
      </c>
      <c r="F1105">
        <v>73.599999999999994</v>
      </c>
      <c r="G1105">
        <v>12.3</v>
      </c>
      <c r="H1105">
        <v>11.1</v>
      </c>
      <c r="I1105">
        <v>1.2</v>
      </c>
      <c r="J1105">
        <v>9</v>
      </c>
      <c r="K1105">
        <v>52.1</v>
      </c>
      <c r="L1105">
        <v>170.2</v>
      </c>
      <c r="M1105">
        <v>355</v>
      </c>
      <c r="N1105">
        <v>337</v>
      </c>
      <c r="O1105">
        <v>520</v>
      </c>
      <c r="P1105">
        <v>183</v>
      </c>
      <c r="Q1105">
        <v>284</v>
      </c>
      <c r="R1105">
        <v>550</v>
      </c>
      <c r="S1105">
        <v>266</v>
      </c>
      <c r="T1105">
        <v>267.3</v>
      </c>
      <c r="U1105">
        <v>392</v>
      </c>
      <c r="V1105">
        <v>395</v>
      </c>
      <c r="W1105">
        <v>500</v>
      </c>
      <c r="X1105">
        <v>2.79</v>
      </c>
    </row>
    <row r="1106" spans="1:24" hidden="1" outlineLevel="2" x14ac:dyDescent="0.25">
      <c r="A1106" t="str">
        <f t="shared" si="165"/>
        <v>AK8 - 1990</v>
      </c>
      <c r="B1106" t="s">
        <v>37</v>
      </c>
      <c r="C1106">
        <v>2</v>
      </c>
      <c r="D1106">
        <v>5</v>
      </c>
      <c r="E1106">
        <v>1990</v>
      </c>
      <c r="F1106">
        <v>64.8</v>
      </c>
      <c r="G1106">
        <v>8.4</v>
      </c>
      <c r="H1106">
        <v>6.3</v>
      </c>
      <c r="I1106">
        <v>2.1</v>
      </c>
      <c r="J1106">
        <v>24</v>
      </c>
      <c r="K1106">
        <v>32</v>
      </c>
      <c r="L1106">
        <v>131.9</v>
      </c>
      <c r="M1106">
        <v>432</v>
      </c>
      <c r="N1106">
        <v>402</v>
      </c>
      <c r="O1106">
        <v>523</v>
      </c>
      <c r="P1106">
        <v>121</v>
      </c>
      <c r="Q1106">
        <v>349</v>
      </c>
      <c r="R1106">
        <v>550</v>
      </c>
      <c r="S1106">
        <v>201</v>
      </c>
      <c r="T1106">
        <v>143.1</v>
      </c>
      <c r="U1106">
        <v>431</v>
      </c>
      <c r="V1106">
        <v>434</v>
      </c>
      <c r="W1106">
        <v>500</v>
      </c>
      <c r="X1106">
        <v>2.79</v>
      </c>
    </row>
    <row r="1107" spans="1:24" hidden="1" outlineLevel="2" x14ac:dyDescent="0.25">
      <c r="A1107" t="str">
        <f t="shared" si="165"/>
        <v>AK8 - 1990</v>
      </c>
      <c r="B1107" t="s">
        <v>37</v>
      </c>
      <c r="C1107">
        <v>3</v>
      </c>
      <c r="D1107">
        <v>5</v>
      </c>
      <c r="E1107">
        <v>1990</v>
      </c>
      <c r="F1107">
        <v>88.5</v>
      </c>
      <c r="G1107">
        <v>12.3</v>
      </c>
      <c r="H1107">
        <v>10.5</v>
      </c>
      <c r="I1107">
        <v>1.8</v>
      </c>
      <c r="J1107">
        <v>14</v>
      </c>
      <c r="K1107">
        <v>63.6</v>
      </c>
      <c r="L1107">
        <v>246.1</v>
      </c>
      <c r="M1107">
        <v>390</v>
      </c>
      <c r="N1107">
        <v>367</v>
      </c>
      <c r="O1107">
        <v>521</v>
      </c>
      <c r="P1107">
        <v>154</v>
      </c>
      <c r="Q1107">
        <v>305</v>
      </c>
      <c r="R1107">
        <v>558</v>
      </c>
      <c r="S1107">
        <v>253</v>
      </c>
      <c r="T1107">
        <v>271.2</v>
      </c>
      <c r="U1107">
        <v>404</v>
      </c>
      <c r="V1107">
        <v>409</v>
      </c>
      <c r="W1107">
        <v>500</v>
      </c>
      <c r="X1107">
        <v>2.79</v>
      </c>
    </row>
    <row r="1108" spans="1:24" hidden="1" outlineLevel="2" x14ac:dyDescent="0.25">
      <c r="A1108" t="str">
        <f t="shared" si="165"/>
        <v>AK8 - 1990</v>
      </c>
      <c r="B1108" t="s">
        <v>37</v>
      </c>
      <c r="C1108">
        <v>4</v>
      </c>
      <c r="D1108">
        <v>5</v>
      </c>
      <c r="E1108">
        <v>1990</v>
      </c>
      <c r="F1108">
        <v>68.599999999999994</v>
      </c>
      <c r="G1108">
        <v>11.1</v>
      </c>
      <c r="H1108">
        <v>10.8</v>
      </c>
      <c r="I1108">
        <v>0.3</v>
      </c>
      <c r="J1108">
        <v>2</v>
      </c>
      <c r="K1108">
        <v>44</v>
      </c>
      <c r="L1108">
        <v>147.80000000000001</v>
      </c>
      <c r="M1108">
        <v>351</v>
      </c>
      <c r="N1108">
        <v>347</v>
      </c>
      <c r="O1108">
        <v>512</v>
      </c>
      <c r="P1108">
        <v>165</v>
      </c>
      <c r="Q1108">
        <v>299</v>
      </c>
      <c r="R1108">
        <v>512</v>
      </c>
      <c r="S1108">
        <v>213</v>
      </c>
      <c r="T1108">
        <v>217.8</v>
      </c>
      <c r="U1108">
        <v>383</v>
      </c>
      <c r="V1108">
        <v>385</v>
      </c>
      <c r="W1108">
        <v>500</v>
      </c>
      <c r="X1108">
        <v>2.79</v>
      </c>
    </row>
    <row r="1109" spans="1:24" hidden="1" outlineLevel="2" x14ac:dyDescent="0.25">
      <c r="A1109" t="str">
        <f t="shared" si="165"/>
        <v>AK8 - 1990</v>
      </c>
      <c r="B1109" t="s">
        <v>37</v>
      </c>
      <c r="C1109">
        <v>5</v>
      </c>
      <c r="D1109">
        <v>5</v>
      </c>
      <c r="E1109">
        <v>1990</v>
      </c>
      <c r="F1109">
        <v>65.3</v>
      </c>
      <c r="G1109">
        <v>12</v>
      </c>
      <c r="H1109">
        <v>11.1</v>
      </c>
      <c r="I1109">
        <v>0.9</v>
      </c>
      <c r="J1109">
        <v>7</v>
      </c>
      <c r="K1109">
        <v>44.7</v>
      </c>
      <c r="L1109">
        <v>134</v>
      </c>
      <c r="M1109">
        <v>408</v>
      </c>
      <c r="N1109">
        <v>396</v>
      </c>
      <c r="O1109">
        <v>558</v>
      </c>
      <c r="P1109">
        <v>162</v>
      </c>
      <c r="Q1109">
        <v>344</v>
      </c>
      <c r="R1109">
        <v>584</v>
      </c>
      <c r="S1109">
        <v>240</v>
      </c>
      <c r="T1109">
        <v>196.8</v>
      </c>
      <c r="U1109">
        <v>444</v>
      </c>
      <c r="V1109">
        <v>445</v>
      </c>
      <c r="W1109">
        <v>500</v>
      </c>
      <c r="X1109">
        <v>2.79</v>
      </c>
    </row>
    <row r="1110" spans="1:24" hidden="1" outlineLevel="2" x14ac:dyDescent="0.25">
      <c r="A1110" t="str">
        <f t="shared" si="165"/>
        <v>AK8 - 1990</v>
      </c>
      <c r="B1110" t="s">
        <v>37</v>
      </c>
      <c r="C1110">
        <v>6</v>
      </c>
      <c r="D1110">
        <v>5</v>
      </c>
      <c r="E1110">
        <v>1990</v>
      </c>
      <c r="F1110">
        <v>59.7</v>
      </c>
      <c r="G1110">
        <v>9.6</v>
      </c>
      <c r="H1110">
        <v>8.1</v>
      </c>
      <c r="I1110">
        <v>1.5</v>
      </c>
      <c r="J1110">
        <v>15</v>
      </c>
      <c r="K1110">
        <v>33.1</v>
      </c>
      <c r="L1110">
        <v>112</v>
      </c>
      <c r="M1110">
        <v>410</v>
      </c>
      <c r="N1110">
        <v>386</v>
      </c>
      <c r="O1110">
        <v>543</v>
      </c>
      <c r="P1110">
        <v>157</v>
      </c>
      <c r="Q1110">
        <v>335</v>
      </c>
      <c r="R1110">
        <v>588</v>
      </c>
      <c r="S1110">
        <v>253</v>
      </c>
      <c r="T1110">
        <v>280.2</v>
      </c>
      <c r="U1110">
        <v>413</v>
      </c>
      <c r="V1110">
        <v>417</v>
      </c>
      <c r="W1110">
        <v>500</v>
      </c>
      <c r="X1110">
        <v>2.79</v>
      </c>
    </row>
    <row r="1111" spans="1:24" hidden="1" outlineLevel="2" x14ac:dyDescent="0.25">
      <c r="A1111" t="str">
        <f t="shared" si="165"/>
        <v>AK8 - 1990</v>
      </c>
      <c r="B1111" t="s">
        <v>37</v>
      </c>
      <c r="C1111">
        <v>7</v>
      </c>
      <c r="D1111">
        <v>5</v>
      </c>
      <c r="E1111">
        <v>1990</v>
      </c>
      <c r="F1111">
        <v>31.9</v>
      </c>
      <c r="G1111">
        <v>8.1</v>
      </c>
      <c r="H1111">
        <v>6.9</v>
      </c>
      <c r="I1111">
        <v>1.2</v>
      </c>
      <c r="J1111">
        <v>14</v>
      </c>
      <c r="K1111">
        <v>14.2</v>
      </c>
      <c r="L1111">
        <v>32</v>
      </c>
      <c r="M1111">
        <v>401</v>
      </c>
      <c r="N1111">
        <v>379</v>
      </c>
      <c r="O1111">
        <v>528</v>
      </c>
      <c r="P1111">
        <v>149</v>
      </c>
      <c r="Q1111">
        <v>301</v>
      </c>
      <c r="R1111">
        <v>553</v>
      </c>
      <c r="S1111">
        <v>252</v>
      </c>
      <c r="T1111">
        <v>213.6</v>
      </c>
      <c r="U1111">
        <v>413</v>
      </c>
      <c r="V1111">
        <v>422</v>
      </c>
      <c r="W1111">
        <v>500</v>
      </c>
      <c r="X1111">
        <v>2.79</v>
      </c>
    </row>
    <row r="1112" spans="1:24" hidden="1" outlineLevel="2" x14ac:dyDescent="0.25">
      <c r="A1112" t="str">
        <f t="shared" si="165"/>
        <v>AK8 - 1990</v>
      </c>
      <c r="B1112" t="s">
        <v>37</v>
      </c>
      <c r="C1112">
        <v>8</v>
      </c>
      <c r="D1112">
        <v>5</v>
      </c>
      <c r="E1112">
        <v>1990</v>
      </c>
      <c r="F1112">
        <v>72.900000000000006</v>
      </c>
      <c r="G1112">
        <v>11.4</v>
      </c>
      <c r="H1112">
        <v>9</v>
      </c>
      <c r="I1112">
        <v>2.4</v>
      </c>
      <c r="J1112">
        <v>21</v>
      </c>
      <c r="K1112">
        <v>48.1</v>
      </c>
      <c r="L1112">
        <v>167</v>
      </c>
      <c r="M1112">
        <v>412</v>
      </c>
      <c r="N1112">
        <v>376</v>
      </c>
      <c r="O1112">
        <v>547</v>
      </c>
      <c r="P1112">
        <v>171</v>
      </c>
      <c r="Q1112">
        <v>326</v>
      </c>
      <c r="R1112">
        <v>583</v>
      </c>
      <c r="S1112">
        <v>257</v>
      </c>
      <c r="T1112">
        <v>200.4</v>
      </c>
      <c r="U1112">
        <v>427</v>
      </c>
      <c r="V1112">
        <v>430</v>
      </c>
      <c r="W1112">
        <v>500</v>
      </c>
      <c r="X1112">
        <v>2.79</v>
      </c>
    </row>
    <row r="1113" spans="1:24" hidden="1" outlineLevel="2" x14ac:dyDescent="0.25">
      <c r="A1113" t="str">
        <f t="shared" si="165"/>
        <v>AK8 - 1990</v>
      </c>
      <c r="B1113" t="s">
        <v>37</v>
      </c>
      <c r="C1113">
        <v>9</v>
      </c>
      <c r="D1113">
        <v>4</v>
      </c>
      <c r="E1113">
        <v>1990</v>
      </c>
      <c r="F1113">
        <v>92.5</v>
      </c>
      <c r="G1113">
        <v>33.9</v>
      </c>
      <c r="H1113">
        <v>30.9</v>
      </c>
      <c r="I1113">
        <v>3</v>
      </c>
      <c r="J1113">
        <v>8</v>
      </c>
      <c r="K1113">
        <v>160.9</v>
      </c>
      <c r="L1113">
        <v>268.8</v>
      </c>
      <c r="M1113">
        <v>375</v>
      </c>
      <c r="N1113">
        <v>360</v>
      </c>
      <c r="O1113">
        <v>536</v>
      </c>
      <c r="P1113">
        <v>176</v>
      </c>
      <c r="Q1113">
        <v>274</v>
      </c>
      <c r="R1113">
        <v>569</v>
      </c>
      <c r="S1113">
        <v>295</v>
      </c>
      <c r="T1113">
        <v>261.60000000000002</v>
      </c>
      <c r="U1113">
        <v>413</v>
      </c>
      <c r="V1113">
        <v>408</v>
      </c>
      <c r="W1113">
        <v>500</v>
      </c>
      <c r="X1113">
        <v>2.79</v>
      </c>
    </row>
    <row r="1114" spans="1:24" hidden="1" outlineLevel="2" x14ac:dyDescent="0.25">
      <c r="A1114" t="str">
        <f t="shared" si="165"/>
        <v>AK8 - 1990</v>
      </c>
      <c r="B1114" t="s">
        <v>37</v>
      </c>
      <c r="C1114">
        <v>10</v>
      </c>
      <c r="D1114">
        <v>5</v>
      </c>
      <c r="E1114">
        <v>1990</v>
      </c>
      <c r="F1114">
        <v>101.3</v>
      </c>
      <c r="G1114">
        <v>12</v>
      </c>
      <c r="H1114">
        <v>9.9</v>
      </c>
      <c r="I1114">
        <v>2.1</v>
      </c>
      <c r="J1114">
        <v>17</v>
      </c>
      <c r="K1114">
        <v>71.900000000000006</v>
      </c>
      <c r="L1114">
        <v>322.39999999999998</v>
      </c>
      <c r="M1114">
        <v>412</v>
      </c>
      <c r="N1114">
        <v>387</v>
      </c>
      <c r="O1114">
        <v>530</v>
      </c>
      <c r="P1114">
        <v>143</v>
      </c>
      <c r="Q1114">
        <v>318</v>
      </c>
      <c r="R1114">
        <v>564</v>
      </c>
      <c r="S1114">
        <v>246</v>
      </c>
      <c r="T1114">
        <v>237.9</v>
      </c>
      <c r="U1114">
        <v>419</v>
      </c>
      <c r="V1114">
        <v>416</v>
      </c>
      <c r="W1114">
        <v>500</v>
      </c>
      <c r="X1114">
        <v>2.79</v>
      </c>
    </row>
    <row r="1115" spans="1:24" outlineLevel="1" collapsed="1" x14ac:dyDescent="0.25">
      <c r="A1115" s="8" t="s">
        <v>120</v>
      </c>
      <c r="D1115">
        <f t="shared" ref="D1115:V1115" si="166">SUBTOTAL(1,D1105:D1114)</f>
        <v>4.9000000000000004</v>
      </c>
      <c r="E1115">
        <f t="shared" si="166"/>
        <v>1990</v>
      </c>
      <c r="F1115">
        <f t="shared" si="166"/>
        <v>71.91</v>
      </c>
      <c r="G1115">
        <f t="shared" si="166"/>
        <v>13.11</v>
      </c>
      <c r="H1115">
        <f t="shared" si="166"/>
        <v>11.460000000000003</v>
      </c>
      <c r="I1115">
        <f t="shared" si="166"/>
        <v>1.65</v>
      </c>
      <c r="J1115">
        <f t="shared" si="166"/>
        <v>13.1</v>
      </c>
      <c r="K1115">
        <f t="shared" si="166"/>
        <v>56.46</v>
      </c>
      <c r="L1115">
        <f t="shared" si="166"/>
        <v>173.21999999999997</v>
      </c>
      <c r="M1115">
        <f t="shared" si="166"/>
        <v>394.6</v>
      </c>
      <c r="N1115">
        <f t="shared" si="166"/>
        <v>373.7</v>
      </c>
      <c r="O1115">
        <f t="shared" si="166"/>
        <v>531.79999999999995</v>
      </c>
      <c r="P1115">
        <f t="shared" si="166"/>
        <v>158.1</v>
      </c>
      <c r="Q1115">
        <f t="shared" si="166"/>
        <v>313.5</v>
      </c>
      <c r="R1115">
        <f t="shared" si="166"/>
        <v>561.1</v>
      </c>
      <c r="S1115">
        <f t="shared" si="166"/>
        <v>247.6</v>
      </c>
      <c r="T1115">
        <f t="shared" si="166"/>
        <v>228.99</v>
      </c>
      <c r="U1115">
        <f t="shared" si="166"/>
        <v>413.9</v>
      </c>
      <c r="V1115">
        <f t="shared" si="166"/>
        <v>416.1</v>
      </c>
    </row>
    <row r="1116" spans="1:24" hidden="1" outlineLevel="2" x14ac:dyDescent="0.25">
      <c r="A1116" t="str">
        <f t="shared" ref="A1116:A1125" si="167">CONCATENATE(B1116," - ",E1116)</f>
        <v>AK8 - 1991</v>
      </c>
      <c r="B1116" t="s">
        <v>37</v>
      </c>
      <c r="C1116">
        <v>1</v>
      </c>
      <c r="D1116">
        <v>6</v>
      </c>
      <c r="E1116">
        <v>1991</v>
      </c>
      <c r="F1116">
        <v>90.1</v>
      </c>
      <c r="G1116">
        <v>16.5</v>
      </c>
      <c r="H1116">
        <v>15.6</v>
      </c>
      <c r="I1116">
        <v>0.9</v>
      </c>
      <c r="J1116">
        <v>5</v>
      </c>
      <c r="K1116">
        <v>84.9</v>
      </c>
      <c r="L1116">
        <v>255</v>
      </c>
      <c r="M1116">
        <v>347</v>
      </c>
      <c r="N1116">
        <v>337</v>
      </c>
      <c r="O1116">
        <v>521</v>
      </c>
      <c r="P1116">
        <v>184</v>
      </c>
      <c r="Q1116">
        <v>267</v>
      </c>
      <c r="R1116">
        <v>544</v>
      </c>
      <c r="S1116">
        <v>277</v>
      </c>
      <c r="T1116">
        <v>267.3</v>
      </c>
      <c r="U1116">
        <v>392</v>
      </c>
      <c r="V1116">
        <v>395</v>
      </c>
      <c r="W1116">
        <v>500</v>
      </c>
      <c r="X1116">
        <v>2.79</v>
      </c>
    </row>
    <row r="1117" spans="1:24" hidden="1" outlineLevel="2" x14ac:dyDescent="0.25">
      <c r="A1117" t="str">
        <f t="shared" si="167"/>
        <v>AK8 - 1991</v>
      </c>
      <c r="B1117" t="s">
        <v>37</v>
      </c>
      <c r="C1117">
        <v>2</v>
      </c>
      <c r="D1117">
        <v>6</v>
      </c>
      <c r="E1117">
        <v>1991</v>
      </c>
      <c r="F1117">
        <v>74.400000000000006</v>
      </c>
      <c r="G1117">
        <v>9.6</v>
      </c>
      <c r="H1117">
        <v>8.1</v>
      </c>
      <c r="I1117">
        <v>1.5</v>
      </c>
      <c r="J1117">
        <v>15</v>
      </c>
      <c r="K1117">
        <v>42</v>
      </c>
      <c r="L1117">
        <v>173.9</v>
      </c>
      <c r="M1117">
        <v>434</v>
      </c>
      <c r="N1117">
        <v>416</v>
      </c>
      <c r="O1117">
        <v>536</v>
      </c>
      <c r="P1117">
        <v>120</v>
      </c>
      <c r="Q1117">
        <v>357</v>
      </c>
      <c r="R1117">
        <v>553</v>
      </c>
      <c r="S1117">
        <v>196</v>
      </c>
      <c r="T1117">
        <v>143.1</v>
      </c>
      <c r="U1117">
        <v>431</v>
      </c>
      <c r="V1117">
        <v>434</v>
      </c>
      <c r="W1117">
        <v>500</v>
      </c>
      <c r="X1117">
        <v>2.79</v>
      </c>
    </row>
    <row r="1118" spans="1:24" hidden="1" outlineLevel="2" x14ac:dyDescent="0.25">
      <c r="A1118" t="str">
        <f t="shared" si="167"/>
        <v>AK8 - 1991</v>
      </c>
      <c r="B1118" t="s">
        <v>37</v>
      </c>
      <c r="C1118">
        <v>3</v>
      </c>
      <c r="D1118">
        <v>6</v>
      </c>
      <c r="E1118">
        <v>1991</v>
      </c>
      <c r="F1118">
        <v>96.9</v>
      </c>
      <c r="G1118">
        <v>8.4</v>
      </c>
      <c r="H1118">
        <v>7.5</v>
      </c>
      <c r="I1118">
        <v>0.9</v>
      </c>
      <c r="J1118">
        <v>10</v>
      </c>
      <c r="K1118">
        <v>48.9</v>
      </c>
      <c r="L1118">
        <v>295</v>
      </c>
      <c r="M1118">
        <v>385</v>
      </c>
      <c r="N1118">
        <v>366</v>
      </c>
      <c r="O1118">
        <v>539</v>
      </c>
      <c r="P1118">
        <v>173</v>
      </c>
      <c r="Q1118">
        <v>283</v>
      </c>
      <c r="R1118">
        <v>560</v>
      </c>
      <c r="S1118">
        <v>277</v>
      </c>
      <c r="T1118">
        <v>271.2</v>
      </c>
      <c r="U1118">
        <v>404</v>
      </c>
      <c r="V1118">
        <v>409</v>
      </c>
      <c r="W1118">
        <v>500</v>
      </c>
      <c r="X1118">
        <v>2.79</v>
      </c>
    </row>
    <row r="1119" spans="1:24" hidden="1" outlineLevel="2" x14ac:dyDescent="0.25">
      <c r="A1119" t="str">
        <f t="shared" si="167"/>
        <v>AK8 - 1991</v>
      </c>
      <c r="B1119" t="s">
        <v>37</v>
      </c>
      <c r="C1119">
        <v>4</v>
      </c>
      <c r="D1119">
        <v>6</v>
      </c>
      <c r="E1119">
        <v>1991</v>
      </c>
      <c r="F1119">
        <v>76.099999999999994</v>
      </c>
      <c r="G1119">
        <v>7.5</v>
      </c>
      <c r="H1119">
        <v>6.6</v>
      </c>
      <c r="I1119">
        <v>0.9</v>
      </c>
      <c r="J1119">
        <v>12</v>
      </c>
      <c r="K1119">
        <v>34.1</v>
      </c>
      <c r="L1119">
        <v>181.9</v>
      </c>
      <c r="M1119">
        <v>384</v>
      </c>
      <c r="N1119">
        <v>360</v>
      </c>
      <c r="O1119">
        <v>562</v>
      </c>
      <c r="P1119">
        <v>202</v>
      </c>
      <c r="Q1119">
        <v>287</v>
      </c>
      <c r="R1119">
        <v>605</v>
      </c>
      <c r="S1119">
        <v>318</v>
      </c>
      <c r="T1119">
        <v>217.8</v>
      </c>
      <c r="U1119">
        <v>383</v>
      </c>
      <c r="V1119">
        <v>385</v>
      </c>
      <c r="W1119">
        <v>500</v>
      </c>
      <c r="X1119">
        <v>2.79</v>
      </c>
    </row>
    <row r="1120" spans="1:24" hidden="1" outlineLevel="2" x14ac:dyDescent="0.25">
      <c r="A1120" t="str">
        <f t="shared" si="167"/>
        <v>AK8 - 1991</v>
      </c>
      <c r="B1120" t="s">
        <v>37</v>
      </c>
      <c r="C1120">
        <v>5</v>
      </c>
      <c r="D1120">
        <v>6</v>
      </c>
      <c r="E1120">
        <v>1991</v>
      </c>
      <c r="F1120">
        <v>76.7</v>
      </c>
      <c r="G1120">
        <v>11.4</v>
      </c>
      <c r="H1120">
        <v>9.6</v>
      </c>
      <c r="I1120">
        <v>1.8</v>
      </c>
      <c r="J1120">
        <v>15</v>
      </c>
      <c r="K1120">
        <v>50.9</v>
      </c>
      <c r="L1120">
        <v>184.8</v>
      </c>
      <c r="M1120">
        <v>419</v>
      </c>
      <c r="N1120">
        <v>392</v>
      </c>
      <c r="O1120">
        <v>562</v>
      </c>
      <c r="P1120">
        <v>170</v>
      </c>
      <c r="Q1120">
        <v>358</v>
      </c>
      <c r="R1120">
        <v>601</v>
      </c>
      <c r="S1120">
        <v>243</v>
      </c>
      <c r="T1120">
        <v>196.8</v>
      </c>
      <c r="U1120">
        <v>444</v>
      </c>
      <c r="V1120">
        <v>445</v>
      </c>
      <c r="W1120">
        <v>500</v>
      </c>
      <c r="X1120">
        <v>2.79</v>
      </c>
    </row>
    <row r="1121" spans="1:24" hidden="1" outlineLevel="2" x14ac:dyDescent="0.25">
      <c r="A1121" t="str">
        <f t="shared" si="167"/>
        <v>AK8 - 1991</v>
      </c>
      <c r="B1121" t="s">
        <v>37</v>
      </c>
      <c r="C1121">
        <v>6</v>
      </c>
      <c r="D1121">
        <v>6</v>
      </c>
      <c r="E1121">
        <v>1991</v>
      </c>
      <c r="F1121">
        <v>71.099999999999994</v>
      </c>
      <c r="G1121">
        <v>11.4</v>
      </c>
      <c r="H1121">
        <v>9</v>
      </c>
      <c r="I1121">
        <v>2.4</v>
      </c>
      <c r="J1121">
        <v>21</v>
      </c>
      <c r="K1121">
        <v>46.8</v>
      </c>
      <c r="L1121">
        <v>158.80000000000001</v>
      </c>
      <c r="M1121">
        <v>410</v>
      </c>
      <c r="N1121">
        <v>373</v>
      </c>
      <c r="O1121">
        <v>547</v>
      </c>
      <c r="P1121">
        <v>174</v>
      </c>
      <c r="Q1121">
        <v>320</v>
      </c>
      <c r="R1121">
        <v>596</v>
      </c>
      <c r="S1121">
        <v>276</v>
      </c>
      <c r="T1121">
        <v>280.2</v>
      </c>
      <c r="U1121">
        <v>413</v>
      </c>
      <c r="V1121">
        <v>417</v>
      </c>
      <c r="W1121">
        <v>500</v>
      </c>
      <c r="X1121">
        <v>2.79</v>
      </c>
    </row>
    <row r="1122" spans="1:24" hidden="1" outlineLevel="2" x14ac:dyDescent="0.25">
      <c r="A1122" t="str">
        <f t="shared" si="167"/>
        <v>AK8 - 1991</v>
      </c>
      <c r="B1122" t="s">
        <v>37</v>
      </c>
      <c r="C1122">
        <v>7</v>
      </c>
      <c r="D1122">
        <v>6</v>
      </c>
      <c r="E1122">
        <v>1991</v>
      </c>
      <c r="F1122">
        <v>41.2</v>
      </c>
      <c r="G1122">
        <v>9.3000000000000007</v>
      </c>
      <c r="H1122">
        <v>7.8</v>
      </c>
      <c r="I1122">
        <v>1.5</v>
      </c>
      <c r="J1122">
        <v>16</v>
      </c>
      <c r="K1122">
        <v>21.4</v>
      </c>
      <c r="L1122">
        <v>53.3</v>
      </c>
      <c r="M1122">
        <v>418</v>
      </c>
      <c r="N1122">
        <v>394</v>
      </c>
      <c r="O1122">
        <v>547</v>
      </c>
      <c r="P1122">
        <v>153</v>
      </c>
      <c r="Q1122">
        <v>360</v>
      </c>
      <c r="R1122">
        <v>571</v>
      </c>
      <c r="S1122">
        <v>211</v>
      </c>
      <c r="T1122">
        <v>213.6</v>
      </c>
      <c r="U1122">
        <v>413</v>
      </c>
      <c r="V1122">
        <v>422</v>
      </c>
      <c r="W1122">
        <v>500</v>
      </c>
      <c r="X1122">
        <v>2.79</v>
      </c>
    </row>
    <row r="1123" spans="1:24" hidden="1" outlineLevel="2" x14ac:dyDescent="0.25">
      <c r="A1123" t="str">
        <f t="shared" si="167"/>
        <v>AK8 - 1991</v>
      </c>
      <c r="B1123" t="s">
        <v>37</v>
      </c>
      <c r="C1123">
        <v>8</v>
      </c>
      <c r="D1123">
        <v>6</v>
      </c>
      <c r="E1123">
        <v>1991</v>
      </c>
      <c r="F1123">
        <v>85.8</v>
      </c>
      <c r="G1123">
        <v>12.9</v>
      </c>
      <c r="H1123">
        <v>11.4</v>
      </c>
      <c r="I1123">
        <v>1.5</v>
      </c>
      <c r="J1123">
        <v>11</v>
      </c>
      <c r="K1123">
        <v>64.3</v>
      </c>
      <c r="L1123">
        <v>231.3</v>
      </c>
      <c r="M1123">
        <v>403</v>
      </c>
      <c r="N1123">
        <v>384</v>
      </c>
      <c r="O1123">
        <v>548</v>
      </c>
      <c r="P1123">
        <v>164</v>
      </c>
      <c r="Q1123">
        <v>321</v>
      </c>
      <c r="R1123">
        <v>582</v>
      </c>
      <c r="S1123">
        <v>261</v>
      </c>
      <c r="T1123">
        <v>200.4</v>
      </c>
      <c r="U1123">
        <v>427</v>
      </c>
      <c r="V1123">
        <v>430</v>
      </c>
      <c r="W1123">
        <v>500</v>
      </c>
      <c r="X1123">
        <v>2.79</v>
      </c>
    </row>
    <row r="1124" spans="1:24" hidden="1" outlineLevel="2" x14ac:dyDescent="0.25">
      <c r="A1124" t="str">
        <f t="shared" si="167"/>
        <v>AK8 - 1991</v>
      </c>
      <c r="B1124" t="s">
        <v>37</v>
      </c>
      <c r="C1124">
        <v>9</v>
      </c>
      <c r="D1124">
        <v>5</v>
      </c>
      <c r="E1124">
        <v>1991</v>
      </c>
      <c r="F1124">
        <v>107.5</v>
      </c>
      <c r="G1124">
        <v>15</v>
      </c>
      <c r="H1124">
        <v>13.5</v>
      </c>
      <c r="I1124">
        <v>1.5</v>
      </c>
      <c r="J1124">
        <v>9</v>
      </c>
      <c r="K1124">
        <v>94.2</v>
      </c>
      <c r="L1124">
        <v>363.1</v>
      </c>
      <c r="M1124">
        <v>395</v>
      </c>
      <c r="N1124">
        <v>376</v>
      </c>
      <c r="O1124">
        <v>567</v>
      </c>
      <c r="P1124">
        <v>191</v>
      </c>
      <c r="Q1124">
        <v>321</v>
      </c>
      <c r="R1124">
        <v>584</v>
      </c>
      <c r="S1124">
        <v>263</v>
      </c>
      <c r="T1124">
        <v>261.60000000000002</v>
      </c>
      <c r="U1124">
        <v>413</v>
      </c>
      <c r="V1124">
        <v>408</v>
      </c>
      <c r="W1124">
        <v>500</v>
      </c>
      <c r="X1124">
        <v>2.79</v>
      </c>
    </row>
    <row r="1125" spans="1:24" hidden="1" outlineLevel="2" x14ac:dyDescent="0.25">
      <c r="A1125" t="str">
        <f t="shared" si="167"/>
        <v>AK8 - 1991</v>
      </c>
      <c r="B1125" t="s">
        <v>37</v>
      </c>
      <c r="C1125">
        <v>10</v>
      </c>
      <c r="D1125">
        <v>6</v>
      </c>
      <c r="E1125">
        <v>1991</v>
      </c>
      <c r="F1125">
        <v>115.1</v>
      </c>
      <c r="G1125">
        <v>13.8</v>
      </c>
      <c r="H1125">
        <v>12.9</v>
      </c>
      <c r="I1125">
        <v>0.9</v>
      </c>
      <c r="J1125">
        <v>6</v>
      </c>
      <c r="K1125">
        <v>93.8</v>
      </c>
      <c r="L1125">
        <v>416.2</v>
      </c>
      <c r="M1125">
        <v>407</v>
      </c>
      <c r="N1125">
        <v>398</v>
      </c>
      <c r="O1125">
        <v>531</v>
      </c>
      <c r="P1125">
        <v>133</v>
      </c>
      <c r="Q1125">
        <v>339</v>
      </c>
      <c r="R1125">
        <v>541</v>
      </c>
      <c r="S1125">
        <v>202</v>
      </c>
      <c r="T1125">
        <v>237.9</v>
      </c>
      <c r="U1125">
        <v>419</v>
      </c>
      <c r="V1125">
        <v>416</v>
      </c>
      <c r="W1125">
        <v>500</v>
      </c>
      <c r="X1125">
        <v>2.79</v>
      </c>
    </row>
    <row r="1126" spans="1:24" outlineLevel="1" collapsed="1" x14ac:dyDescent="0.25">
      <c r="A1126" s="8" t="s">
        <v>121</v>
      </c>
      <c r="D1126">
        <f t="shared" ref="D1126:V1126" si="168">SUBTOTAL(1,D1116:D1125)</f>
        <v>5.9</v>
      </c>
      <c r="E1126">
        <f t="shared" si="168"/>
        <v>1991</v>
      </c>
      <c r="F1126">
        <f t="shared" si="168"/>
        <v>83.49</v>
      </c>
      <c r="G1126">
        <f t="shared" si="168"/>
        <v>11.58</v>
      </c>
      <c r="H1126">
        <f t="shared" si="168"/>
        <v>10.200000000000001</v>
      </c>
      <c r="I1126">
        <f t="shared" si="168"/>
        <v>1.3800000000000001</v>
      </c>
      <c r="J1126">
        <f t="shared" si="168"/>
        <v>12</v>
      </c>
      <c r="K1126">
        <f t="shared" si="168"/>
        <v>58.129999999999995</v>
      </c>
      <c r="L1126">
        <f t="shared" si="168"/>
        <v>231.32999999999998</v>
      </c>
      <c r="M1126">
        <f t="shared" si="168"/>
        <v>400.2</v>
      </c>
      <c r="N1126">
        <f t="shared" si="168"/>
        <v>379.6</v>
      </c>
      <c r="O1126">
        <f t="shared" si="168"/>
        <v>546</v>
      </c>
      <c r="P1126">
        <f t="shared" si="168"/>
        <v>166.4</v>
      </c>
      <c r="Q1126">
        <f t="shared" si="168"/>
        <v>321.3</v>
      </c>
      <c r="R1126">
        <f t="shared" si="168"/>
        <v>573.70000000000005</v>
      </c>
      <c r="S1126">
        <f t="shared" si="168"/>
        <v>252.4</v>
      </c>
      <c r="T1126">
        <f t="shared" si="168"/>
        <v>228.99</v>
      </c>
      <c r="U1126">
        <f t="shared" si="168"/>
        <v>413.9</v>
      </c>
      <c r="V1126">
        <f t="shared" si="168"/>
        <v>416.1</v>
      </c>
    </row>
    <row r="1127" spans="1:24" hidden="1" outlineLevel="2" x14ac:dyDescent="0.25">
      <c r="A1127" t="str">
        <f t="shared" ref="A1127:A1136" si="169">CONCATENATE(B1127," - ",E1127)</f>
        <v>AK8 - 1992</v>
      </c>
      <c r="B1127" t="s">
        <v>37</v>
      </c>
      <c r="C1127">
        <v>1</v>
      </c>
      <c r="D1127">
        <v>7</v>
      </c>
      <c r="E1127">
        <v>1992</v>
      </c>
      <c r="F1127">
        <v>108.4</v>
      </c>
      <c r="G1127">
        <v>18.3</v>
      </c>
      <c r="H1127">
        <v>16.5</v>
      </c>
      <c r="I1127">
        <v>1.8</v>
      </c>
      <c r="J1127">
        <v>9</v>
      </c>
      <c r="K1127">
        <v>114.1</v>
      </c>
      <c r="L1127">
        <v>369.2</v>
      </c>
      <c r="M1127">
        <v>374</v>
      </c>
      <c r="N1127">
        <v>357</v>
      </c>
      <c r="O1127">
        <v>525</v>
      </c>
      <c r="P1127">
        <v>168</v>
      </c>
      <c r="Q1127">
        <v>299</v>
      </c>
      <c r="R1127">
        <v>549</v>
      </c>
      <c r="S1127">
        <v>250</v>
      </c>
      <c r="T1127">
        <v>267.3</v>
      </c>
      <c r="U1127">
        <v>392</v>
      </c>
      <c r="V1127">
        <v>395</v>
      </c>
      <c r="W1127">
        <v>500</v>
      </c>
      <c r="X1127">
        <v>2.79</v>
      </c>
    </row>
    <row r="1128" spans="1:24" hidden="1" outlineLevel="2" x14ac:dyDescent="0.25">
      <c r="A1128" t="str">
        <f t="shared" si="169"/>
        <v>AK8 - 1992</v>
      </c>
      <c r="B1128" t="s">
        <v>37</v>
      </c>
      <c r="C1128">
        <v>2</v>
      </c>
      <c r="D1128">
        <v>7</v>
      </c>
      <c r="E1128">
        <v>1992</v>
      </c>
      <c r="F1128">
        <v>82.8</v>
      </c>
      <c r="G1128">
        <v>8.4</v>
      </c>
      <c r="H1128">
        <v>6.3</v>
      </c>
      <c r="I1128">
        <v>2.1</v>
      </c>
      <c r="J1128">
        <v>24</v>
      </c>
      <c r="K1128">
        <v>41.5</v>
      </c>
      <c r="L1128">
        <v>215.4</v>
      </c>
      <c r="M1128">
        <v>460</v>
      </c>
      <c r="N1128">
        <v>433</v>
      </c>
      <c r="O1128">
        <v>540</v>
      </c>
      <c r="P1128">
        <v>107</v>
      </c>
      <c r="Q1128">
        <v>397</v>
      </c>
      <c r="R1128">
        <v>570</v>
      </c>
      <c r="S1128">
        <v>173</v>
      </c>
      <c r="T1128">
        <v>143.1</v>
      </c>
      <c r="U1128">
        <v>431</v>
      </c>
      <c r="V1128">
        <v>434</v>
      </c>
      <c r="W1128">
        <v>500</v>
      </c>
      <c r="X1128">
        <v>2.79</v>
      </c>
    </row>
    <row r="1129" spans="1:24" hidden="1" outlineLevel="2" x14ac:dyDescent="0.25">
      <c r="A1129" t="str">
        <f t="shared" si="169"/>
        <v>AK8 - 1992</v>
      </c>
      <c r="B1129" t="s">
        <v>37</v>
      </c>
      <c r="C1129">
        <v>3</v>
      </c>
      <c r="D1129">
        <v>7</v>
      </c>
      <c r="E1129">
        <v>1992</v>
      </c>
      <c r="F1129">
        <v>108.3</v>
      </c>
      <c r="G1129">
        <v>11.4</v>
      </c>
      <c r="H1129">
        <v>9.9</v>
      </c>
      <c r="I1129">
        <v>1.5</v>
      </c>
      <c r="J1129">
        <v>13</v>
      </c>
      <c r="K1129">
        <v>73.5</v>
      </c>
      <c r="L1129">
        <v>368.5</v>
      </c>
      <c r="M1129">
        <v>405</v>
      </c>
      <c r="N1129">
        <v>386</v>
      </c>
      <c r="O1129">
        <v>535</v>
      </c>
      <c r="P1129">
        <v>149</v>
      </c>
      <c r="Q1129">
        <v>346</v>
      </c>
      <c r="R1129">
        <v>566</v>
      </c>
      <c r="S1129">
        <v>220</v>
      </c>
      <c r="T1129">
        <v>271.2</v>
      </c>
      <c r="U1129">
        <v>404</v>
      </c>
      <c r="V1129">
        <v>409</v>
      </c>
      <c r="W1129">
        <v>500</v>
      </c>
      <c r="X1129">
        <v>2.79</v>
      </c>
    </row>
    <row r="1130" spans="1:24" hidden="1" outlineLevel="2" x14ac:dyDescent="0.25">
      <c r="A1130" t="str">
        <f t="shared" si="169"/>
        <v>AK8 - 1992</v>
      </c>
      <c r="B1130" t="s">
        <v>37</v>
      </c>
      <c r="C1130">
        <v>4</v>
      </c>
      <c r="D1130">
        <v>7</v>
      </c>
      <c r="E1130">
        <v>1992</v>
      </c>
      <c r="F1130">
        <v>84.8</v>
      </c>
      <c r="G1130">
        <v>8.6999999999999993</v>
      </c>
      <c r="H1130">
        <v>7.5</v>
      </c>
      <c r="I1130">
        <v>1.2</v>
      </c>
      <c r="J1130">
        <v>13</v>
      </c>
      <c r="K1130">
        <v>44</v>
      </c>
      <c r="L1130">
        <v>225.9</v>
      </c>
      <c r="M1130">
        <v>399</v>
      </c>
      <c r="N1130">
        <v>378</v>
      </c>
      <c r="O1130">
        <v>531</v>
      </c>
      <c r="P1130">
        <v>153</v>
      </c>
      <c r="Q1130">
        <v>332</v>
      </c>
      <c r="R1130">
        <v>554</v>
      </c>
      <c r="S1130">
        <v>222</v>
      </c>
      <c r="T1130">
        <v>217.8</v>
      </c>
      <c r="U1130">
        <v>383</v>
      </c>
      <c r="V1130">
        <v>385</v>
      </c>
      <c r="W1130">
        <v>500</v>
      </c>
      <c r="X1130">
        <v>2.79</v>
      </c>
    </row>
    <row r="1131" spans="1:24" hidden="1" outlineLevel="2" x14ac:dyDescent="0.25">
      <c r="A1131" t="str">
        <f t="shared" si="169"/>
        <v>AK8 - 1992</v>
      </c>
      <c r="B1131" t="s">
        <v>37</v>
      </c>
      <c r="C1131">
        <v>5</v>
      </c>
      <c r="D1131">
        <v>7</v>
      </c>
      <c r="E1131">
        <v>1992</v>
      </c>
      <c r="F1131">
        <v>86.3</v>
      </c>
      <c r="G1131">
        <v>9.6</v>
      </c>
      <c r="H1131">
        <v>8.4</v>
      </c>
      <c r="I1131">
        <v>1.2</v>
      </c>
      <c r="J1131">
        <v>12</v>
      </c>
      <c r="K1131">
        <v>49.2</v>
      </c>
      <c r="L1131">
        <v>234</v>
      </c>
      <c r="M1131">
        <v>409</v>
      </c>
      <c r="N1131">
        <v>393</v>
      </c>
      <c r="O1131">
        <v>518</v>
      </c>
      <c r="P1131">
        <v>125</v>
      </c>
      <c r="Q1131">
        <v>349</v>
      </c>
      <c r="R1131">
        <v>546</v>
      </c>
      <c r="S1131">
        <v>197</v>
      </c>
      <c r="T1131">
        <v>196.8</v>
      </c>
      <c r="U1131">
        <v>444</v>
      </c>
      <c r="V1131">
        <v>445</v>
      </c>
      <c r="W1131">
        <v>500</v>
      </c>
      <c r="X1131">
        <v>2.79</v>
      </c>
    </row>
    <row r="1132" spans="1:24" hidden="1" outlineLevel="2" x14ac:dyDescent="0.25">
      <c r="A1132" t="str">
        <f t="shared" si="169"/>
        <v>AK8 - 1992</v>
      </c>
      <c r="B1132" t="s">
        <v>37</v>
      </c>
      <c r="C1132">
        <v>6</v>
      </c>
      <c r="D1132">
        <v>7</v>
      </c>
      <c r="E1132">
        <v>1992</v>
      </c>
      <c r="F1132">
        <v>85.8</v>
      </c>
      <c r="G1132">
        <v>14.7</v>
      </c>
      <c r="H1132">
        <v>12</v>
      </c>
      <c r="I1132">
        <v>2.7</v>
      </c>
      <c r="J1132">
        <v>18</v>
      </c>
      <c r="K1132">
        <v>72.5</v>
      </c>
      <c r="L1132">
        <v>231.3</v>
      </c>
      <c r="M1132">
        <v>420</v>
      </c>
      <c r="N1132">
        <v>393</v>
      </c>
      <c r="O1132">
        <v>538</v>
      </c>
      <c r="P1132">
        <v>145</v>
      </c>
      <c r="Q1132">
        <v>339</v>
      </c>
      <c r="R1132">
        <v>562</v>
      </c>
      <c r="S1132">
        <v>223</v>
      </c>
      <c r="T1132">
        <v>280.2</v>
      </c>
      <c r="U1132">
        <v>413</v>
      </c>
      <c r="V1132">
        <v>417</v>
      </c>
      <c r="W1132">
        <v>500</v>
      </c>
      <c r="X1132">
        <v>2.79</v>
      </c>
    </row>
    <row r="1133" spans="1:24" hidden="1" outlineLevel="2" x14ac:dyDescent="0.25">
      <c r="A1133" t="str">
        <f t="shared" si="169"/>
        <v>AK8 - 1992</v>
      </c>
      <c r="B1133" t="s">
        <v>37</v>
      </c>
      <c r="C1133">
        <v>7</v>
      </c>
      <c r="D1133">
        <v>7</v>
      </c>
      <c r="E1133">
        <v>1992</v>
      </c>
      <c r="F1133">
        <v>52.9</v>
      </c>
      <c r="G1133">
        <v>11.7</v>
      </c>
      <c r="H1133">
        <v>11.1</v>
      </c>
      <c r="I1133">
        <v>0.6</v>
      </c>
      <c r="J1133">
        <v>5</v>
      </c>
      <c r="K1133">
        <v>34.6</v>
      </c>
      <c r="L1133">
        <v>87.9</v>
      </c>
      <c r="M1133">
        <v>380</v>
      </c>
      <c r="N1133">
        <v>370</v>
      </c>
      <c r="O1133">
        <v>548</v>
      </c>
      <c r="P1133">
        <v>178</v>
      </c>
      <c r="Q1133">
        <v>314</v>
      </c>
      <c r="R1133">
        <v>576</v>
      </c>
      <c r="S1133">
        <v>262</v>
      </c>
      <c r="T1133">
        <v>213.6</v>
      </c>
      <c r="U1133">
        <v>413</v>
      </c>
      <c r="V1133">
        <v>422</v>
      </c>
      <c r="W1133">
        <v>500</v>
      </c>
      <c r="X1133">
        <v>2.79</v>
      </c>
    </row>
    <row r="1134" spans="1:24" hidden="1" outlineLevel="2" x14ac:dyDescent="0.25">
      <c r="A1134" t="str">
        <f t="shared" si="169"/>
        <v>AK8 - 1992</v>
      </c>
      <c r="B1134" t="s">
        <v>37</v>
      </c>
      <c r="C1134">
        <v>8</v>
      </c>
      <c r="D1134">
        <v>7</v>
      </c>
      <c r="E1134">
        <v>1992</v>
      </c>
      <c r="F1134">
        <v>99.6</v>
      </c>
      <c r="G1134">
        <v>13.8</v>
      </c>
      <c r="H1134">
        <v>11.4</v>
      </c>
      <c r="I1134">
        <v>2.4</v>
      </c>
      <c r="J1134">
        <v>17</v>
      </c>
      <c r="K1134">
        <v>80.400000000000006</v>
      </c>
      <c r="L1134">
        <v>311.7</v>
      </c>
      <c r="M1134">
        <v>422</v>
      </c>
      <c r="N1134">
        <v>397</v>
      </c>
      <c r="O1134">
        <v>539</v>
      </c>
      <c r="P1134">
        <v>142</v>
      </c>
      <c r="Q1134">
        <v>349</v>
      </c>
      <c r="R1134">
        <v>558</v>
      </c>
      <c r="S1134">
        <v>209</v>
      </c>
      <c r="T1134">
        <v>200.4</v>
      </c>
      <c r="U1134">
        <v>427</v>
      </c>
      <c r="V1134">
        <v>430</v>
      </c>
      <c r="W1134">
        <v>500</v>
      </c>
      <c r="X1134">
        <v>2.79</v>
      </c>
    </row>
    <row r="1135" spans="1:24" hidden="1" outlineLevel="2" x14ac:dyDescent="0.25">
      <c r="A1135" t="str">
        <f t="shared" si="169"/>
        <v>AK8 - 1992</v>
      </c>
      <c r="B1135" t="s">
        <v>37</v>
      </c>
      <c r="C1135">
        <v>9</v>
      </c>
      <c r="D1135">
        <v>6</v>
      </c>
      <c r="E1135">
        <v>1992</v>
      </c>
      <c r="F1135">
        <v>127.3</v>
      </c>
      <c r="G1135">
        <v>19.8</v>
      </c>
      <c r="H1135">
        <v>17.100000000000001</v>
      </c>
      <c r="I1135">
        <v>2.7</v>
      </c>
      <c r="J1135">
        <v>13</v>
      </c>
      <c r="K1135">
        <v>146.1</v>
      </c>
      <c r="L1135">
        <v>509.1</v>
      </c>
      <c r="M1135">
        <v>400</v>
      </c>
      <c r="N1135">
        <v>380</v>
      </c>
      <c r="O1135">
        <v>526</v>
      </c>
      <c r="P1135">
        <v>146</v>
      </c>
      <c r="Q1135">
        <v>333</v>
      </c>
      <c r="R1135">
        <v>558</v>
      </c>
      <c r="S1135">
        <v>225</v>
      </c>
      <c r="T1135">
        <v>261.60000000000002</v>
      </c>
      <c r="U1135">
        <v>413</v>
      </c>
      <c r="V1135">
        <v>408</v>
      </c>
      <c r="W1135">
        <v>500</v>
      </c>
      <c r="X1135">
        <v>2.79</v>
      </c>
    </row>
    <row r="1136" spans="1:24" hidden="1" outlineLevel="2" x14ac:dyDescent="0.25">
      <c r="A1136" t="str">
        <f t="shared" si="169"/>
        <v>AK8 - 1992</v>
      </c>
      <c r="B1136" t="s">
        <v>37</v>
      </c>
      <c r="C1136">
        <v>10</v>
      </c>
      <c r="D1136">
        <v>7</v>
      </c>
      <c r="E1136">
        <v>1992</v>
      </c>
      <c r="F1136">
        <v>129.19999999999999</v>
      </c>
      <c r="G1136">
        <v>14.1</v>
      </c>
      <c r="H1136">
        <v>12</v>
      </c>
      <c r="I1136">
        <v>2.1</v>
      </c>
      <c r="J1136">
        <v>14</v>
      </c>
      <c r="K1136">
        <v>108.2</v>
      </c>
      <c r="L1136">
        <v>524.4</v>
      </c>
      <c r="M1136">
        <v>401</v>
      </c>
      <c r="N1136">
        <v>379</v>
      </c>
      <c r="O1136">
        <v>526</v>
      </c>
      <c r="P1136">
        <v>147</v>
      </c>
      <c r="Q1136">
        <v>332</v>
      </c>
      <c r="R1136">
        <v>552</v>
      </c>
      <c r="S1136">
        <v>220</v>
      </c>
      <c r="T1136">
        <v>237.9</v>
      </c>
      <c r="U1136">
        <v>419</v>
      </c>
      <c r="V1136">
        <v>416</v>
      </c>
      <c r="W1136">
        <v>500</v>
      </c>
      <c r="X1136">
        <v>2.79</v>
      </c>
    </row>
    <row r="1137" spans="1:24" outlineLevel="1" collapsed="1" x14ac:dyDescent="0.25">
      <c r="A1137" s="8" t="s">
        <v>122</v>
      </c>
      <c r="D1137">
        <f t="shared" ref="D1137:V1137" si="170">SUBTOTAL(1,D1127:D1136)</f>
        <v>6.9</v>
      </c>
      <c r="E1137">
        <f t="shared" si="170"/>
        <v>1992</v>
      </c>
      <c r="F1137">
        <f t="shared" si="170"/>
        <v>96.539999999999992</v>
      </c>
      <c r="G1137">
        <f t="shared" si="170"/>
        <v>13.05</v>
      </c>
      <c r="H1137">
        <f t="shared" si="170"/>
        <v>11.220000000000002</v>
      </c>
      <c r="I1137">
        <f t="shared" si="170"/>
        <v>1.83</v>
      </c>
      <c r="J1137">
        <f t="shared" si="170"/>
        <v>13.8</v>
      </c>
      <c r="K1137">
        <f t="shared" si="170"/>
        <v>76.410000000000011</v>
      </c>
      <c r="L1137">
        <f t="shared" si="170"/>
        <v>307.74</v>
      </c>
      <c r="M1137">
        <f t="shared" si="170"/>
        <v>407</v>
      </c>
      <c r="N1137">
        <f t="shared" si="170"/>
        <v>386.6</v>
      </c>
      <c r="O1137">
        <f t="shared" si="170"/>
        <v>532.6</v>
      </c>
      <c r="P1137">
        <f t="shared" si="170"/>
        <v>146</v>
      </c>
      <c r="Q1137">
        <f t="shared" si="170"/>
        <v>339</v>
      </c>
      <c r="R1137">
        <f t="shared" si="170"/>
        <v>559.1</v>
      </c>
      <c r="S1137">
        <f t="shared" si="170"/>
        <v>220.1</v>
      </c>
      <c r="T1137">
        <f t="shared" si="170"/>
        <v>228.99</v>
      </c>
      <c r="U1137">
        <f t="shared" si="170"/>
        <v>413.9</v>
      </c>
      <c r="V1137">
        <f t="shared" si="170"/>
        <v>416.1</v>
      </c>
    </row>
    <row r="1138" spans="1:24" hidden="1" outlineLevel="2" x14ac:dyDescent="0.25">
      <c r="A1138" t="str">
        <f t="shared" ref="A1138:A1147" si="171">CONCATENATE(B1138," - ",E1138)</f>
        <v>AK8 - 1993</v>
      </c>
      <c r="B1138" t="s">
        <v>37</v>
      </c>
      <c r="C1138">
        <v>1</v>
      </c>
      <c r="D1138">
        <v>8</v>
      </c>
      <c r="E1138">
        <v>1993</v>
      </c>
      <c r="F1138">
        <v>124.3</v>
      </c>
      <c r="G1138">
        <v>15.9</v>
      </c>
      <c r="H1138">
        <v>14.1</v>
      </c>
      <c r="I1138">
        <v>1.8</v>
      </c>
      <c r="J1138">
        <v>11</v>
      </c>
      <c r="K1138">
        <v>116.2</v>
      </c>
      <c r="L1138">
        <v>485.4</v>
      </c>
      <c r="M1138">
        <v>378</v>
      </c>
      <c r="N1138">
        <v>360</v>
      </c>
      <c r="O1138">
        <v>518</v>
      </c>
      <c r="P1138">
        <v>158</v>
      </c>
      <c r="Q1138">
        <v>288</v>
      </c>
      <c r="R1138">
        <v>548</v>
      </c>
      <c r="S1138">
        <v>260</v>
      </c>
      <c r="T1138">
        <v>267.3</v>
      </c>
      <c r="U1138">
        <v>392</v>
      </c>
      <c r="V1138">
        <v>395</v>
      </c>
      <c r="W1138">
        <v>500</v>
      </c>
      <c r="X1138">
        <v>2.79</v>
      </c>
    </row>
    <row r="1139" spans="1:24" hidden="1" outlineLevel="2" x14ac:dyDescent="0.25">
      <c r="A1139" t="str">
        <f t="shared" si="171"/>
        <v>AK8 - 1993</v>
      </c>
      <c r="B1139" t="s">
        <v>37</v>
      </c>
      <c r="C1139">
        <v>2</v>
      </c>
      <c r="D1139">
        <v>8</v>
      </c>
      <c r="E1139">
        <v>1993</v>
      </c>
      <c r="F1139">
        <v>87</v>
      </c>
      <c r="G1139">
        <v>4.2</v>
      </c>
      <c r="H1139">
        <v>3.3</v>
      </c>
      <c r="I1139">
        <v>0.9</v>
      </c>
      <c r="J1139">
        <v>21</v>
      </c>
      <c r="K1139">
        <v>22.4</v>
      </c>
      <c r="L1139">
        <v>237.8</v>
      </c>
      <c r="M1139">
        <v>434</v>
      </c>
      <c r="N1139">
        <v>404</v>
      </c>
      <c r="O1139">
        <v>543</v>
      </c>
      <c r="P1139">
        <v>139</v>
      </c>
      <c r="Q1139">
        <v>365</v>
      </c>
      <c r="R1139">
        <v>557</v>
      </c>
      <c r="S1139">
        <v>192</v>
      </c>
      <c r="T1139">
        <v>143.1</v>
      </c>
      <c r="U1139">
        <v>431</v>
      </c>
      <c r="V1139">
        <v>434</v>
      </c>
      <c r="W1139">
        <v>500</v>
      </c>
      <c r="X1139">
        <v>2.79</v>
      </c>
    </row>
    <row r="1140" spans="1:24" hidden="1" outlineLevel="2" x14ac:dyDescent="0.25">
      <c r="A1140" t="str">
        <f t="shared" si="171"/>
        <v>AK8 - 1993</v>
      </c>
      <c r="B1140" t="s">
        <v>37</v>
      </c>
      <c r="C1140">
        <v>3</v>
      </c>
      <c r="D1140">
        <v>8</v>
      </c>
      <c r="E1140">
        <v>1993</v>
      </c>
      <c r="F1140">
        <v>118.8</v>
      </c>
      <c r="G1140">
        <v>10.5</v>
      </c>
      <c r="H1140">
        <v>8.6999999999999993</v>
      </c>
      <c r="I1140">
        <v>1.8</v>
      </c>
      <c r="J1140">
        <v>17</v>
      </c>
      <c r="K1140">
        <v>74.900000000000006</v>
      </c>
      <c r="L1140">
        <v>443.4</v>
      </c>
      <c r="M1140">
        <v>397</v>
      </c>
      <c r="N1140">
        <v>368</v>
      </c>
      <c r="O1140">
        <v>537</v>
      </c>
      <c r="P1140">
        <v>169</v>
      </c>
      <c r="Q1140">
        <v>316</v>
      </c>
      <c r="R1140">
        <v>562</v>
      </c>
      <c r="S1140">
        <v>246</v>
      </c>
      <c r="T1140">
        <v>271.2</v>
      </c>
      <c r="U1140">
        <v>404</v>
      </c>
      <c r="V1140">
        <v>409</v>
      </c>
      <c r="W1140">
        <v>500</v>
      </c>
      <c r="X1140">
        <v>2.79</v>
      </c>
    </row>
    <row r="1141" spans="1:24" hidden="1" outlineLevel="2" x14ac:dyDescent="0.25">
      <c r="A1141" t="str">
        <f t="shared" si="171"/>
        <v>AK8 - 1993</v>
      </c>
      <c r="B1141" t="s">
        <v>37</v>
      </c>
      <c r="C1141">
        <v>4</v>
      </c>
      <c r="D1141">
        <v>8</v>
      </c>
      <c r="E1141">
        <v>1993</v>
      </c>
      <c r="F1141">
        <v>91.7</v>
      </c>
      <c r="G1141">
        <v>6.9</v>
      </c>
      <c r="H1141">
        <v>6.3</v>
      </c>
      <c r="I1141">
        <v>0.6</v>
      </c>
      <c r="J1141">
        <v>8</v>
      </c>
      <c r="K1141">
        <v>38.299999999999997</v>
      </c>
      <c r="L1141">
        <v>264.2</v>
      </c>
      <c r="M1141">
        <v>395</v>
      </c>
      <c r="N1141">
        <v>378</v>
      </c>
      <c r="O1141">
        <v>575</v>
      </c>
      <c r="P1141">
        <v>197</v>
      </c>
      <c r="Q1141">
        <v>330</v>
      </c>
      <c r="R1141">
        <v>594</v>
      </c>
      <c r="S1141">
        <v>264</v>
      </c>
      <c r="T1141">
        <v>217.8</v>
      </c>
      <c r="U1141">
        <v>383</v>
      </c>
      <c r="V1141">
        <v>385</v>
      </c>
      <c r="W1141">
        <v>500</v>
      </c>
      <c r="X1141">
        <v>2.79</v>
      </c>
    </row>
    <row r="1142" spans="1:24" hidden="1" outlineLevel="2" x14ac:dyDescent="0.25">
      <c r="A1142" t="str">
        <f t="shared" si="171"/>
        <v>AK8 - 1993</v>
      </c>
      <c r="B1142" t="s">
        <v>37</v>
      </c>
      <c r="C1142">
        <v>5</v>
      </c>
      <c r="D1142">
        <v>8</v>
      </c>
      <c r="E1142">
        <v>1993</v>
      </c>
      <c r="F1142">
        <v>91.4</v>
      </c>
      <c r="G1142">
        <v>5.0999999999999996</v>
      </c>
      <c r="H1142">
        <v>4.2</v>
      </c>
      <c r="I1142">
        <v>0.9</v>
      </c>
      <c r="J1142">
        <v>17</v>
      </c>
      <c r="K1142">
        <v>28.5</v>
      </c>
      <c r="L1142">
        <v>262.39999999999998</v>
      </c>
      <c r="M1142">
        <v>440</v>
      </c>
      <c r="N1142">
        <v>413</v>
      </c>
      <c r="O1142">
        <v>570</v>
      </c>
      <c r="P1142">
        <v>157</v>
      </c>
      <c r="Q1142">
        <v>362</v>
      </c>
      <c r="R1142">
        <v>611</v>
      </c>
      <c r="S1142">
        <v>249</v>
      </c>
      <c r="T1142">
        <v>196.8</v>
      </c>
      <c r="U1142">
        <v>444</v>
      </c>
      <c r="V1142">
        <v>445</v>
      </c>
      <c r="W1142">
        <v>500</v>
      </c>
      <c r="X1142">
        <v>2.79</v>
      </c>
    </row>
    <row r="1143" spans="1:24" hidden="1" outlineLevel="2" x14ac:dyDescent="0.25">
      <c r="A1143" t="str">
        <f t="shared" si="171"/>
        <v>AK8 - 1993</v>
      </c>
      <c r="B1143" t="s">
        <v>37</v>
      </c>
      <c r="C1143">
        <v>6</v>
      </c>
      <c r="D1143">
        <v>8</v>
      </c>
      <c r="E1143">
        <v>1993</v>
      </c>
      <c r="F1143">
        <v>95.1</v>
      </c>
      <c r="G1143">
        <v>9.3000000000000007</v>
      </c>
      <c r="H1143">
        <v>7.8</v>
      </c>
      <c r="I1143">
        <v>1.5</v>
      </c>
      <c r="J1143">
        <v>16</v>
      </c>
      <c r="K1143">
        <v>52.9</v>
      </c>
      <c r="L1143">
        <v>284.10000000000002</v>
      </c>
      <c r="M1143">
        <v>394</v>
      </c>
      <c r="N1143">
        <v>365</v>
      </c>
      <c r="O1143">
        <v>544</v>
      </c>
      <c r="P1143">
        <v>179</v>
      </c>
      <c r="Q1143">
        <v>304</v>
      </c>
      <c r="R1143">
        <v>568</v>
      </c>
      <c r="S1143">
        <v>264</v>
      </c>
      <c r="T1143">
        <v>280.2</v>
      </c>
      <c r="U1143">
        <v>413</v>
      </c>
      <c r="V1143">
        <v>417</v>
      </c>
      <c r="W1143">
        <v>500</v>
      </c>
      <c r="X1143">
        <v>2.79</v>
      </c>
    </row>
    <row r="1144" spans="1:24" hidden="1" outlineLevel="2" x14ac:dyDescent="0.25">
      <c r="A1144" t="str">
        <f t="shared" si="171"/>
        <v>AK8 - 1993</v>
      </c>
      <c r="B1144" t="s">
        <v>37</v>
      </c>
      <c r="C1144">
        <v>7</v>
      </c>
      <c r="D1144">
        <v>8</v>
      </c>
      <c r="E1144">
        <v>1993</v>
      </c>
      <c r="F1144">
        <v>61.9</v>
      </c>
      <c r="G1144">
        <v>9</v>
      </c>
      <c r="H1144">
        <v>7.8</v>
      </c>
      <c r="I1144">
        <v>1.2</v>
      </c>
      <c r="J1144">
        <v>13</v>
      </c>
      <c r="K1144">
        <v>32.5</v>
      </c>
      <c r="L1144">
        <v>120.4</v>
      </c>
      <c r="M1144">
        <v>394</v>
      </c>
      <c r="N1144">
        <v>368</v>
      </c>
      <c r="O1144">
        <v>565</v>
      </c>
      <c r="P1144">
        <v>197</v>
      </c>
      <c r="Q1144">
        <v>313</v>
      </c>
      <c r="R1144">
        <v>579</v>
      </c>
      <c r="S1144">
        <v>266</v>
      </c>
      <c r="T1144">
        <v>213.6</v>
      </c>
      <c r="U1144">
        <v>413</v>
      </c>
      <c r="V1144">
        <v>422</v>
      </c>
      <c r="W1144">
        <v>500</v>
      </c>
      <c r="X1144">
        <v>2.79</v>
      </c>
    </row>
    <row r="1145" spans="1:24" hidden="1" outlineLevel="2" x14ac:dyDescent="0.25">
      <c r="A1145" t="str">
        <f t="shared" si="171"/>
        <v>AK8 - 1993</v>
      </c>
      <c r="B1145" t="s">
        <v>37</v>
      </c>
      <c r="C1145">
        <v>8</v>
      </c>
      <c r="D1145">
        <v>8</v>
      </c>
      <c r="E1145">
        <v>1993</v>
      </c>
      <c r="F1145">
        <v>114.6</v>
      </c>
      <c r="G1145">
        <v>15</v>
      </c>
      <c r="H1145">
        <v>11.4</v>
      </c>
      <c r="I1145">
        <v>3.6</v>
      </c>
      <c r="J1145">
        <v>24</v>
      </c>
      <c r="K1145">
        <v>100.9</v>
      </c>
      <c r="L1145">
        <v>412.6</v>
      </c>
      <c r="M1145">
        <v>421</v>
      </c>
      <c r="N1145">
        <v>385</v>
      </c>
      <c r="O1145">
        <v>534</v>
      </c>
      <c r="P1145">
        <v>149</v>
      </c>
      <c r="Q1145">
        <v>307</v>
      </c>
      <c r="R1145">
        <v>583</v>
      </c>
      <c r="S1145">
        <v>276</v>
      </c>
      <c r="T1145">
        <v>200.4</v>
      </c>
      <c r="U1145">
        <v>427</v>
      </c>
      <c r="V1145">
        <v>430</v>
      </c>
      <c r="W1145">
        <v>500</v>
      </c>
      <c r="X1145">
        <v>2.79</v>
      </c>
    </row>
    <row r="1146" spans="1:24" hidden="1" outlineLevel="2" x14ac:dyDescent="0.25">
      <c r="A1146" t="str">
        <f t="shared" si="171"/>
        <v>AK8 - 1993</v>
      </c>
      <c r="B1146" t="s">
        <v>37</v>
      </c>
      <c r="C1146">
        <v>9</v>
      </c>
      <c r="D1146">
        <v>7</v>
      </c>
      <c r="E1146">
        <v>1993</v>
      </c>
      <c r="F1146">
        <v>147.1</v>
      </c>
      <c r="G1146">
        <v>19.8</v>
      </c>
      <c r="H1146">
        <v>17.100000000000001</v>
      </c>
      <c r="I1146">
        <v>2.7</v>
      </c>
      <c r="J1146">
        <v>13</v>
      </c>
      <c r="K1146">
        <v>170.7</v>
      </c>
      <c r="L1146">
        <v>679.8</v>
      </c>
      <c r="M1146">
        <v>382</v>
      </c>
      <c r="N1146">
        <v>359</v>
      </c>
      <c r="O1146">
        <v>525</v>
      </c>
      <c r="P1146">
        <v>166</v>
      </c>
      <c r="Q1146">
        <v>293</v>
      </c>
      <c r="R1146">
        <v>548</v>
      </c>
      <c r="S1146">
        <v>255</v>
      </c>
      <c r="T1146">
        <v>261.60000000000002</v>
      </c>
      <c r="U1146">
        <v>413</v>
      </c>
      <c r="V1146">
        <v>408</v>
      </c>
      <c r="W1146">
        <v>500</v>
      </c>
      <c r="X1146">
        <v>2.79</v>
      </c>
    </row>
    <row r="1147" spans="1:24" hidden="1" outlineLevel="2" x14ac:dyDescent="0.25">
      <c r="A1147" t="str">
        <f t="shared" si="171"/>
        <v>AK8 - 1993</v>
      </c>
      <c r="B1147" t="s">
        <v>37</v>
      </c>
      <c r="C1147">
        <v>10</v>
      </c>
      <c r="D1147">
        <v>8</v>
      </c>
      <c r="E1147">
        <v>1993</v>
      </c>
      <c r="F1147">
        <v>137.9</v>
      </c>
      <c r="G1147">
        <v>8.6999999999999993</v>
      </c>
      <c r="H1147">
        <v>7.8</v>
      </c>
      <c r="I1147">
        <v>0.9</v>
      </c>
      <c r="J1147">
        <v>10</v>
      </c>
      <c r="K1147">
        <v>73</v>
      </c>
      <c r="L1147">
        <v>597.4</v>
      </c>
      <c r="M1147">
        <v>401</v>
      </c>
      <c r="N1147">
        <v>385</v>
      </c>
      <c r="O1147">
        <v>536</v>
      </c>
      <c r="P1147">
        <v>151</v>
      </c>
      <c r="Q1147">
        <v>333</v>
      </c>
      <c r="R1147">
        <v>553</v>
      </c>
      <c r="S1147">
        <v>220</v>
      </c>
      <c r="T1147">
        <v>237.9</v>
      </c>
      <c r="U1147">
        <v>419</v>
      </c>
      <c r="V1147">
        <v>416</v>
      </c>
      <c r="W1147">
        <v>500</v>
      </c>
      <c r="X1147">
        <v>2.79</v>
      </c>
    </row>
    <row r="1148" spans="1:24" outlineLevel="1" collapsed="1" x14ac:dyDescent="0.25">
      <c r="A1148" s="8" t="s">
        <v>123</v>
      </c>
      <c r="D1148">
        <f t="shared" ref="D1148:V1148" si="172">SUBTOTAL(1,D1138:D1147)</f>
        <v>7.9</v>
      </c>
      <c r="E1148">
        <f t="shared" si="172"/>
        <v>1993</v>
      </c>
      <c r="F1148">
        <f t="shared" si="172"/>
        <v>106.98000000000002</v>
      </c>
      <c r="G1148">
        <f t="shared" si="172"/>
        <v>10.440000000000001</v>
      </c>
      <c r="H1148">
        <f t="shared" si="172"/>
        <v>8.8499999999999979</v>
      </c>
      <c r="I1148">
        <f t="shared" si="172"/>
        <v>1.59</v>
      </c>
      <c r="J1148">
        <f t="shared" si="172"/>
        <v>15</v>
      </c>
      <c r="K1148">
        <f t="shared" si="172"/>
        <v>71.03</v>
      </c>
      <c r="L1148">
        <f t="shared" si="172"/>
        <v>378.74999999999994</v>
      </c>
      <c r="M1148">
        <f t="shared" si="172"/>
        <v>403.6</v>
      </c>
      <c r="N1148">
        <f t="shared" si="172"/>
        <v>378.5</v>
      </c>
      <c r="O1148">
        <f t="shared" si="172"/>
        <v>544.70000000000005</v>
      </c>
      <c r="P1148">
        <f t="shared" si="172"/>
        <v>166.2</v>
      </c>
      <c r="Q1148">
        <f t="shared" si="172"/>
        <v>321.10000000000002</v>
      </c>
      <c r="R1148">
        <f t="shared" si="172"/>
        <v>570.29999999999995</v>
      </c>
      <c r="S1148">
        <f t="shared" si="172"/>
        <v>249.2</v>
      </c>
      <c r="T1148">
        <f t="shared" si="172"/>
        <v>228.99</v>
      </c>
      <c r="U1148">
        <f t="shared" si="172"/>
        <v>413.9</v>
      </c>
      <c r="V1148">
        <f t="shared" si="172"/>
        <v>416.1</v>
      </c>
    </row>
    <row r="1149" spans="1:24" hidden="1" outlineLevel="2" x14ac:dyDescent="0.25">
      <c r="A1149" t="str">
        <f t="shared" ref="A1149:A1158" si="173">CONCATENATE(B1149," - ",E1149)</f>
        <v>AK8 - 1994</v>
      </c>
      <c r="B1149" t="s">
        <v>37</v>
      </c>
      <c r="C1149">
        <v>1</v>
      </c>
      <c r="D1149">
        <v>9</v>
      </c>
      <c r="E1149">
        <v>1994</v>
      </c>
      <c r="F1149">
        <v>136.6</v>
      </c>
      <c r="G1149">
        <v>12.3</v>
      </c>
      <c r="H1149">
        <v>11.1</v>
      </c>
      <c r="I1149">
        <v>1.2</v>
      </c>
      <c r="J1149">
        <v>9</v>
      </c>
      <c r="K1149">
        <v>100.8</v>
      </c>
      <c r="L1149">
        <v>586.20000000000005</v>
      </c>
      <c r="M1149">
        <v>365</v>
      </c>
      <c r="N1149">
        <v>349</v>
      </c>
      <c r="O1149">
        <v>520</v>
      </c>
      <c r="P1149">
        <v>171</v>
      </c>
      <c r="Q1149">
        <v>274</v>
      </c>
      <c r="R1149">
        <v>532</v>
      </c>
      <c r="S1149">
        <v>258</v>
      </c>
      <c r="T1149">
        <v>267.3</v>
      </c>
      <c r="U1149">
        <v>392</v>
      </c>
      <c r="V1149">
        <v>395</v>
      </c>
      <c r="W1149">
        <v>500</v>
      </c>
      <c r="X1149">
        <v>2.79</v>
      </c>
    </row>
    <row r="1150" spans="1:24" hidden="1" outlineLevel="2" x14ac:dyDescent="0.25">
      <c r="A1150" t="str">
        <f t="shared" si="173"/>
        <v>AK8 - 1994</v>
      </c>
      <c r="B1150" t="s">
        <v>37</v>
      </c>
      <c r="C1150">
        <v>2</v>
      </c>
      <c r="D1150">
        <v>9</v>
      </c>
      <c r="E1150">
        <v>1994</v>
      </c>
      <c r="F1150">
        <v>90.9</v>
      </c>
      <c r="G1150">
        <v>3.9</v>
      </c>
      <c r="H1150">
        <v>2.4</v>
      </c>
      <c r="I1150">
        <v>1.5</v>
      </c>
      <c r="J1150">
        <v>38</v>
      </c>
      <c r="K1150">
        <v>21.8</v>
      </c>
      <c r="L1150">
        <v>259.60000000000002</v>
      </c>
      <c r="M1150">
        <v>461</v>
      </c>
      <c r="N1150">
        <v>418</v>
      </c>
      <c r="O1150">
        <v>531</v>
      </c>
      <c r="P1150">
        <v>113</v>
      </c>
      <c r="Q1150">
        <v>401</v>
      </c>
      <c r="R1150">
        <v>554</v>
      </c>
      <c r="S1150">
        <v>153</v>
      </c>
      <c r="T1150">
        <v>143.1</v>
      </c>
      <c r="U1150">
        <v>431</v>
      </c>
      <c r="V1150">
        <v>434</v>
      </c>
      <c r="W1150">
        <v>500</v>
      </c>
      <c r="X1150">
        <v>2.79</v>
      </c>
    </row>
    <row r="1151" spans="1:24" hidden="1" outlineLevel="2" x14ac:dyDescent="0.25">
      <c r="A1151" t="str">
        <f t="shared" si="173"/>
        <v>AK8 - 1994</v>
      </c>
      <c r="B1151" t="s">
        <v>37</v>
      </c>
      <c r="C1151">
        <v>3</v>
      </c>
      <c r="D1151">
        <v>9</v>
      </c>
      <c r="E1151">
        <v>1994</v>
      </c>
      <c r="F1151">
        <v>126</v>
      </c>
      <c r="G1151">
        <v>7.2</v>
      </c>
      <c r="H1151">
        <v>6.9</v>
      </c>
      <c r="I1151">
        <v>0.3</v>
      </c>
      <c r="J1151">
        <v>4</v>
      </c>
      <c r="K1151">
        <v>55.4</v>
      </c>
      <c r="L1151">
        <v>498.8</v>
      </c>
      <c r="M1151">
        <v>374</v>
      </c>
      <c r="N1151">
        <v>368</v>
      </c>
      <c r="O1151">
        <v>505</v>
      </c>
      <c r="P1151">
        <v>137</v>
      </c>
      <c r="Q1151">
        <v>314</v>
      </c>
      <c r="R1151">
        <v>505</v>
      </c>
      <c r="S1151">
        <v>191</v>
      </c>
      <c r="T1151">
        <v>271.2</v>
      </c>
      <c r="U1151">
        <v>404</v>
      </c>
      <c r="V1151">
        <v>409</v>
      </c>
      <c r="W1151">
        <v>500</v>
      </c>
      <c r="X1151">
        <v>2.79</v>
      </c>
    </row>
    <row r="1152" spans="1:24" hidden="1" outlineLevel="2" x14ac:dyDescent="0.25">
      <c r="A1152" t="str">
        <f t="shared" si="173"/>
        <v>AK8 - 1994</v>
      </c>
      <c r="B1152" t="s">
        <v>37</v>
      </c>
      <c r="C1152">
        <v>4</v>
      </c>
      <c r="D1152">
        <v>9</v>
      </c>
      <c r="E1152">
        <v>1994</v>
      </c>
      <c r="F1152">
        <v>98</v>
      </c>
      <c r="G1152">
        <v>6.3</v>
      </c>
      <c r="H1152">
        <v>5.4</v>
      </c>
      <c r="I1152">
        <v>0.9</v>
      </c>
      <c r="J1152">
        <v>14</v>
      </c>
      <c r="K1152">
        <v>37.5</v>
      </c>
      <c r="L1152">
        <v>301.7</v>
      </c>
      <c r="M1152">
        <v>415</v>
      </c>
      <c r="N1152">
        <v>388</v>
      </c>
      <c r="O1152">
        <v>576</v>
      </c>
      <c r="P1152">
        <v>188</v>
      </c>
      <c r="Q1152">
        <v>295</v>
      </c>
      <c r="R1152">
        <v>592</v>
      </c>
      <c r="S1152">
        <v>297</v>
      </c>
      <c r="T1152">
        <v>217.8</v>
      </c>
      <c r="U1152">
        <v>383</v>
      </c>
      <c r="V1152">
        <v>385</v>
      </c>
      <c r="W1152">
        <v>500</v>
      </c>
      <c r="X1152">
        <v>2.79</v>
      </c>
    </row>
    <row r="1153" spans="1:24" hidden="1" outlineLevel="2" x14ac:dyDescent="0.25">
      <c r="A1153" t="str">
        <f t="shared" si="173"/>
        <v>AK8 - 1994</v>
      </c>
      <c r="B1153" t="s">
        <v>37</v>
      </c>
      <c r="C1153">
        <v>5</v>
      </c>
      <c r="D1153">
        <v>9</v>
      </c>
      <c r="E1153">
        <v>1994</v>
      </c>
      <c r="F1153">
        <v>98.9</v>
      </c>
      <c r="G1153">
        <v>7.5</v>
      </c>
      <c r="H1153">
        <v>5.7</v>
      </c>
      <c r="I1153">
        <v>1.8</v>
      </c>
      <c r="J1153">
        <v>24</v>
      </c>
      <c r="K1153">
        <v>44.8</v>
      </c>
      <c r="L1153">
        <v>307.3</v>
      </c>
      <c r="M1153">
        <v>436</v>
      </c>
      <c r="N1153">
        <v>398</v>
      </c>
      <c r="O1153">
        <v>558</v>
      </c>
      <c r="P1153">
        <v>160</v>
      </c>
      <c r="Q1153">
        <v>355</v>
      </c>
      <c r="R1153">
        <v>596</v>
      </c>
      <c r="S1153">
        <v>241</v>
      </c>
      <c r="T1153">
        <v>196.8</v>
      </c>
      <c r="U1153">
        <v>444</v>
      </c>
      <c r="V1153">
        <v>445</v>
      </c>
      <c r="W1153">
        <v>500</v>
      </c>
      <c r="X1153">
        <v>2.79</v>
      </c>
    </row>
    <row r="1154" spans="1:24" hidden="1" outlineLevel="2" x14ac:dyDescent="0.25">
      <c r="A1154" t="str">
        <f t="shared" si="173"/>
        <v>AK8 - 1994</v>
      </c>
      <c r="B1154" t="s">
        <v>37</v>
      </c>
      <c r="C1154">
        <v>6</v>
      </c>
      <c r="D1154">
        <v>9</v>
      </c>
      <c r="E1154">
        <v>1994</v>
      </c>
      <c r="F1154">
        <v>103.8</v>
      </c>
      <c r="G1154">
        <v>8.6999999999999993</v>
      </c>
      <c r="H1154">
        <v>7.8</v>
      </c>
      <c r="I1154">
        <v>0.9</v>
      </c>
      <c r="J1154">
        <v>10</v>
      </c>
      <c r="K1154">
        <v>54.4</v>
      </c>
      <c r="L1154">
        <v>338.5</v>
      </c>
      <c r="M1154">
        <v>393</v>
      </c>
      <c r="N1154">
        <v>374</v>
      </c>
      <c r="O1154">
        <v>556</v>
      </c>
      <c r="P1154">
        <v>182</v>
      </c>
      <c r="Q1154">
        <v>301</v>
      </c>
      <c r="R1154">
        <v>579</v>
      </c>
      <c r="S1154">
        <v>278</v>
      </c>
      <c r="T1154">
        <v>280.2</v>
      </c>
      <c r="U1154">
        <v>413</v>
      </c>
      <c r="V1154">
        <v>417</v>
      </c>
      <c r="W1154">
        <v>500</v>
      </c>
      <c r="X1154">
        <v>2.79</v>
      </c>
    </row>
    <row r="1155" spans="1:24" hidden="1" outlineLevel="2" x14ac:dyDescent="0.25">
      <c r="A1155" t="str">
        <f t="shared" si="173"/>
        <v>AK8 - 1994</v>
      </c>
      <c r="B1155" t="s">
        <v>37</v>
      </c>
      <c r="C1155">
        <v>7</v>
      </c>
      <c r="D1155">
        <v>9</v>
      </c>
      <c r="E1155">
        <v>1994</v>
      </c>
      <c r="F1155">
        <v>69.099999999999994</v>
      </c>
      <c r="G1155">
        <v>7.2</v>
      </c>
      <c r="H1155">
        <v>6.3</v>
      </c>
      <c r="I1155">
        <v>0.9</v>
      </c>
      <c r="J1155">
        <v>12</v>
      </c>
      <c r="K1155">
        <v>29.6</v>
      </c>
      <c r="L1155">
        <v>150</v>
      </c>
      <c r="M1155">
        <v>413</v>
      </c>
      <c r="N1155">
        <v>395</v>
      </c>
      <c r="O1155">
        <v>535</v>
      </c>
      <c r="P1155">
        <v>140</v>
      </c>
      <c r="Q1155">
        <v>326</v>
      </c>
      <c r="R1155">
        <v>537</v>
      </c>
      <c r="S1155">
        <v>211</v>
      </c>
      <c r="T1155">
        <v>213.6</v>
      </c>
      <c r="U1155">
        <v>413</v>
      </c>
      <c r="V1155">
        <v>422</v>
      </c>
      <c r="W1155">
        <v>500</v>
      </c>
      <c r="X1155">
        <v>2.79</v>
      </c>
    </row>
    <row r="1156" spans="1:24" hidden="1" outlineLevel="2" x14ac:dyDescent="0.25">
      <c r="A1156" t="str">
        <f t="shared" si="173"/>
        <v>AK8 - 1994</v>
      </c>
      <c r="B1156" t="s">
        <v>37</v>
      </c>
      <c r="C1156">
        <v>8</v>
      </c>
      <c r="D1156">
        <v>9</v>
      </c>
      <c r="E1156">
        <v>1994</v>
      </c>
      <c r="F1156">
        <v>127.2</v>
      </c>
      <c r="G1156">
        <v>12.6</v>
      </c>
      <c r="H1156">
        <v>9.9</v>
      </c>
      <c r="I1156">
        <v>2.7</v>
      </c>
      <c r="J1156">
        <v>21</v>
      </c>
      <c r="K1156">
        <v>95.7</v>
      </c>
      <c r="L1156">
        <v>508.3</v>
      </c>
      <c r="M1156">
        <v>425</v>
      </c>
      <c r="N1156">
        <v>396</v>
      </c>
      <c r="O1156">
        <v>533</v>
      </c>
      <c r="P1156">
        <v>137</v>
      </c>
      <c r="Q1156">
        <v>330</v>
      </c>
      <c r="R1156">
        <v>566</v>
      </c>
      <c r="S1156">
        <v>236</v>
      </c>
      <c r="T1156">
        <v>200.4</v>
      </c>
      <c r="U1156">
        <v>427</v>
      </c>
      <c r="V1156">
        <v>430</v>
      </c>
      <c r="W1156">
        <v>500</v>
      </c>
      <c r="X1156">
        <v>2.79</v>
      </c>
    </row>
    <row r="1157" spans="1:24" hidden="1" outlineLevel="2" x14ac:dyDescent="0.25">
      <c r="A1157" t="str">
        <f t="shared" si="173"/>
        <v>AK8 - 1994</v>
      </c>
      <c r="B1157" t="s">
        <v>37</v>
      </c>
      <c r="C1157">
        <v>9</v>
      </c>
      <c r="D1157">
        <v>8</v>
      </c>
      <c r="E1157">
        <v>1994</v>
      </c>
      <c r="F1157">
        <v>163.6</v>
      </c>
      <c r="G1157">
        <v>16.5</v>
      </c>
      <c r="H1157">
        <v>15.3</v>
      </c>
      <c r="I1157">
        <v>1.2</v>
      </c>
      <c r="J1157">
        <v>7</v>
      </c>
      <c r="K1157">
        <v>161.1</v>
      </c>
      <c r="L1157">
        <v>840.8</v>
      </c>
      <c r="M1157">
        <v>401</v>
      </c>
      <c r="N1157">
        <v>388</v>
      </c>
      <c r="O1157">
        <v>558</v>
      </c>
      <c r="P1157">
        <v>170</v>
      </c>
      <c r="Q1157">
        <v>307</v>
      </c>
      <c r="R1157">
        <v>590</v>
      </c>
      <c r="S1157">
        <v>283</v>
      </c>
      <c r="T1157">
        <v>261.60000000000002</v>
      </c>
      <c r="U1157">
        <v>413</v>
      </c>
      <c r="V1157">
        <v>408</v>
      </c>
      <c r="W1157">
        <v>500</v>
      </c>
      <c r="X1157">
        <v>2.79</v>
      </c>
    </row>
    <row r="1158" spans="1:24" hidden="1" outlineLevel="2" x14ac:dyDescent="0.25">
      <c r="A1158" t="str">
        <f t="shared" si="173"/>
        <v>AK8 - 1994</v>
      </c>
      <c r="B1158" t="s">
        <v>37</v>
      </c>
      <c r="C1158">
        <v>10</v>
      </c>
      <c r="D1158">
        <v>9</v>
      </c>
      <c r="E1158">
        <v>1994</v>
      </c>
      <c r="F1158">
        <v>146.30000000000001</v>
      </c>
      <c r="G1158">
        <v>8.4</v>
      </c>
      <c r="H1158">
        <v>7.2</v>
      </c>
      <c r="I1158">
        <v>1.2</v>
      </c>
      <c r="J1158">
        <v>14</v>
      </c>
      <c r="K1158">
        <v>75</v>
      </c>
      <c r="L1158">
        <v>672.4</v>
      </c>
      <c r="M1158">
        <v>410</v>
      </c>
      <c r="N1158">
        <v>391</v>
      </c>
      <c r="O1158">
        <v>521</v>
      </c>
      <c r="P1158">
        <v>130</v>
      </c>
      <c r="Q1158">
        <v>361</v>
      </c>
      <c r="R1158">
        <v>534</v>
      </c>
      <c r="S1158">
        <v>173</v>
      </c>
      <c r="T1158">
        <v>237.9</v>
      </c>
      <c r="U1158">
        <v>419</v>
      </c>
      <c r="V1158">
        <v>416</v>
      </c>
      <c r="W1158">
        <v>500</v>
      </c>
      <c r="X1158">
        <v>2.79</v>
      </c>
    </row>
    <row r="1159" spans="1:24" outlineLevel="1" collapsed="1" x14ac:dyDescent="0.25">
      <c r="A1159" s="8" t="s">
        <v>124</v>
      </c>
      <c r="D1159">
        <f t="shared" ref="D1159:V1159" si="174">SUBTOTAL(1,D1149:D1158)</f>
        <v>8.9</v>
      </c>
      <c r="E1159">
        <f t="shared" si="174"/>
        <v>1994</v>
      </c>
      <c r="F1159">
        <f t="shared" si="174"/>
        <v>116.04</v>
      </c>
      <c r="G1159">
        <f t="shared" si="174"/>
        <v>9.06</v>
      </c>
      <c r="H1159">
        <f t="shared" si="174"/>
        <v>7.8</v>
      </c>
      <c r="I1159">
        <f t="shared" si="174"/>
        <v>1.26</v>
      </c>
      <c r="J1159">
        <f t="shared" si="174"/>
        <v>15.3</v>
      </c>
      <c r="K1159">
        <f t="shared" si="174"/>
        <v>67.61</v>
      </c>
      <c r="L1159">
        <f t="shared" si="174"/>
        <v>446.36</v>
      </c>
      <c r="M1159">
        <f t="shared" si="174"/>
        <v>409.3</v>
      </c>
      <c r="N1159">
        <f t="shared" si="174"/>
        <v>386.5</v>
      </c>
      <c r="O1159">
        <f t="shared" si="174"/>
        <v>539.29999999999995</v>
      </c>
      <c r="P1159">
        <f t="shared" si="174"/>
        <v>152.80000000000001</v>
      </c>
      <c r="Q1159">
        <f t="shared" si="174"/>
        <v>326.39999999999998</v>
      </c>
      <c r="R1159">
        <f t="shared" si="174"/>
        <v>558.5</v>
      </c>
      <c r="S1159">
        <f t="shared" si="174"/>
        <v>232.1</v>
      </c>
      <c r="T1159">
        <f t="shared" si="174"/>
        <v>228.99</v>
      </c>
      <c r="U1159">
        <f t="shared" si="174"/>
        <v>413.9</v>
      </c>
      <c r="V1159">
        <f t="shared" si="174"/>
        <v>416.1</v>
      </c>
    </row>
    <row r="1160" spans="1:24" hidden="1" outlineLevel="2" x14ac:dyDescent="0.25">
      <c r="A1160" t="str">
        <f t="shared" ref="A1160:A1169" si="175">CONCATENATE(B1160," - ",E1160)</f>
        <v>AK8 - 1995</v>
      </c>
      <c r="B1160" t="s">
        <v>37</v>
      </c>
      <c r="C1160">
        <v>1</v>
      </c>
      <c r="D1160">
        <v>10</v>
      </c>
      <c r="E1160">
        <v>1995</v>
      </c>
      <c r="F1160">
        <v>146.5</v>
      </c>
      <c r="G1160">
        <v>9.9</v>
      </c>
      <c r="H1160">
        <v>9</v>
      </c>
      <c r="I1160">
        <v>0.9</v>
      </c>
      <c r="J1160">
        <v>9</v>
      </c>
      <c r="K1160">
        <v>88</v>
      </c>
      <c r="L1160">
        <v>674.3</v>
      </c>
      <c r="M1160">
        <v>388</v>
      </c>
      <c r="N1160">
        <v>374</v>
      </c>
      <c r="O1160">
        <v>527</v>
      </c>
      <c r="P1160">
        <v>153</v>
      </c>
      <c r="Q1160">
        <v>300</v>
      </c>
      <c r="R1160">
        <v>557</v>
      </c>
      <c r="S1160">
        <v>257</v>
      </c>
      <c r="T1160">
        <v>267.3</v>
      </c>
      <c r="U1160">
        <v>392</v>
      </c>
      <c r="V1160">
        <v>395</v>
      </c>
      <c r="W1160">
        <v>500</v>
      </c>
      <c r="X1160">
        <v>2.79</v>
      </c>
    </row>
    <row r="1161" spans="1:24" hidden="1" outlineLevel="2" x14ac:dyDescent="0.25">
      <c r="A1161" t="str">
        <f t="shared" si="175"/>
        <v>AK8 - 1995</v>
      </c>
      <c r="B1161" t="s">
        <v>37</v>
      </c>
      <c r="C1161">
        <v>2</v>
      </c>
      <c r="D1161">
        <v>10</v>
      </c>
      <c r="E1161">
        <v>1995</v>
      </c>
      <c r="F1161">
        <v>94.8</v>
      </c>
      <c r="G1161">
        <v>3.9</v>
      </c>
      <c r="H1161">
        <v>3</v>
      </c>
      <c r="I1161">
        <v>0.9</v>
      </c>
      <c r="J1161">
        <v>23</v>
      </c>
      <c r="K1161">
        <v>22.8</v>
      </c>
      <c r="L1161">
        <v>282.3</v>
      </c>
      <c r="M1161">
        <v>450</v>
      </c>
      <c r="N1161">
        <v>424</v>
      </c>
      <c r="O1161">
        <v>536</v>
      </c>
      <c r="P1161">
        <v>112</v>
      </c>
      <c r="Q1161">
        <v>370</v>
      </c>
      <c r="R1161">
        <v>565</v>
      </c>
      <c r="S1161">
        <v>195</v>
      </c>
      <c r="T1161">
        <v>143.1</v>
      </c>
      <c r="U1161">
        <v>431</v>
      </c>
      <c r="V1161">
        <v>434</v>
      </c>
      <c r="W1161">
        <v>500</v>
      </c>
      <c r="X1161">
        <v>2.79</v>
      </c>
    </row>
    <row r="1162" spans="1:24" hidden="1" outlineLevel="2" x14ac:dyDescent="0.25">
      <c r="A1162" t="str">
        <f t="shared" si="175"/>
        <v>AK8 - 1995</v>
      </c>
      <c r="B1162" t="s">
        <v>37</v>
      </c>
      <c r="C1162">
        <v>3</v>
      </c>
      <c r="D1162">
        <v>10</v>
      </c>
      <c r="E1162">
        <v>1995</v>
      </c>
      <c r="F1162">
        <v>130.80000000000001</v>
      </c>
      <c r="G1162">
        <v>4.8</v>
      </c>
      <c r="H1162">
        <v>4.2</v>
      </c>
      <c r="I1162">
        <v>0.6</v>
      </c>
      <c r="J1162">
        <v>12</v>
      </c>
      <c r="K1162">
        <v>38.700000000000003</v>
      </c>
      <c r="L1162">
        <v>537.5</v>
      </c>
      <c r="M1162">
        <v>408</v>
      </c>
      <c r="N1162">
        <v>392</v>
      </c>
      <c r="O1162">
        <v>520</v>
      </c>
      <c r="P1162">
        <v>128</v>
      </c>
      <c r="Q1162">
        <v>323</v>
      </c>
      <c r="R1162">
        <v>531</v>
      </c>
      <c r="S1162">
        <v>208</v>
      </c>
      <c r="T1162">
        <v>271.2</v>
      </c>
      <c r="U1162">
        <v>404</v>
      </c>
      <c r="V1162">
        <v>409</v>
      </c>
      <c r="W1162">
        <v>500</v>
      </c>
      <c r="X1162">
        <v>2.79</v>
      </c>
    </row>
    <row r="1163" spans="1:24" hidden="1" outlineLevel="2" x14ac:dyDescent="0.25">
      <c r="A1163" t="str">
        <f t="shared" si="175"/>
        <v>AK8 - 1995</v>
      </c>
      <c r="B1163" t="s">
        <v>37</v>
      </c>
      <c r="C1163">
        <v>4</v>
      </c>
      <c r="D1163">
        <v>10</v>
      </c>
      <c r="E1163">
        <v>1995</v>
      </c>
      <c r="F1163">
        <v>103.7</v>
      </c>
      <c r="G1163">
        <v>5.7</v>
      </c>
      <c r="H1163">
        <v>5.4</v>
      </c>
      <c r="I1163">
        <v>0.3</v>
      </c>
      <c r="J1163">
        <v>5</v>
      </c>
      <c r="K1163">
        <v>36.1</v>
      </c>
      <c r="L1163">
        <v>337.8</v>
      </c>
      <c r="M1163">
        <v>399</v>
      </c>
      <c r="N1163">
        <v>390</v>
      </c>
      <c r="O1163">
        <v>561</v>
      </c>
      <c r="P1163">
        <v>171</v>
      </c>
      <c r="Q1163">
        <v>342</v>
      </c>
      <c r="R1163">
        <v>561</v>
      </c>
      <c r="S1163">
        <v>219</v>
      </c>
      <c r="T1163">
        <v>217.8</v>
      </c>
      <c r="U1163">
        <v>383</v>
      </c>
      <c r="V1163">
        <v>385</v>
      </c>
      <c r="W1163">
        <v>500</v>
      </c>
      <c r="X1163">
        <v>2.79</v>
      </c>
    </row>
    <row r="1164" spans="1:24" hidden="1" outlineLevel="2" x14ac:dyDescent="0.25">
      <c r="A1164" t="str">
        <f t="shared" si="175"/>
        <v>AK8 - 1995</v>
      </c>
      <c r="B1164" t="s">
        <v>37</v>
      </c>
      <c r="C1164">
        <v>5</v>
      </c>
      <c r="D1164">
        <v>10</v>
      </c>
      <c r="E1164">
        <v>1995</v>
      </c>
      <c r="F1164">
        <v>107.3</v>
      </c>
      <c r="G1164">
        <v>8.4</v>
      </c>
      <c r="H1164">
        <v>6.6</v>
      </c>
      <c r="I1164">
        <v>1.8</v>
      </c>
      <c r="J1164">
        <v>21</v>
      </c>
      <c r="K1164">
        <v>54.4</v>
      </c>
      <c r="L1164">
        <v>361.7</v>
      </c>
      <c r="M1164">
        <v>428</v>
      </c>
      <c r="N1164">
        <v>395</v>
      </c>
      <c r="O1164">
        <v>551</v>
      </c>
      <c r="P1164">
        <v>156</v>
      </c>
      <c r="Q1164">
        <v>350</v>
      </c>
      <c r="R1164">
        <v>614</v>
      </c>
      <c r="S1164">
        <v>264</v>
      </c>
      <c r="T1164">
        <v>196.8</v>
      </c>
      <c r="U1164">
        <v>444</v>
      </c>
      <c r="V1164">
        <v>445</v>
      </c>
      <c r="W1164">
        <v>500</v>
      </c>
      <c r="X1164">
        <v>2.79</v>
      </c>
    </row>
    <row r="1165" spans="1:24" hidden="1" outlineLevel="2" x14ac:dyDescent="0.25">
      <c r="A1165" t="str">
        <f t="shared" si="175"/>
        <v>AK8 - 1995</v>
      </c>
      <c r="B1165" t="s">
        <v>37</v>
      </c>
      <c r="C1165">
        <v>6</v>
      </c>
      <c r="D1165">
        <v>10</v>
      </c>
      <c r="E1165">
        <v>1995</v>
      </c>
      <c r="F1165">
        <v>112.5</v>
      </c>
      <c r="G1165">
        <v>8.6999999999999993</v>
      </c>
      <c r="H1165">
        <v>7.8</v>
      </c>
      <c r="I1165">
        <v>0.9</v>
      </c>
      <c r="J1165">
        <v>10</v>
      </c>
      <c r="K1165">
        <v>59.1</v>
      </c>
      <c r="L1165">
        <v>397.6</v>
      </c>
      <c r="M1165">
        <v>407</v>
      </c>
      <c r="N1165">
        <v>394</v>
      </c>
      <c r="O1165">
        <v>523</v>
      </c>
      <c r="P1165">
        <v>129</v>
      </c>
      <c r="Q1165">
        <v>329</v>
      </c>
      <c r="R1165">
        <v>527</v>
      </c>
      <c r="S1165">
        <v>198</v>
      </c>
      <c r="T1165">
        <v>280.2</v>
      </c>
      <c r="U1165">
        <v>413</v>
      </c>
      <c r="V1165">
        <v>417</v>
      </c>
      <c r="W1165">
        <v>500</v>
      </c>
      <c r="X1165">
        <v>2.79</v>
      </c>
    </row>
    <row r="1166" spans="1:24" hidden="1" outlineLevel="2" x14ac:dyDescent="0.25">
      <c r="A1166" t="str">
        <f t="shared" si="175"/>
        <v>AK8 - 1995</v>
      </c>
      <c r="B1166" t="s">
        <v>37</v>
      </c>
      <c r="C1166">
        <v>7</v>
      </c>
      <c r="D1166">
        <v>10</v>
      </c>
      <c r="E1166">
        <v>1995</v>
      </c>
      <c r="F1166">
        <v>77.2</v>
      </c>
      <c r="G1166">
        <v>8.1</v>
      </c>
      <c r="H1166">
        <v>7.5</v>
      </c>
      <c r="I1166">
        <v>0.6</v>
      </c>
      <c r="J1166">
        <v>7</v>
      </c>
      <c r="K1166">
        <v>37.200000000000003</v>
      </c>
      <c r="L1166">
        <v>187.2</v>
      </c>
      <c r="M1166">
        <v>422</v>
      </c>
      <c r="N1166">
        <v>413</v>
      </c>
      <c r="O1166">
        <v>534</v>
      </c>
      <c r="P1166">
        <v>121</v>
      </c>
      <c r="Q1166">
        <v>320</v>
      </c>
      <c r="R1166">
        <v>562</v>
      </c>
      <c r="S1166">
        <v>242</v>
      </c>
      <c r="T1166">
        <v>213.6</v>
      </c>
      <c r="U1166">
        <v>413</v>
      </c>
      <c r="V1166">
        <v>422</v>
      </c>
      <c r="W1166">
        <v>500</v>
      </c>
      <c r="X1166">
        <v>2.79</v>
      </c>
    </row>
    <row r="1167" spans="1:24" hidden="1" outlineLevel="2" x14ac:dyDescent="0.25">
      <c r="A1167" t="str">
        <f t="shared" si="175"/>
        <v>AK8 - 1995</v>
      </c>
      <c r="B1167" t="s">
        <v>37</v>
      </c>
      <c r="C1167">
        <v>8</v>
      </c>
      <c r="D1167">
        <v>10</v>
      </c>
      <c r="E1167">
        <v>1995</v>
      </c>
      <c r="F1167">
        <v>135.6</v>
      </c>
      <c r="G1167">
        <v>8.4</v>
      </c>
      <c r="H1167">
        <v>8.1</v>
      </c>
      <c r="I1167">
        <v>0.3</v>
      </c>
      <c r="J1167">
        <v>3</v>
      </c>
      <c r="K1167">
        <v>69.400000000000006</v>
      </c>
      <c r="L1167">
        <v>577.70000000000005</v>
      </c>
      <c r="M1167">
        <v>410</v>
      </c>
      <c r="N1167">
        <v>405</v>
      </c>
      <c r="O1167">
        <v>554</v>
      </c>
      <c r="P1167">
        <v>149</v>
      </c>
      <c r="Q1167">
        <v>313</v>
      </c>
      <c r="R1167">
        <v>554</v>
      </c>
      <c r="S1167">
        <v>241</v>
      </c>
      <c r="T1167">
        <v>200.4</v>
      </c>
      <c r="U1167">
        <v>427</v>
      </c>
      <c r="V1167">
        <v>430</v>
      </c>
      <c r="W1167">
        <v>500</v>
      </c>
      <c r="X1167">
        <v>2.79</v>
      </c>
    </row>
    <row r="1168" spans="1:24" hidden="1" outlineLevel="2" x14ac:dyDescent="0.25">
      <c r="A1168" t="str">
        <f t="shared" si="175"/>
        <v>AK8 - 1995</v>
      </c>
      <c r="B1168" t="s">
        <v>37</v>
      </c>
      <c r="C1168">
        <v>9</v>
      </c>
      <c r="D1168">
        <v>9</v>
      </c>
      <c r="E1168">
        <v>1995</v>
      </c>
      <c r="F1168">
        <v>176.2</v>
      </c>
      <c r="G1168">
        <v>12.6</v>
      </c>
      <c r="H1168">
        <v>12.3</v>
      </c>
      <c r="I1168">
        <v>0.3</v>
      </c>
      <c r="J1168">
        <v>2</v>
      </c>
      <c r="K1168">
        <v>134.5</v>
      </c>
      <c r="L1168">
        <v>975.4</v>
      </c>
      <c r="M1168">
        <v>390</v>
      </c>
      <c r="N1168">
        <v>387</v>
      </c>
      <c r="O1168">
        <v>528</v>
      </c>
      <c r="P1168">
        <v>141</v>
      </c>
      <c r="Q1168">
        <v>314</v>
      </c>
      <c r="R1168">
        <v>528</v>
      </c>
      <c r="S1168">
        <v>214</v>
      </c>
      <c r="T1168">
        <v>261.60000000000002</v>
      </c>
      <c r="U1168">
        <v>413</v>
      </c>
      <c r="V1168">
        <v>408</v>
      </c>
      <c r="W1168">
        <v>500</v>
      </c>
      <c r="X1168">
        <v>2.79</v>
      </c>
    </row>
    <row r="1169" spans="1:24" hidden="1" outlineLevel="2" x14ac:dyDescent="0.25">
      <c r="A1169" t="str">
        <f t="shared" si="175"/>
        <v>AK8 - 1995</v>
      </c>
      <c r="B1169" t="s">
        <v>37</v>
      </c>
      <c r="C1169">
        <v>10</v>
      </c>
      <c r="D1169">
        <v>10</v>
      </c>
      <c r="E1169">
        <v>1995</v>
      </c>
      <c r="F1169">
        <v>152.9</v>
      </c>
      <c r="G1169">
        <v>6.6</v>
      </c>
      <c r="H1169">
        <v>6.3</v>
      </c>
      <c r="I1169">
        <v>0.3</v>
      </c>
      <c r="J1169">
        <v>4</v>
      </c>
      <c r="K1169">
        <v>62</v>
      </c>
      <c r="L1169">
        <v>734.5</v>
      </c>
      <c r="M1169">
        <v>428</v>
      </c>
      <c r="N1169">
        <v>424</v>
      </c>
      <c r="O1169">
        <v>509</v>
      </c>
      <c r="P1169">
        <v>85</v>
      </c>
      <c r="Q1169">
        <v>327</v>
      </c>
      <c r="R1169">
        <v>509</v>
      </c>
      <c r="S1169">
        <v>182</v>
      </c>
      <c r="T1169">
        <v>237.9</v>
      </c>
      <c r="U1169">
        <v>419</v>
      </c>
      <c r="V1169">
        <v>416</v>
      </c>
      <c r="W1169">
        <v>500</v>
      </c>
      <c r="X1169">
        <v>2.79</v>
      </c>
    </row>
    <row r="1170" spans="1:24" outlineLevel="1" collapsed="1" x14ac:dyDescent="0.25">
      <c r="A1170" s="8" t="s">
        <v>125</v>
      </c>
      <c r="D1170">
        <f t="shared" ref="D1170:V1170" si="176">SUBTOTAL(1,D1160:D1169)</f>
        <v>9.9</v>
      </c>
      <c r="E1170">
        <f t="shared" si="176"/>
        <v>1995</v>
      </c>
      <c r="F1170">
        <f t="shared" si="176"/>
        <v>123.75000000000003</v>
      </c>
      <c r="G1170">
        <f t="shared" si="176"/>
        <v>7.7099999999999991</v>
      </c>
      <c r="H1170">
        <f t="shared" si="176"/>
        <v>7.0200000000000005</v>
      </c>
      <c r="I1170">
        <f t="shared" si="176"/>
        <v>0.69</v>
      </c>
      <c r="J1170">
        <f t="shared" si="176"/>
        <v>9.6</v>
      </c>
      <c r="K1170">
        <f t="shared" si="176"/>
        <v>60.220000000000006</v>
      </c>
      <c r="L1170">
        <f t="shared" si="176"/>
        <v>506.59999999999991</v>
      </c>
      <c r="M1170">
        <f t="shared" si="176"/>
        <v>413</v>
      </c>
      <c r="N1170">
        <f t="shared" si="176"/>
        <v>399.8</v>
      </c>
      <c r="O1170">
        <f t="shared" si="176"/>
        <v>534.29999999999995</v>
      </c>
      <c r="P1170">
        <f t="shared" si="176"/>
        <v>134.5</v>
      </c>
      <c r="Q1170">
        <f t="shared" si="176"/>
        <v>328.8</v>
      </c>
      <c r="R1170">
        <f t="shared" si="176"/>
        <v>550.79999999999995</v>
      </c>
      <c r="S1170">
        <f t="shared" si="176"/>
        <v>222</v>
      </c>
      <c r="T1170">
        <f t="shared" si="176"/>
        <v>228.99</v>
      </c>
      <c r="U1170">
        <f t="shared" si="176"/>
        <v>413.9</v>
      </c>
      <c r="V1170">
        <f t="shared" si="176"/>
        <v>416.1</v>
      </c>
    </row>
    <row r="1171" spans="1:24" hidden="1" outlineLevel="2" x14ac:dyDescent="0.25">
      <c r="A1171" t="str">
        <f t="shared" ref="A1171:A1180" si="177">CONCATENATE(B1171," - ",E1171)</f>
        <v>AK8 - 1996</v>
      </c>
      <c r="B1171" t="s">
        <v>37</v>
      </c>
      <c r="C1171">
        <v>1</v>
      </c>
      <c r="D1171">
        <v>11</v>
      </c>
      <c r="E1171">
        <v>1996</v>
      </c>
      <c r="F1171">
        <v>157</v>
      </c>
      <c r="G1171">
        <v>10.5</v>
      </c>
      <c r="H1171">
        <v>8.6999999999999993</v>
      </c>
      <c r="I1171">
        <v>1.8</v>
      </c>
      <c r="J1171">
        <v>17</v>
      </c>
      <c r="K1171">
        <v>100.1</v>
      </c>
      <c r="L1171">
        <v>774.4</v>
      </c>
      <c r="M1171">
        <v>381</v>
      </c>
      <c r="N1171">
        <v>350</v>
      </c>
      <c r="O1171">
        <v>534</v>
      </c>
      <c r="P1171">
        <v>184</v>
      </c>
      <c r="Q1171">
        <v>290</v>
      </c>
      <c r="R1171">
        <v>553</v>
      </c>
      <c r="S1171">
        <v>263</v>
      </c>
      <c r="T1171">
        <v>267.3</v>
      </c>
      <c r="U1171">
        <v>392</v>
      </c>
      <c r="V1171">
        <v>395</v>
      </c>
      <c r="W1171">
        <v>500</v>
      </c>
      <c r="X1171">
        <v>2.79</v>
      </c>
    </row>
    <row r="1172" spans="1:24" hidden="1" outlineLevel="2" x14ac:dyDescent="0.25">
      <c r="A1172" t="str">
        <f t="shared" si="177"/>
        <v>AK8 - 1996</v>
      </c>
      <c r="B1172" t="s">
        <v>37</v>
      </c>
      <c r="C1172">
        <v>2</v>
      </c>
      <c r="D1172">
        <v>11</v>
      </c>
      <c r="E1172">
        <v>1996</v>
      </c>
      <c r="F1172">
        <v>102.3</v>
      </c>
      <c r="G1172">
        <v>7.5</v>
      </c>
      <c r="H1172">
        <v>5.7</v>
      </c>
      <c r="I1172">
        <v>1.8</v>
      </c>
      <c r="J1172">
        <v>24</v>
      </c>
      <c r="K1172">
        <v>46.4</v>
      </c>
      <c r="L1172">
        <v>328.8</v>
      </c>
      <c r="M1172">
        <v>455</v>
      </c>
      <c r="N1172">
        <v>423</v>
      </c>
      <c r="O1172">
        <v>559</v>
      </c>
      <c r="P1172">
        <v>136</v>
      </c>
      <c r="Q1172">
        <v>387</v>
      </c>
      <c r="R1172">
        <v>594</v>
      </c>
      <c r="S1172">
        <v>207</v>
      </c>
      <c r="T1172">
        <v>143.1</v>
      </c>
      <c r="U1172">
        <v>431</v>
      </c>
      <c r="V1172">
        <v>434</v>
      </c>
      <c r="W1172">
        <v>500</v>
      </c>
      <c r="X1172">
        <v>2.79</v>
      </c>
    </row>
    <row r="1173" spans="1:24" hidden="1" outlineLevel="2" x14ac:dyDescent="0.25">
      <c r="A1173" t="str">
        <f t="shared" si="177"/>
        <v>AK8 - 1996</v>
      </c>
      <c r="B1173" t="s">
        <v>37</v>
      </c>
      <c r="C1173">
        <v>3</v>
      </c>
      <c r="D1173">
        <v>11</v>
      </c>
      <c r="E1173">
        <v>1996</v>
      </c>
      <c r="F1173">
        <v>137.4</v>
      </c>
      <c r="G1173">
        <v>6.6</v>
      </c>
      <c r="H1173">
        <v>5.0999999999999996</v>
      </c>
      <c r="I1173">
        <v>1.5</v>
      </c>
      <c r="J1173">
        <v>22</v>
      </c>
      <c r="K1173">
        <v>55.6</v>
      </c>
      <c r="L1173">
        <v>593.1</v>
      </c>
      <c r="M1173">
        <v>416</v>
      </c>
      <c r="N1173">
        <v>375</v>
      </c>
      <c r="O1173">
        <v>554</v>
      </c>
      <c r="P1173">
        <v>179</v>
      </c>
      <c r="Q1173">
        <v>340</v>
      </c>
      <c r="R1173">
        <v>587</v>
      </c>
      <c r="S1173">
        <v>247</v>
      </c>
      <c r="T1173">
        <v>271.2</v>
      </c>
      <c r="U1173">
        <v>404</v>
      </c>
      <c r="V1173">
        <v>409</v>
      </c>
      <c r="W1173">
        <v>500</v>
      </c>
      <c r="X1173">
        <v>2.79</v>
      </c>
    </row>
    <row r="1174" spans="1:24" hidden="1" outlineLevel="2" x14ac:dyDescent="0.25">
      <c r="A1174" t="str">
        <f t="shared" si="177"/>
        <v>AK8 - 1996</v>
      </c>
      <c r="B1174" t="s">
        <v>37</v>
      </c>
      <c r="C1174">
        <v>4</v>
      </c>
      <c r="D1174">
        <v>11</v>
      </c>
      <c r="E1174">
        <v>1996</v>
      </c>
      <c r="F1174">
        <v>114.2</v>
      </c>
      <c r="G1174">
        <v>10.5</v>
      </c>
      <c r="H1174">
        <v>9</v>
      </c>
      <c r="I1174">
        <v>1.5</v>
      </c>
      <c r="J1174">
        <v>14</v>
      </c>
      <c r="K1174">
        <v>71.900000000000006</v>
      </c>
      <c r="L1174">
        <v>409.7</v>
      </c>
      <c r="M1174">
        <v>385</v>
      </c>
      <c r="N1174">
        <v>359</v>
      </c>
      <c r="O1174">
        <v>540</v>
      </c>
      <c r="P1174">
        <v>181</v>
      </c>
      <c r="Q1174">
        <v>302</v>
      </c>
      <c r="R1174">
        <v>552</v>
      </c>
      <c r="S1174">
        <v>250</v>
      </c>
      <c r="T1174">
        <v>217.8</v>
      </c>
      <c r="U1174">
        <v>383</v>
      </c>
      <c r="V1174">
        <v>385</v>
      </c>
      <c r="W1174">
        <v>500</v>
      </c>
      <c r="X1174">
        <v>2.79</v>
      </c>
    </row>
    <row r="1175" spans="1:24" hidden="1" outlineLevel="2" x14ac:dyDescent="0.25">
      <c r="A1175" t="str">
        <f t="shared" si="177"/>
        <v>AK8 - 1996</v>
      </c>
      <c r="B1175" t="s">
        <v>37</v>
      </c>
      <c r="C1175">
        <v>5</v>
      </c>
      <c r="D1175">
        <v>11</v>
      </c>
      <c r="E1175">
        <v>1996</v>
      </c>
      <c r="F1175">
        <v>118.1</v>
      </c>
      <c r="G1175">
        <v>10.8</v>
      </c>
      <c r="H1175">
        <v>8.6999999999999993</v>
      </c>
      <c r="I1175">
        <v>2.1</v>
      </c>
      <c r="J1175">
        <v>19</v>
      </c>
      <c r="K1175">
        <v>76.5</v>
      </c>
      <c r="L1175">
        <v>438.2</v>
      </c>
      <c r="M1175">
        <v>404</v>
      </c>
      <c r="N1175">
        <v>365</v>
      </c>
      <c r="O1175">
        <v>567</v>
      </c>
      <c r="P1175">
        <v>202</v>
      </c>
      <c r="Q1175">
        <v>292</v>
      </c>
      <c r="R1175">
        <v>609</v>
      </c>
      <c r="S1175">
        <v>317</v>
      </c>
      <c r="T1175">
        <v>196.8</v>
      </c>
      <c r="U1175">
        <v>444</v>
      </c>
      <c r="V1175">
        <v>445</v>
      </c>
      <c r="W1175">
        <v>500</v>
      </c>
      <c r="X1175">
        <v>2.79</v>
      </c>
    </row>
    <row r="1176" spans="1:24" hidden="1" outlineLevel="2" x14ac:dyDescent="0.25">
      <c r="A1176" t="str">
        <f t="shared" si="177"/>
        <v>AK8 - 1996</v>
      </c>
      <c r="B1176" t="s">
        <v>37</v>
      </c>
      <c r="C1176">
        <v>6</v>
      </c>
      <c r="D1176">
        <v>11</v>
      </c>
      <c r="E1176">
        <v>1996</v>
      </c>
      <c r="F1176">
        <v>126</v>
      </c>
      <c r="G1176">
        <v>13.5</v>
      </c>
      <c r="H1176">
        <v>11.1</v>
      </c>
      <c r="I1176">
        <v>2.4</v>
      </c>
      <c r="J1176">
        <v>17</v>
      </c>
      <c r="K1176">
        <v>101.2</v>
      </c>
      <c r="L1176">
        <v>498.8</v>
      </c>
      <c r="M1176">
        <v>426</v>
      </c>
      <c r="N1176">
        <v>399</v>
      </c>
      <c r="O1176">
        <v>551</v>
      </c>
      <c r="P1176">
        <v>152</v>
      </c>
      <c r="Q1176">
        <v>354</v>
      </c>
      <c r="R1176">
        <v>592</v>
      </c>
      <c r="S1176">
        <v>238</v>
      </c>
      <c r="T1176">
        <v>280.2</v>
      </c>
      <c r="U1176">
        <v>413</v>
      </c>
      <c r="V1176">
        <v>417</v>
      </c>
      <c r="W1176">
        <v>500</v>
      </c>
      <c r="X1176">
        <v>2.79</v>
      </c>
    </row>
    <row r="1177" spans="1:24" hidden="1" outlineLevel="2" x14ac:dyDescent="0.25">
      <c r="A1177" t="str">
        <f t="shared" si="177"/>
        <v>AK8 - 1996</v>
      </c>
      <c r="B1177" t="s">
        <v>37</v>
      </c>
      <c r="C1177">
        <v>7</v>
      </c>
      <c r="D1177">
        <v>11</v>
      </c>
      <c r="E1177">
        <v>1996</v>
      </c>
      <c r="F1177">
        <v>89.5</v>
      </c>
      <c r="G1177">
        <v>12.3</v>
      </c>
      <c r="H1177">
        <v>10.199999999999999</v>
      </c>
      <c r="I1177">
        <v>2.1</v>
      </c>
      <c r="J1177">
        <v>17</v>
      </c>
      <c r="K1177">
        <v>64.400000000000006</v>
      </c>
      <c r="L1177">
        <v>251.6</v>
      </c>
      <c r="M1177">
        <v>413</v>
      </c>
      <c r="N1177">
        <v>386</v>
      </c>
      <c r="O1177">
        <v>545</v>
      </c>
      <c r="P1177">
        <v>159</v>
      </c>
      <c r="Q1177">
        <v>335</v>
      </c>
      <c r="R1177">
        <v>573</v>
      </c>
      <c r="S1177">
        <v>238</v>
      </c>
      <c r="T1177">
        <v>213.6</v>
      </c>
      <c r="U1177">
        <v>413</v>
      </c>
      <c r="V1177">
        <v>422</v>
      </c>
      <c r="W1177">
        <v>500</v>
      </c>
      <c r="X1177">
        <v>2.79</v>
      </c>
    </row>
    <row r="1178" spans="1:24" hidden="1" outlineLevel="2" x14ac:dyDescent="0.25">
      <c r="A1178" t="str">
        <f t="shared" si="177"/>
        <v>AK8 - 1996</v>
      </c>
      <c r="B1178" t="s">
        <v>37</v>
      </c>
      <c r="C1178">
        <v>8</v>
      </c>
      <c r="D1178">
        <v>11</v>
      </c>
      <c r="E1178">
        <v>1996</v>
      </c>
      <c r="F1178">
        <v>143.4</v>
      </c>
      <c r="G1178">
        <v>7.8</v>
      </c>
      <c r="H1178">
        <v>6</v>
      </c>
      <c r="I1178">
        <v>1.8</v>
      </c>
      <c r="J1178">
        <v>23</v>
      </c>
      <c r="K1178">
        <v>68.400000000000006</v>
      </c>
      <c r="L1178">
        <v>646</v>
      </c>
      <c r="M1178">
        <v>407</v>
      </c>
      <c r="N1178">
        <v>368</v>
      </c>
      <c r="O1178">
        <v>540</v>
      </c>
      <c r="P1178">
        <v>172</v>
      </c>
      <c r="Q1178">
        <v>330</v>
      </c>
      <c r="R1178">
        <v>556</v>
      </c>
      <c r="S1178">
        <v>226</v>
      </c>
      <c r="T1178">
        <v>200.4</v>
      </c>
      <c r="U1178">
        <v>427</v>
      </c>
      <c r="V1178">
        <v>430</v>
      </c>
      <c r="W1178">
        <v>500</v>
      </c>
      <c r="X1178">
        <v>2.79</v>
      </c>
    </row>
    <row r="1179" spans="1:24" hidden="1" outlineLevel="2" x14ac:dyDescent="0.25">
      <c r="A1179" t="str">
        <f t="shared" si="177"/>
        <v>AK8 - 1996</v>
      </c>
      <c r="B1179" t="s">
        <v>37</v>
      </c>
      <c r="C1179">
        <v>9</v>
      </c>
      <c r="D1179">
        <v>10</v>
      </c>
      <c r="E1179">
        <v>1996</v>
      </c>
      <c r="F1179">
        <v>185.5</v>
      </c>
      <c r="G1179">
        <v>9.3000000000000007</v>
      </c>
      <c r="H1179">
        <v>8.4</v>
      </c>
      <c r="I1179">
        <v>0.9</v>
      </c>
      <c r="J1179">
        <v>9</v>
      </c>
      <c r="K1179">
        <v>105.7</v>
      </c>
      <c r="L1179">
        <v>1081</v>
      </c>
      <c r="M1179">
        <v>375</v>
      </c>
      <c r="N1179">
        <v>357</v>
      </c>
      <c r="O1179">
        <v>539</v>
      </c>
      <c r="P1179">
        <v>182</v>
      </c>
      <c r="Q1179">
        <v>292</v>
      </c>
      <c r="R1179">
        <v>564</v>
      </c>
      <c r="S1179">
        <v>272</v>
      </c>
      <c r="T1179">
        <v>261.60000000000002</v>
      </c>
      <c r="U1179">
        <v>413</v>
      </c>
      <c r="V1179">
        <v>408</v>
      </c>
      <c r="W1179">
        <v>500</v>
      </c>
      <c r="X1179">
        <v>2.79</v>
      </c>
    </row>
    <row r="1180" spans="1:24" hidden="1" outlineLevel="2" x14ac:dyDescent="0.25">
      <c r="A1180" t="str">
        <f t="shared" si="177"/>
        <v>AK8 - 1996</v>
      </c>
      <c r="B1180" t="s">
        <v>37</v>
      </c>
      <c r="C1180">
        <v>10</v>
      </c>
      <c r="D1180">
        <v>11</v>
      </c>
      <c r="E1180">
        <v>1996</v>
      </c>
      <c r="F1180">
        <v>162.5</v>
      </c>
      <c r="G1180">
        <v>9.6</v>
      </c>
      <c r="H1180">
        <v>8.6999999999999993</v>
      </c>
      <c r="I1180">
        <v>0.9</v>
      </c>
      <c r="J1180">
        <v>9</v>
      </c>
      <c r="K1180">
        <v>95.1</v>
      </c>
      <c r="L1180">
        <v>829.6</v>
      </c>
      <c r="M1180">
        <v>409</v>
      </c>
      <c r="N1180">
        <v>396</v>
      </c>
      <c r="O1180">
        <v>529</v>
      </c>
      <c r="P1180">
        <v>133</v>
      </c>
      <c r="Q1180">
        <v>332</v>
      </c>
      <c r="R1180">
        <v>537</v>
      </c>
      <c r="S1180">
        <v>205</v>
      </c>
      <c r="T1180">
        <v>237.9</v>
      </c>
      <c r="U1180">
        <v>419</v>
      </c>
      <c r="V1180">
        <v>416</v>
      </c>
      <c r="W1180">
        <v>500</v>
      </c>
      <c r="X1180">
        <v>2.79</v>
      </c>
    </row>
    <row r="1181" spans="1:24" outlineLevel="1" collapsed="1" x14ac:dyDescent="0.25">
      <c r="A1181" s="8" t="s">
        <v>126</v>
      </c>
      <c r="D1181">
        <f t="shared" ref="D1181:V1181" si="178">SUBTOTAL(1,D1171:D1180)</f>
        <v>10.9</v>
      </c>
      <c r="E1181">
        <f t="shared" si="178"/>
        <v>1996</v>
      </c>
      <c r="F1181">
        <f t="shared" si="178"/>
        <v>133.59</v>
      </c>
      <c r="G1181">
        <f t="shared" si="178"/>
        <v>9.84</v>
      </c>
      <c r="H1181">
        <f t="shared" si="178"/>
        <v>8.16</v>
      </c>
      <c r="I1181">
        <f t="shared" si="178"/>
        <v>1.6800000000000002</v>
      </c>
      <c r="J1181">
        <f t="shared" si="178"/>
        <v>17.100000000000001</v>
      </c>
      <c r="K1181">
        <f t="shared" si="178"/>
        <v>78.53</v>
      </c>
      <c r="L1181">
        <f t="shared" si="178"/>
        <v>585.12000000000012</v>
      </c>
      <c r="M1181">
        <f t="shared" si="178"/>
        <v>407.1</v>
      </c>
      <c r="N1181">
        <f t="shared" si="178"/>
        <v>377.8</v>
      </c>
      <c r="O1181">
        <f t="shared" si="178"/>
        <v>545.79999999999995</v>
      </c>
      <c r="P1181">
        <f t="shared" si="178"/>
        <v>168</v>
      </c>
      <c r="Q1181">
        <f t="shared" si="178"/>
        <v>325.39999999999998</v>
      </c>
      <c r="R1181">
        <f t="shared" si="178"/>
        <v>571.70000000000005</v>
      </c>
      <c r="S1181">
        <f t="shared" si="178"/>
        <v>246.3</v>
      </c>
      <c r="T1181">
        <f t="shared" si="178"/>
        <v>228.99</v>
      </c>
      <c r="U1181">
        <f t="shared" si="178"/>
        <v>413.9</v>
      </c>
      <c r="V1181">
        <f t="shared" si="178"/>
        <v>416.1</v>
      </c>
    </row>
    <row r="1182" spans="1:24" hidden="1" outlineLevel="2" x14ac:dyDescent="0.25">
      <c r="A1182" t="str">
        <f t="shared" ref="A1182:A1191" si="179">CONCATENATE(B1182," - ",E1182)</f>
        <v>AK8 - 1997</v>
      </c>
      <c r="B1182" t="s">
        <v>37</v>
      </c>
      <c r="C1182">
        <v>1</v>
      </c>
      <c r="D1182">
        <v>12</v>
      </c>
      <c r="E1182">
        <v>1997</v>
      </c>
      <c r="F1182">
        <v>170.8</v>
      </c>
      <c r="G1182">
        <v>13.8</v>
      </c>
      <c r="H1182">
        <v>11.4</v>
      </c>
      <c r="I1182">
        <v>2.4</v>
      </c>
      <c r="J1182">
        <v>17</v>
      </c>
      <c r="K1182">
        <v>142.1</v>
      </c>
      <c r="L1182">
        <v>916.5</v>
      </c>
      <c r="M1182">
        <v>398</v>
      </c>
      <c r="N1182">
        <v>369</v>
      </c>
      <c r="O1182">
        <v>532</v>
      </c>
      <c r="P1182">
        <v>163</v>
      </c>
      <c r="Q1182">
        <v>322</v>
      </c>
      <c r="R1182">
        <v>544</v>
      </c>
      <c r="S1182">
        <v>222</v>
      </c>
      <c r="T1182">
        <v>267.3</v>
      </c>
      <c r="U1182">
        <v>392</v>
      </c>
      <c r="V1182">
        <v>395</v>
      </c>
      <c r="W1182">
        <v>500</v>
      </c>
      <c r="X1182">
        <v>2.79</v>
      </c>
    </row>
    <row r="1183" spans="1:24" hidden="1" outlineLevel="2" x14ac:dyDescent="0.25">
      <c r="A1183" t="str">
        <f t="shared" si="179"/>
        <v>AK8 - 1997</v>
      </c>
      <c r="B1183" t="s">
        <v>37</v>
      </c>
      <c r="C1183">
        <v>2</v>
      </c>
      <c r="D1183">
        <v>12</v>
      </c>
      <c r="E1183">
        <v>1997</v>
      </c>
      <c r="F1183">
        <v>110.1</v>
      </c>
      <c r="G1183">
        <v>7.8</v>
      </c>
      <c r="H1183">
        <v>5.4</v>
      </c>
      <c r="I1183">
        <v>2.4</v>
      </c>
      <c r="J1183">
        <v>30</v>
      </c>
      <c r="K1183">
        <v>52</v>
      </c>
      <c r="L1183">
        <v>380.8</v>
      </c>
      <c r="M1183">
        <v>469</v>
      </c>
      <c r="N1183">
        <v>433</v>
      </c>
      <c r="O1183">
        <v>549</v>
      </c>
      <c r="P1183">
        <v>116</v>
      </c>
      <c r="Q1183">
        <v>381</v>
      </c>
      <c r="R1183">
        <v>577</v>
      </c>
      <c r="S1183">
        <v>196</v>
      </c>
      <c r="T1183">
        <v>143.1</v>
      </c>
      <c r="U1183">
        <v>431</v>
      </c>
      <c r="V1183">
        <v>434</v>
      </c>
      <c r="W1183">
        <v>500</v>
      </c>
      <c r="X1183">
        <v>2.79</v>
      </c>
    </row>
    <row r="1184" spans="1:24" hidden="1" outlineLevel="2" x14ac:dyDescent="0.25">
      <c r="A1184" t="str">
        <f t="shared" si="179"/>
        <v>AK8 - 1997</v>
      </c>
      <c r="B1184" t="s">
        <v>37</v>
      </c>
      <c r="C1184">
        <v>3</v>
      </c>
      <c r="D1184">
        <v>12</v>
      </c>
      <c r="E1184">
        <v>1997</v>
      </c>
      <c r="F1184">
        <v>145.80000000000001</v>
      </c>
      <c r="G1184">
        <v>8.4</v>
      </c>
      <c r="H1184">
        <v>6.9</v>
      </c>
      <c r="I1184">
        <v>1.5</v>
      </c>
      <c r="J1184">
        <v>17</v>
      </c>
      <c r="K1184">
        <v>74.7</v>
      </c>
      <c r="L1184">
        <v>667.8</v>
      </c>
      <c r="M1184">
        <v>449</v>
      </c>
      <c r="N1184">
        <v>423</v>
      </c>
      <c r="O1184">
        <v>571</v>
      </c>
      <c r="P1184">
        <v>148</v>
      </c>
      <c r="Q1184">
        <v>359</v>
      </c>
      <c r="R1184">
        <v>595</v>
      </c>
      <c r="S1184">
        <v>236</v>
      </c>
      <c r="T1184">
        <v>271.2</v>
      </c>
      <c r="U1184">
        <v>404</v>
      </c>
      <c r="V1184">
        <v>409</v>
      </c>
      <c r="W1184">
        <v>500</v>
      </c>
      <c r="X1184">
        <v>2.79</v>
      </c>
    </row>
    <row r="1185" spans="1:24" hidden="1" outlineLevel="2" x14ac:dyDescent="0.25">
      <c r="A1185" t="str">
        <f t="shared" si="179"/>
        <v>AK8 - 1997</v>
      </c>
      <c r="B1185" t="s">
        <v>37</v>
      </c>
      <c r="C1185">
        <v>4</v>
      </c>
      <c r="D1185">
        <v>12</v>
      </c>
      <c r="E1185">
        <v>1997</v>
      </c>
      <c r="F1185">
        <v>127.7</v>
      </c>
      <c r="G1185">
        <v>13.5</v>
      </c>
      <c r="H1185">
        <v>11.7</v>
      </c>
      <c r="I1185">
        <v>1.8</v>
      </c>
      <c r="J1185">
        <v>13</v>
      </c>
      <c r="K1185">
        <v>102.6</v>
      </c>
      <c r="L1185">
        <v>512.29999999999995</v>
      </c>
      <c r="M1185">
        <v>379</v>
      </c>
      <c r="N1185">
        <v>355</v>
      </c>
      <c r="O1185">
        <v>539</v>
      </c>
      <c r="P1185">
        <v>184</v>
      </c>
      <c r="Q1185">
        <v>320</v>
      </c>
      <c r="R1185">
        <v>558</v>
      </c>
      <c r="S1185">
        <v>238</v>
      </c>
      <c r="T1185">
        <v>217.8</v>
      </c>
      <c r="U1185">
        <v>383</v>
      </c>
      <c r="V1185">
        <v>385</v>
      </c>
      <c r="W1185">
        <v>500</v>
      </c>
      <c r="X1185">
        <v>2.79</v>
      </c>
    </row>
    <row r="1186" spans="1:24" hidden="1" outlineLevel="2" x14ac:dyDescent="0.25">
      <c r="A1186" t="str">
        <f t="shared" si="179"/>
        <v>AK8 - 1997</v>
      </c>
      <c r="B1186" t="s">
        <v>37</v>
      </c>
      <c r="C1186">
        <v>5</v>
      </c>
      <c r="D1186">
        <v>12</v>
      </c>
      <c r="E1186">
        <v>1997</v>
      </c>
      <c r="F1186">
        <v>129.19999999999999</v>
      </c>
      <c r="G1186">
        <v>11.1</v>
      </c>
      <c r="H1186">
        <v>9</v>
      </c>
      <c r="I1186">
        <v>2.1</v>
      </c>
      <c r="J1186">
        <v>18</v>
      </c>
      <c r="K1186">
        <v>86.2</v>
      </c>
      <c r="L1186">
        <v>524.4</v>
      </c>
      <c r="M1186">
        <v>443</v>
      </c>
      <c r="N1186">
        <v>411</v>
      </c>
      <c r="O1186">
        <v>579</v>
      </c>
      <c r="P1186">
        <v>168</v>
      </c>
      <c r="Q1186">
        <v>375</v>
      </c>
      <c r="R1186">
        <v>613</v>
      </c>
      <c r="S1186">
        <v>238</v>
      </c>
      <c r="T1186">
        <v>196.8</v>
      </c>
      <c r="U1186">
        <v>444</v>
      </c>
      <c r="V1186">
        <v>445</v>
      </c>
      <c r="W1186">
        <v>500</v>
      </c>
      <c r="X1186">
        <v>2.79</v>
      </c>
    </row>
    <row r="1187" spans="1:24" hidden="1" outlineLevel="2" x14ac:dyDescent="0.25">
      <c r="A1187" t="str">
        <f t="shared" si="179"/>
        <v>AK8 - 1997</v>
      </c>
      <c r="B1187" t="s">
        <v>37</v>
      </c>
      <c r="C1187">
        <v>6</v>
      </c>
      <c r="D1187">
        <v>12</v>
      </c>
      <c r="E1187">
        <v>1997</v>
      </c>
      <c r="F1187">
        <v>141</v>
      </c>
      <c r="G1187">
        <v>15</v>
      </c>
      <c r="H1187">
        <v>12</v>
      </c>
      <c r="I1187">
        <v>3</v>
      </c>
      <c r="J1187">
        <v>20</v>
      </c>
      <c r="K1187">
        <v>125.8</v>
      </c>
      <c r="L1187">
        <v>624.6</v>
      </c>
      <c r="M1187">
        <v>416</v>
      </c>
      <c r="N1187">
        <v>385</v>
      </c>
      <c r="O1187">
        <v>541</v>
      </c>
      <c r="P1187">
        <v>156</v>
      </c>
      <c r="Q1187">
        <v>360</v>
      </c>
      <c r="R1187">
        <v>571</v>
      </c>
      <c r="S1187">
        <v>211</v>
      </c>
      <c r="T1187">
        <v>280.2</v>
      </c>
      <c r="U1187">
        <v>413</v>
      </c>
      <c r="V1187">
        <v>417</v>
      </c>
      <c r="W1187">
        <v>500</v>
      </c>
      <c r="X1187">
        <v>2.79</v>
      </c>
    </row>
    <row r="1188" spans="1:24" hidden="1" outlineLevel="2" x14ac:dyDescent="0.25">
      <c r="A1188" t="str">
        <f t="shared" si="179"/>
        <v>AK8 - 1997</v>
      </c>
      <c r="B1188" t="s">
        <v>37</v>
      </c>
      <c r="C1188">
        <v>7</v>
      </c>
      <c r="D1188">
        <v>12</v>
      </c>
      <c r="E1188">
        <v>1997</v>
      </c>
      <c r="F1188">
        <v>104.2</v>
      </c>
      <c r="G1188">
        <v>14.7</v>
      </c>
      <c r="H1188">
        <v>11.7</v>
      </c>
      <c r="I1188">
        <v>3</v>
      </c>
      <c r="J1188">
        <v>20</v>
      </c>
      <c r="K1188">
        <v>89.5</v>
      </c>
      <c r="L1188">
        <v>341.1</v>
      </c>
      <c r="M1188">
        <v>428</v>
      </c>
      <c r="N1188">
        <v>404</v>
      </c>
      <c r="O1188">
        <v>521</v>
      </c>
      <c r="P1188">
        <v>117</v>
      </c>
      <c r="Q1188">
        <v>334</v>
      </c>
      <c r="R1188">
        <v>548</v>
      </c>
      <c r="S1188">
        <v>214</v>
      </c>
      <c r="T1188">
        <v>213.6</v>
      </c>
      <c r="U1188">
        <v>413</v>
      </c>
      <c r="V1188">
        <v>422</v>
      </c>
      <c r="W1188">
        <v>500</v>
      </c>
      <c r="X1188">
        <v>2.79</v>
      </c>
    </row>
    <row r="1189" spans="1:24" hidden="1" outlineLevel="2" x14ac:dyDescent="0.25">
      <c r="A1189" t="str">
        <f t="shared" si="179"/>
        <v>AK8 - 1997</v>
      </c>
      <c r="B1189" t="s">
        <v>37</v>
      </c>
      <c r="C1189">
        <v>8</v>
      </c>
      <c r="D1189">
        <v>12</v>
      </c>
      <c r="E1189">
        <v>1997</v>
      </c>
      <c r="F1189">
        <v>154.19999999999999</v>
      </c>
      <c r="G1189">
        <v>10.8</v>
      </c>
      <c r="H1189">
        <v>9.3000000000000007</v>
      </c>
      <c r="I1189">
        <v>1.5</v>
      </c>
      <c r="J1189">
        <v>13</v>
      </c>
      <c r="K1189">
        <v>101</v>
      </c>
      <c r="L1189">
        <v>747</v>
      </c>
      <c r="M1189">
        <v>441</v>
      </c>
      <c r="N1189">
        <v>424</v>
      </c>
      <c r="O1189">
        <v>544</v>
      </c>
      <c r="P1189">
        <v>120</v>
      </c>
      <c r="Q1189">
        <v>383</v>
      </c>
      <c r="R1189">
        <v>582</v>
      </c>
      <c r="S1189">
        <v>199</v>
      </c>
      <c r="T1189">
        <v>200.4</v>
      </c>
      <c r="U1189">
        <v>427</v>
      </c>
      <c r="V1189">
        <v>430</v>
      </c>
      <c r="W1189">
        <v>500</v>
      </c>
      <c r="X1189">
        <v>2.79</v>
      </c>
    </row>
    <row r="1190" spans="1:24" hidden="1" outlineLevel="2" x14ac:dyDescent="0.25">
      <c r="A1190" t="str">
        <f t="shared" si="179"/>
        <v>AK8 - 1997</v>
      </c>
      <c r="B1190" t="s">
        <v>37</v>
      </c>
      <c r="C1190">
        <v>9</v>
      </c>
      <c r="D1190">
        <v>11</v>
      </c>
      <c r="E1190">
        <v>1997</v>
      </c>
      <c r="F1190">
        <v>196.9</v>
      </c>
      <c r="G1190">
        <v>11.4</v>
      </c>
      <c r="H1190">
        <v>10.199999999999999</v>
      </c>
      <c r="I1190">
        <v>1.2</v>
      </c>
      <c r="J1190">
        <v>10</v>
      </c>
      <c r="K1190">
        <v>137</v>
      </c>
      <c r="L1190">
        <v>1218</v>
      </c>
      <c r="M1190">
        <v>393</v>
      </c>
      <c r="N1190">
        <v>375</v>
      </c>
      <c r="O1190">
        <v>544</v>
      </c>
      <c r="P1190">
        <v>169</v>
      </c>
      <c r="Q1190">
        <v>312</v>
      </c>
      <c r="R1190">
        <v>567</v>
      </c>
      <c r="S1190">
        <v>255</v>
      </c>
      <c r="T1190">
        <v>261.60000000000002</v>
      </c>
      <c r="U1190">
        <v>413</v>
      </c>
      <c r="V1190">
        <v>408</v>
      </c>
      <c r="W1190">
        <v>500</v>
      </c>
      <c r="X1190">
        <v>2.79</v>
      </c>
    </row>
    <row r="1191" spans="1:24" hidden="1" outlineLevel="2" x14ac:dyDescent="0.25">
      <c r="A1191" t="str">
        <f t="shared" si="179"/>
        <v>AK8 - 1997</v>
      </c>
      <c r="B1191" t="s">
        <v>37</v>
      </c>
      <c r="C1191">
        <v>10</v>
      </c>
      <c r="D1191">
        <v>12</v>
      </c>
      <c r="E1191">
        <v>1997</v>
      </c>
      <c r="F1191">
        <v>173.9</v>
      </c>
      <c r="G1191">
        <v>11.4</v>
      </c>
      <c r="H1191">
        <v>10.5</v>
      </c>
      <c r="I1191">
        <v>0.9</v>
      </c>
      <c r="J1191">
        <v>7</v>
      </c>
      <c r="K1191">
        <v>120.5</v>
      </c>
      <c r="L1191">
        <v>950.1</v>
      </c>
      <c r="M1191">
        <v>411</v>
      </c>
      <c r="N1191">
        <v>401</v>
      </c>
      <c r="O1191">
        <v>519</v>
      </c>
      <c r="P1191">
        <v>118</v>
      </c>
      <c r="Q1191">
        <v>340</v>
      </c>
      <c r="R1191">
        <v>531</v>
      </c>
      <c r="S1191">
        <v>191</v>
      </c>
      <c r="T1191">
        <v>237.9</v>
      </c>
      <c r="U1191">
        <v>419</v>
      </c>
      <c r="V1191">
        <v>416</v>
      </c>
      <c r="W1191">
        <v>500</v>
      </c>
      <c r="X1191">
        <v>2.79</v>
      </c>
    </row>
    <row r="1192" spans="1:24" outlineLevel="1" collapsed="1" x14ac:dyDescent="0.25">
      <c r="A1192" s="8" t="s">
        <v>127</v>
      </c>
      <c r="D1192">
        <f t="shared" ref="D1192:V1192" si="180">SUBTOTAL(1,D1182:D1191)</f>
        <v>11.9</v>
      </c>
      <c r="E1192">
        <f t="shared" si="180"/>
        <v>1997</v>
      </c>
      <c r="F1192">
        <f t="shared" si="180"/>
        <v>145.38000000000002</v>
      </c>
      <c r="G1192">
        <f t="shared" si="180"/>
        <v>11.790000000000001</v>
      </c>
      <c r="H1192">
        <f t="shared" si="180"/>
        <v>9.81</v>
      </c>
      <c r="I1192">
        <f t="shared" si="180"/>
        <v>1.9799999999999998</v>
      </c>
      <c r="J1192">
        <f t="shared" si="180"/>
        <v>16.5</v>
      </c>
      <c r="K1192">
        <f t="shared" si="180"/>
        <v>103.14000000000001</v>
      </c>
      <c r="L1192">
        <f t="shared" si="180"/>
        <v>688.26</v>
      </c>
      <c r="M1192">
        <f t="shared" si="180"/>
        <v>422.7</v>
      </c>
      <c r="N1192">
        <f t="shared" si="180"/>
        <v>398</v>
      </c>
      <c r="O1192">
        <f t="shared" si="180"/>
        <v>543.9</v>
      </c>
      <c r="P1192">
        <f t="shared" si="180"/>
        <v>145.9</v>
      </c>
      <c r="Q1192">
        <f t="shared" si="180"/>
        <v>348.6</v>
      </c>
      <c r="R1192">
        <f t="shared" si="180"/>
        <v>568.6</v>
      </c>
      <c r="S1192">
        <f t="shared" si="180"/>
        <v>220</v>
      </c>
      <c r="T1192">
        <f t="shared" si="180"/>
        <v>228.99</v>
      </c>
      <c r="U1192">
        <f t="shared" si="180"/>
        <v>413.9</v>
      </c>
      <c r="V1192">
        <f t="shared" si="180"/>
        <v>416.1</v>
      </c>
    </row>
    <row r="1193" spans="1:24" hidden="1" outlineLevel="2" x14ac:dyDescent="0.25">
      <c r="A1193" t="str">
        <f t="shared" ref="A1193:A1202" si="181">CONCATENATE(B1193," - ",E1193)</f>
        <v>AK8 - 1998</v>
      </c>
      <c r="B1193" t="s">
        <v>37</v>
      </c>
      <c r="C1193">
        <v>1</v>
      </c>
      <c r="D1193">
        <v>13</v>
      </c>
      <c r="E1193">
        <v>1998</v>
      </c>
      <c r="F1193">
        <v>181</v>
      </c>
      <c r="G1193">
        <v>10.199999999999999</v>
      </c>
      <c r="H1193">
        <v>9.3000000000000007</v>
      </c>
      <c r="I1193">
        <v>0.9</v>
      </c>
      <c r="J1193">
        <v>8</v>
      </c>
      <c r="K1193">
        <v>112.7</v>
      </c>
      <c r="L1193">
        <v>1029.2</v>
      </c>
      <c r="M1193">
        <v>406</v>
      </c>
      <c r="N1193">
        <v>392</v>
      </c>
      <c r="O1193">
        <v>552</v>
      </c>
      <c r="P1193">
        <v>160</v>
      </c>
      <c r="Q1193">
        <v>315</v>
      </c>
      <c r="R1193">
        <v>569</v>
      </c>
      <c r="S1193">
        <v>254</v>
      </c>
      <c r="T1193">
        <v>267.3</v>
      </c>
      <c r="U1193">
        <v>392</v>
      </c>
      <c r="V1193">
        <v>395</v>
      </c>
      <c r="W1193">
        <v>500</v>
      </c>
      <c r="X1193">
        <v>2.79</v>
      </c>
    </row>
    <row r="1194" spans="1:24" hidden="1" outlineLevel="2" x14ac:dyDescent="0.25">
      <c r="A1194" t="str">
        <f t="shared" si="181"/>
        <v>AK8 - 1998</v>
      </c>
      <c r="B1194" t="s">
        <v>37</v>
      </c>
      <c r="C1194">
        <v>2</v>
      </c>
      <c r="D1194">
        <v>13</v>
      </c>
      <c r="E1194">
        <v>1998</v>
      </c>
      <c r="F1194">
        <v>116.1</v>
      </c>
      <c r="G1194">
        <v>6</v>
      </c>
      <c r="H1194">
        <v>3.9</v>
      </c>
      <c r="I1194">
        <v>2.1</v>
      </c>
      <c r="J1194">
        <v>35</v>
      </c>
      <c r="K1194">
        <v>42.6</v>
      </c>
      <c r="L1194">
        <v>423.5</v>
      </c>
      <c r="M1194">
        <v>456</v>
      </c>
      <c r="N1194">
        <v>417</v>
      </c>
      <c r="O1194">
        <v>529</v>
      </c>
      <c r="P1194">
        <v>112</v>
      </c>
      <c r="Q1194">
        <v>338</v>
      </c>
      <c r="R1194">
        <v>550</v>
      </c>
      <c r="S1194">
        <v>212</v>
      </c>
      <c r="T1194">
        <v>143.1</v>
      </c>
      <c r="U1194">
        <v>431</v>
      </c>
      <c r="V1194">
        <v>434</v>
      </c>
      <c r="W1194">
        <v>500</v>
      </c>
      <c r="X1194">
        <v>2.79</v>
      </c>
    </row>
    <row r="1195" spans="1:24" hidden="1" outlineLevel="2" x14ac:dyDescent="0.25">
      <c r="A1195" t="str">
        <f t="shared" si="181"/>
        <v>AK8 - 1998</v>
      </c>
      <c r="B1195" t="s">
        <v>37</v>
      </c>
      <c r="C1195">
        <v>3</v>
      </c>
      <c r="D1195">
        <v>13</v>
      </c>
      <c r="E1195">
        <v>1998</v>
      </c>
      <c r="F1195">
        <v>152.69999999999999</v>
      </c>
      <c r="G1195">
        <v>6.9</v>
      </c>
      <c r="H1195">
        <v>5.7</v>
      </c>
      <c r="I1195">
        <v>1.2</v>
      </c>
      <c r="J1195">
        <v>17</v>
      </c>
      <c r="K1195">
        <v>64.7</v>
      </c>
      <c r="L1195">
        <v>732.5</v>
      </c>
      <c r="M1195">
        <v>432</v>
      </c>
      <c r="N1195">
        <v>408</v>
      </c>
      <c r="O1195">
        <v>544</v>
      </c>
      <c r="P1195">
        <v>136</v>
      </c>
      <c r="Q1195">
        <v>333</v>
      </c>
      <c r="R1195">
        <v>569</v>
      </c>
      <c r="S1195">
        <v>236</v>
      </c>
      <c r="T1195">
        <v>271.2</v>
      </c>
      <c r="U1195">
        <v>404</v>
      </c>
      <c r="V1195">
        <v>409</v>
      </c>
      <c r="W1195">
        <v>500</v>
      </c>
      <c r="X1195">
        <v>2.79</v>
      </c>
    </row>
    <row r="1196" spans="1:24" hidden="1" outlineLevel="2" x14ac:dyDescent="0.25">
      <c r="A1196" t="str">
        <f t="shared" si="181"/>
        <v>AK8 - 1998</v>
      </c>
      <c r="B1196" t="s">
        <v>37</v>
      </c>
      <c r="C1196">
        <v>4</v>
      </c>
      <c r="D1196">
        <v>13</v>
      </c>
      <c r="E1196">
        <v>1998</v>
      </c>
      <c r="F1196">
        <v>139.1</v>
      </c>
      <c r="G1196">
        <v>11.4</v>
      </c>
      <c r="H1196">
        <v>10.5</v>
      </c>
      <c r="I1196">
        <v>0.9</v>
      </c>
      <c r="J1196">
        <v>7</v>
      </c>
      <c r="K1196">
        <v>95.6</v>
      </c>
      <c r="L1196">
        <v>607.9</v>
      </c>
      <c r="M1196">
        <v>372</v>
      </c>
      <c r="N1196">
        <v>359</v>
      </c>
      <c r="O1196">
        <v>531</v>
      </c>
      <c r="P1196">
        <v>172</v>
      </c>
      <c r="Q1196">
        <v>284</v>
      </c>
      <c r="R1196">
        <v>549</v>
      </c>
      <c r="S1196">
        <v>265</v>
      </c>
      <c r="T1196">
        <v>217.8</v>
      </c>
      <c r="U1196">
        <v>383</v>
      </c>
      <c r="V1196">
        <v>385</v>
      </c>
      <c r="W1196">
        <v>500</v>
      </c>
      <c r="X1196">
        <v>2.79</v>
      </c>
    </row>
    <row r="1197" spans="1:24" hidden="1" outlineLevel="2" x14ac:dyDescent="0.25">
      <c r="A1197" t="str">
        <f t="shared" si="181"/>
        <v>AK8 - 1998</v>
      </c>
      <c r="B1197" t="s">
        <v>37</v>
      </c>
      <c r="C1197">
        <v>5</v>
      </c>
      <c r="D1197">
        <v>13</v>
      </c>
      <c r="E1197">
        <v>1998</v>
      </c>
      <c r="F1197">
        <v>135.80000000000001</v>
      </c>
      <c r="G1197">
        <v>6.6</v>
      </c>
      <c r="H1197">
        <v>5.7</v>
      </c>
      <c r="I1197">
        <v>0.9</v>
      </c>
      <c r="J1197">
        <v>13</v>
      </c>
      <c r="K1197">
        <v>54.9</v>
      </c>
      <c r="L1197">
        <v>579.4</v>
      </c>
      <c r="M1197">
        <v>444</v>
      </c>
      <c r="N1197">
        <v>427</v>
      </c>
      <c r="O1197">
        <v>550</v>
      </c>
      <c r="P1197">
        <v>123</v>
      </c>
      <c r="Q1197">
        <v>397</v>
      </c>
      <c r="R1197">
        <v>622</v>
      </c>
      <c r="S1197">
        <v>225</v>
      </c>
      <c r="T1197">
        <v>196.8</v>
      </c>
      <c r="U1197">
        <v>444</v>
      </c>
      <c r="V1197">
        <v>445</v>
      </c>
      <c r="W1197">
        <v>500</v>
      </c>
      <c r="X1197">
        <v>2.79</v>
      </c>
    </row>
    <row r="1198" spans="1:24" hidden="1" outlineLevel="2" x14ac:dyDescent="0.25">
      <c r="A1198" t="str">
        <f t="shared" si="181"/>
        <v>AK8 - 1998</v>
      </c>
      <c r="B1198" t="s">
        <v>37</v>
      </c>
      <c r="C1198">
        <v>6</v>
      </c>
      <c r="D1198">
        <v>13</v>
      </c>
      <c r="E1198">
        <v>1998</v>
      </c>
      <c r="F1198">
        <v>151.80000000000001</v>
      </c>
      <c r="G1198">
        <v>10.8</v>
      </c>
      <c r="H1198">
        <v>9.3000000000000007</v>
      </c>
      <c r="I1198">
        <v>1.5</v>
      </c>
      <c r="J1198">
        <v>13</v>
      </c>
      <c r="K1198">
        <v>99.3</v>
      </c>
      <c r="L1198">
        <v>723.9</v>
      </c>
      <c r="M1198">
        <v>417</v>
      </c>
      <c r="N1198">
        <v>395</v>
      </c>
      <c r="O1198">
        <v>557</v>
      </c>
      <c r="P1198">
        <v>162</v>
      </c>
      <c r="Q1198">
        <v>323</v>
      </c>
      <c r="R1198">
        <v>577</v>
      </c>
      <c r="S1198">
        <v>254</v>
      </c>
      <c r="T1198">
        <v>280.2</v>
      </c>
      <c r="U1198">
        <v>413</v>
      </c>
      <c r="V1198">
        <v>417</v>
      </c>
      <c r="W1198">
        <v>500</v>
      </c>
      <c r="X1198">
        <v>2.79</v>
      </c>
    </row>
    <row r="1199" spans="1:24" hidden="1" outlineLevel="2" x14ac:dyDescent="0.25">
      <c r="A1199" t="str">
        <f t="shared" si="181"/>
        <v>AK8 - 1998</v>
      </c>
      <c r="B1199" t="s">
        <v>37</v>
      </c>
      <c r="C1199">
        <v>7</v>
      </c>
      <c r="D1199">
        <v>13</v>
      </c>
      <c r="E1199">
        <v>1998</v>
      </c>
      <c r="F1199">
        <v>116.5</v>
      </c>
      <c r="G1199">
        <v>12.3</v>
      </c>
      <c r="H1199">
        <v>10.199999999999999</v>
      </c>
      <c r="I1199">
        <v>2.1</v>
      </c>
      <c r="J1199">
        <v>17</v>
      </c>
      <c r="K1199">
        <v>85.3</v>
      </c>
      <c r="L1199">
        <v>426.4</v>
      </c>
      <c r="M1199">
        <v>409</v>
      </c>
      <c r="N1199">
        <v>385</v>
      </c>
      <c r="O1199">
        <v>528</v>
      </c>
      <c r="P1199">
        <v>143</v>
      </c>
      <c r="Q1199">
        <v>301</v>
      </c>
      <c r="R1199">
        <v>552</v>
      </c>
      <c r="S1199">
        <v>251</v>
      </c>
      <c r="T1199">
        <v>213.6</v>
      </c>
      <c r="U1199">
        <v>413</v>
      </c>
      <c r="V1199">
        <v>422</v>
      </c>
      <c r="W1199">
        <v>500</v>
      </c>
      <c r="X1199">
        <v>2.79</v>
      </c>
    </row>
    <row r="1200" spans="1:24" hidden="1" outlineLevel="2" x14ac:dyDescent="0.25">
      <c r="A1200" t="str">
        <f t="shared" si="181"/>
        <v>AK8 - 1998</v>
      </c>
      <c r="B1200" t="s">
        <v>37</v>
      </c>
      <c r="C1200">
        <v>8</v>
      </c>
      <c r="D1200">
        <v>13</v>
      </c>
      <c r="E1200">
        <v>1998</v>
      </c>
      <c r="F1200">
        <v>161.1</v>
      </c>
      <c r="G1200">
        <v>6.9</v>
      </c>
      <c r="H1200">
        <v>4.8</v>
      </c>
      <c r="I1200">
        <v>2.1</v>
      </c>
      <c r="J1200">
        <v>30</v>
      </c>
      <c r="K1200">
        <v>68.3</v>
      </c>
      <c r="L1200">
        <v>815.3</v>
      </c>
      <c r="M1200">
        <v>464</v>
      </c>
      <c r="N1200">
        <v>434</v>
      </c>
      <c r="O1200">
        <v>534</v>
      </c>
      <c r="P1200">
        <v>100</v>
      </c>
      <c r="Q1200">
        <v>382</v>
      </c>
      <c r="R1200">
        <v>560</v>
      </c>
      <c r="S1200">
        <v>178</v>
      </c>
      <c r="T1200">
        <v>200.4</v>
      </c>
      <c r="U1200">
        <v>427</v>
      </c>
      <c r="V1200">
        <v>430</v>
      </c>
      <c r="W1200">
        <v>500</v>
      </c>
      <c r="X1200">
        <v>2.79</v>
      </c>
    </row>
    <row r="1201" spans="1:24" hidden="1" outlineLevel="2" x14ac:dyDescent="0.25">
      <c r="A1201" t="str">
        <f t="shared" si="181"/>
        <v>AK8 - 1998</v>
      </c>
      <c r="B1201" t="s">
        <v>37</v>
      </c>
      <c r="C1201">
        <v>9</v>
      </c>
      <c r="D1201">
        <v>12</v>
      </c>
      <c r="E1201">
        <v>1998</v>
      </c>
      <c r="F1201">
        <v>203.5</v>
      </c>
      <c r="G1201">
        <v>6.6</v>
      </c>
      <c r="H1201">
        <v>5.0999999999999996</v>
      </c>
      <c r="I1201">
        <v>1.5</v>
      </c>
      <c r="J1201">
        <v>22</v>
      </c>
      <c r="K1201">
        <v>83</v>
      </c>
      <c r="L1201">
        <v>1301</v>
      </c>
      <c r="M1201">
        <v>405</v>
      </c>
      <c r="N1201">
        <v>366</v>
      </c>
      <c r="O1201">
        <v>538</v>
      </c>
      <c r="P1201">
        <v>172</v>
      </c>
      <c r="Q1201">
        <v>306</v>
      </c>
      <c r="R1201">
        <v>580</v>
      </c>
      <c r="S1201">
        <v>274</v>
      </c>
      <c r="T1201">
        <v>261.60000000000002</v>
      </c>
      <c r="U1201">
        <v>413</v>
      </c>
      <c r="V1201">
        <v>408</v>
      </c>
      <c r="W1201">
        <v>500</v>
      </c>
      <c r="X1201">
        <v>2.79</v>
      </c>
    </row>
    <row r="1202" spans="1:24" hidden="1" outlineLevel="2" x14ac:dyDescent="0.25">
      <c r="A1202" t="str">
        <f t="shared" si="181"/>
        <v>AK8 - 1998</v>
      </c>
      <c r="B1202" t="s">
        <v>37</v>
      </c>
      <c r="C1202">
        <v>10</v>
      </c>
      <c r="D1202">
        <v>13</v>
      </c>
      <c r="E1202">
        <v>1998</v>
      </c>
      <c r="F1202">
        <v>180.8</v>
      </c>
      <c r="G1202">
        <v>6.9</v>
      </c>
      <c r="H1202">
        <v>6.9</v>
      </c>
      <c r="I1202">
        <v>0</v>
      </c>
      <c r="J1202">
        <v>0</v>
      </c>
      <c r="K1202">
        <v>76.900000000000006</v>
      </c>
      <c r="L1202">
        <v>1026.9000000000001</v>
      </c>
      <c r="M1202">
        <v>412</v>
      </c>
      <c r="N1202">
        <v>412</v>
      </c>
      <c r="Q1202">
        <v>333</v>
      </c>
      <c r="R1202">
        <v>497</v>
      </c>
      <c r="S1202">
        <v>164</v>
      </c>
      <c r="T1202">
        <v>237.9</v>
      </c>
      <c r="U1202">
        <v>419</v>
      </c>
      <c r="V1202">
        <v>416</v>
      </c>
      <c r="W1202">
        <v>500</v>
      </c>
      <c r="X1202">
        <v>2.79</v>
      </c>
    </row>
    <row r="1203" spans="1:24" outlineLevel="1" collapsed="1" x14ac:dyDescent="0.25">
      <c r="A1203" s="8" t="s">
        <v>128</v>
      </c>
      <c r="D1203">
        <f t="shared" ref="D1203:V1203" si="182">SUBTOTAL(1,D1193:D1202)</f>
        <v>12.9</v>
      </c>
      <c r="E1203">
        <f t="shared" si="182"/>
        <v>1998</v>
      </c>
      <c r="F1203">
        <f t="shared" si="182"/>
        <v>153.83999999999997</v>
      </c>
      <c r="G1203">
        <f t="shared" si="182"/>
        <v>8.4600000000000009</v>
      </c>
      <c r="H1203">
        <f t="shared" si="182"/>
        <v>7.1400000000000006</v>
      </c>
      <c r="I1203">
        <f t="shared" si="182"/>
        <v>1.32</v>
      </c>
      <c r="J1203">
        <f t="shared" si="182"/>
        <v>16.2</v>
      </c>
      <c r="K1203">
        <f t="shared" si="182"/>
        <v>78.33</v>
      </c>
      <c r="L1203">
        <f t="shared" si="182"/>
        <v>766.6</v>
      </c>
      <c r="M1203">
        <f t="shared" si="182"/>
        <v>421.7</v>
      </c>
      <c r="N1203">
        <f t="shared" si="182"/>
        <v>399.5</v>
      </c>
      <c r="O1203">
        <f t="shared" si="182"/>
        <v>540.33333333333337</v>
      </c>
      <c r="P1203">
        <f t="shared" si="182"/>
        <v>142.22222222222223</v>
      </c>
      <c r="Q1203">
        <f t="shared" si="182"/>
        <v>331.2</v>
      </c>
      <c r="R1203">
        <f t="shared" si="182"/>
        <v>562.5</v>
      </c>
      <c r="S1203">
        <f t="shared" si="182"/>
        <v>231.3</v>
      </c>
      <c r="T1203">
        <f t="shared" si="182"/>
        <v>228.99</v>
      </c>
      <c r="U1203">
        <f t="shared" si="182"/>
        <v>413.9</v>
      </c>
      <c r="V1203">
        <f t="shared" si="182"/>
        <v>416.1</v>
      </c>
    </row>
    <row r="1204" spans="1:24" hidden="1" outlineLevel="2" x14ac:dyDescent="0.25">
      <c r="A1204" t="str">
        <f t="shared" ref="A1204:A1213" si="183">CONCATENATE(B1204," - ",E1204)</f>
        <v>AK8 - 1999</v>
      </c>
      <c r="B1204" t="s">
        <v>37</v>
      </c>
      <c r="C1204">
        <v>1</v>
      </c>
      <c r="D1204">
        <v>14</v>
      </c>
      <c r="E1204">
        <v>1999</v>
      </c>
      <c r="F1204">
        <v>193.3</v>
      </c>
      <c r="G1204">
        <v>12.3</v>
      </c>
      <c r="H1204">
        <v>11.4</v>
      </c>
      <c r="I1204">
        <v>0.9</v>
      </c>
      <c r="J1204">
        <v>7</v>
      </c>
      <c r="K1204">
        <v>144.6</v>
      </c>
      <c r="L1204">
        <v>1173.9000000000001</v>
      </c>
      <c r="M1204">
        <v>400</v>
      </c>
      <c r="N1204">
        <v>391</v>
      </c>
      <c r="O1204">
        <v>522</v>
      </c>
      <c r="P1204">
        <v>131</v>
      </c>
      <c r="Q1204">
        <v>336</v>
      </c>
      <c r="R1204">
        <v>537</v>
      </c>
      <c r="S1204">
        <v>201</v>
      </c>
      <c r="T1204">
        <v>267.3</v>
      </c>
      <c r="U1204">
        <v>392</v>
      </c>
      <c r="V1204">
        <v>395</v>
      </c>
      <c r="W1204">
        <v>500</v>
      </c>
      <c r="X1204">
        <v>2.79</v>
      </c>
    </row>
    <row r="1205" spans="1:24" hidden="1" outlineLevel="2" x14ac:dyDescent="0.25">
      <c r="A1205" t="str">
        <f t="shared" si="183"/>
        <v>AK8 - 1999</v>
      </c>
      <c r="B1205" t="s">
        <v>37</v>
      </c>
      <c r="C1205">
        <v>2</v>
      </c>
      <c r="D1205">
        <v>14</v>
      </c>
      <c r="E1205">
        <v>1999</v>
      </c>
      <c r="F1205">
        <v>121.2</v>
      </c>
      <c r="G1205">
        <v>5.0999999999999996</v>
      </c>
      <c r="H1205">
        <v>4.8</v>
      </c>
      <c r="I1205">
        <v>0.3</v>
      </c>
      <c r="J1205">
        <v>5</v>
      </c>
      <c r="K1205">
        <v>38</v>
      </c>
      <c r="L1205">
        <v>461.5</v>
      </c>
      <c r="M1205">
        <v>413</v>
      </c>
      <c r="N1205">
        <v>406</v>
      </c>
      <c r="O1205">
        <v>521</v>
      </c>
      <c r="P1205">
        <v>115</v>
      </c>
      <c r="Q1205">
        <v>361</v>
      </c>
      <c r="R1205">
        <v>521</v>
      </c>
      <c r="S1205">
        <v>160</v>
      </c>
      <c r="T1205">
        <v>143.1</v>
      </c>
      <c r="U1205">
        <v>431</v>
      </c>
      <c r="V1205">
        <v>434</v>
      </c>
      <c r="W1205">
        <v>500</v>
      </c>
      <c r="X1205">
        <v>2.79</v>
      </c>
    </row>
    <row r="1206" spans="1:24" hidden="1" outlineLevel="2" x14ac:dyDescent="0.25">
      <c r="A1206" t="str">
        <f t="shared" si="183"/>
        <v>AK8 - 1999</v>
      </c>
      <c r="B1206" t="s">
        <v>37</v>
      </c>
      <c r="C1206">
        <v>3</v>
      </c>
      <c r="D1206">
        <v>14</v>
      </c>
      <c r="E1206">
        <v>1999</v>
      </c>
      <c r="F1206">
        <v>162</v>
      </c>
      <c r="G1206">
        <v>9.3000000000000007</v>
      </c>
      <c r="H1206">
        <v>9.3000000000000007</v>
      </c>
      <c r="I1206">
        <v>0</v>
      </c>
      <c r="J1206">
        <v>0</v>
      </c>
      <c r="K1206">
        <v>91.9</v>
      </c>
      <c r="L1206">
        <v>824.5</v>
      </c>
      <c r="M1206">
        <v>388</v>
      </c>
      <c r="N1206">
        <v>388</v>
      </c>
      <c r="Q1206">
        <v>344</v>
      </c>
      <c r="R1206">
        <v>493</v>
      </c>
      <c r="S1206">
        <v>149</v>
      </c>
      <c r="T1206">
        <v>271.2</v>
      </c>
      <c r="U1206">
        <v>404</v>
      </c>
      <c r="V1206">
        <v>409</v>
      </c>
      <c r="W1206">
        <v>500</v>
      </c>
      <c r="X1206">
        <v>2.79</v>
      </c>
    </row>
    <row r="1207" spans="1:24" hidden="1" outlineLevel="2" x14ac:dyDescent="0.25">
      <c r="A1207" t="str">
        <f t="shared" si="183"/>
        <v>AK8 - 1999</v>
      </c>
      <c r="B1207" t="s">
        <v>37</v>
      </c>
      <c r="C1207">
        <v>4</v>
      </c>
      <c r="D1207">
        <v>14</v>
      </c>
      <c r="E1207">
        <v>1999</v>
      </c>
      <c r="F1207">
        <v>152.6</v>
      </c>
      <c r="G1207">
        <v>13.5</v>
      </c>
      <c r="H1207">
        <v>12.6</v>
      </c>
      <c r="I1207">
        <v>0.9</v>
      </c>
      <c r="J1207">
        <v>6</v>
      </c>
      <c r="K1207">
        <v>123.7</v>
      </c>
      <c r="L1207">
        <v>731.6</v>
      </c>
      <c r="M1207">
        <v>370</v>
      </c>
      <c r="N1207">
        <v>359</v>
      </c>
      <c r="O1207">
        <v>520</v>
      </c>
      <c r="P1207">
        <v>161</v>
      </c>
      <c r="Q1207">
        <v>326</v>
      </c>
      <c r="R1207">
        <v>551</v>
      </c>
      <c r="S1207">
        <v>225</v>
      </c>
      <c r="T1207">
        <v>217.8</v>
      </c>
      <c r="U1207">
        <v>383</v>
      </c>
      <c r="V1207">
        <v>385</v>
      </c>
      <c r="W1207">
        <v>500</v>
      </c>
      <c r="X1207">
        <v>2.79</v>
      </c>
    </row>
    <row r="1208" spans="1:24" hidden="1" outlineLevel="2" x14ac:dyDescent="0.25">
      <c r="A1208" t="str">
        <f t="shared" si="183"/>
        <v>AK8 - 1999</v>
      </c>
      <c r="B1208" t="s">
        <v>37</v>
      </c>
      <c r="C1208">
        <v>5</v>
      </c>
      <c r="D1208">
        <v>14</v>
      </c>
      <c r="E1208">
        <v>1999</v>
      </c>
      <c r="F1208">
        <v>143.30000000000001</v>
      </c>
      <c r="G1208">
        <v>7.5</v>
      </c>
      <c r="H1208">
        <v>6.9</v>
      </c>
      <c r="I1208">
        <v>0.6</v>
      </c>
      <c r="J1208">
        <v>8</v>
      </c>
      <c r="K1208">
        <v>65.8</v>
      </c>
      <c r="L1208">
        <v>645.1</v>
      </c>
      <c r="M1208">
        <v>422</v>
      </c>
      <c r="N1208">
        <v>411</v>
      </c>
      <c r="O1208">
        <v>557</v>
      </c>
      <c r="P1208">
        <v>146</v>
      </c>
      <c r="Q1208">
        <v>373</v>
      </c>
      <c r="R1208">
        <v>563</v>
      </c>
      <c r="S1208">
        <v>190</v>
      </c>
      <c r="T1208">
        <v>196.8</v>
      </c>
      <c r="U1208">
        <v>444</v>
      </c>
      <c r="V1208">
        <v>445</v>
      </c>
      <c r="W1208">
        <v>500</v>
      </c>
      <c r="X1208">
        <v>2.79</v>
      </c>
    </row>
    <row r="1209" spans="1:24" hidden="1" outlineLevel="2" x14ac:dyDescent="0.25">
      <c r="A1209" t="str">
        <f t="shared" si="183"/>
        <v>AK8 - 1999</v>
      </c>
      <c r="B1209" t="s">
        <v>37</v>
      </c>
      <c r="C1209">
        <v>6</v>
      </c>
      <c r="D1209">
        <v>14</v>
      </c>
      <c r="E1209">
        <v>1999</v>
      </c>
      <c r="F1209">
        <v>168</v>
      </c>
      <c r="G1209">
        <v>16.2</v>
      </c>
      <c r="H1209">
        <v>14.4</v>
      </c>
      <c r="I1209">
        <v>1.8</v>
      </c>
      <c r="J1209">
        <v>11</v>
      </c>
      <c r="K1209">
        <v>162.80000000000001</v>
      </c>
      <c r="L1209">
        <v>886.7</v>
      </c>
      <c r="M1209">
        <v>398</v>
      </c>
      <c r="N1209">
        <v>383</v>
      </c>
      <c r="O1209">
        <v>518</v>
      </c>
      <c r="P1209">
        <v>135</v>
      </c>
      <c r="Q1209">
        <v>333</v>
      </c>
      <c r="R1209">
        <v>541</v>
      </c>
      <c r="S1209">
        <v>208</v>
      </c>
      <c r="T1209">
        <v>280.2</v>
      </c>
      <c r="U1209">
        <v>413</v>
      </c>
      <c r="V1209">
        <v>417</v>
      </c>
      <c r="W1209">
        <v>500</v>
      </c>
      <c r="X1209">
        <v>2.79</v>
      </c>
    </row>
    <row r="1210" spans="1:24" hidden="1" outlineLevel="2" x14ac:dyDescent="0.25">
      <c r="A1210" t="str">
        <f t="shared" si="183"/>
        <v>AK8 - 1999</v>
      </c>
      <c r="B1210" t="s">
        <v>37</v>
      </c>
      <c r="C1210">
        <v>7</v>
      </c>
      <c r="D1210">
        <v>14</v>
      </c>
      <c r="E1210">
        <v>1999</v>
      </c>
      <c r="F1210">
        <v>128.5</v>
      </c>
      <c r="G1210">
        <v>12</v>
      </c>
      <c r="H1210">
        <v>11.7</v>
      </c>
      <c r="I1210">
        <v>0.3</v>
      </c>
      <c r="J1210">
        <v>2</v>
      </c>
      <c r="K1210">
        <v>92.4</v>
      </c>
      <c r="L1210">
        <v>518.70000000000005</v>
      </c>
      <c r="M1210">
        <v>384</v>
      </c>
      <c r="N1210">
        <v>381</v>
      </c>
      <c r="O1210">
        <v>505</v>
      </c>
      <c r="P1210">
        <v>124</v>
      </c>
      <c r="Q1210">
        <v>335</v>
      </c>
      <c r="R1210">
        <v>505</v>
      </c>
      <c r="S1210">
        <v>170</v>
      </c>
      <c r="T1210">
        <v>213.6</v>
      </c>
      <c r="U1210">
        <v>413</v>
      </c>
      <c r="V1210">
        <v>422</v>
      </c>
      <c r="W1210">
        <v>500</v>
      </c>
      <c r="X1210">
        <v>2.79</v>
      </c>
    </row>
    <row r="1211" spans="1:24" hidden="1" outlineLevel="2" x14ac:dyDescent="0.25">
      <c r="A1211" t="str">
        <f t="shared" si="183"/>
        <v>AK8 - 1999</v>
      </c>
      <c r="B1211" t="s">
        <v>37</v>
      </c>
      <c r="C1211">
        <v>8</v>
      </c>
      <c r="D1211">
        <v>14</v>
      </c>
      <c r="E1211">
        <v>1999</v>
      </c>
      <c r="F1211">
        <v>168.6</v>
      </c>
      <c r="G1211">
        <v>7.5</v>
      </c>
      <c r="H1211">
        <v>6.6</v>
      </c>
      <c r="I1211">
        <v>0.9</v>
      </c>
      <c r="J1211">
        <v>12</v>
      </c>
      <c r="K1211">
        <v>77.7</v>
      </c>
      <c r="L1211">
        <v>893</v>
      </c>
      <c r="M1211">
        <v>440</v>
      </c>
      <c r="N1211">
        <v>427</v>
      </c>
      <c r="O1211">
        <v>537</v>
      </c>
      <c r="P1211">
        <v>110</v>
      </c>
      <c r="Q1211">
        <v>378</v>
      </c>
      <c r="R1211">
        <v>550</v>
      </c>
      <c r="S1211">
        <v>172</v>
      </c>
      <c r="T1211">
        <v>200.4</v>
      </c>
      <c r="U1211">
        <v>427</v>
      </c>
      <c r="V1211">
        <v>430</v>
      </c>
      <c r="W1211">
        <v>500</v>
      </c>
      <c r="X1211">
        <v>2.79</v>
      </c>
    </row>
    <row r="1212" spans="1:24" hidden="1" outlineLevel="2" x14ac:dyDescent="0.25">
      <c r="A1212" t="str">
        <f t="shared" si="183"/>
        <v>AK8 - 1999</v>
      </c>
      <c r="B1212" t="s">
        <v>37</v>
      </c>
      <c r="C1212">
        <v>9</v>
      </c>
      <c r="D1212">
        <v>13</v>
      </c>
      <c r="E1212">
        <v>1999</v>
      </c>
      <c r="F1212">
        <v>210.1</v>
      </c>
      <c r="G1212">
        <v>6.6</v>
      </c>
      <c r="H1212">
        <v>6.6</v>
      </c>
      <c r="I1212">
        <v>0</v>
      </c>
      <c r="J1212">
        <v>0</v>
      </c>
      <c r="K1212">
        <v>85.8</v>
      </c>
      <c r="L1212">
        <v>1386.8</v>
      </c>
      <c r="M1212">
        <v>407</v>
      </c>
      <c r="N1212">
        <v>407</v>
      </c>
      <c r="Q1212">
        <v>344</v>
      </c>
      <c r="R1212">
        <v>490</v>
      </c>
      <c r="S1212">
        <v>146</v>
      </c>
      <c r="T1212">
        <v>261.60000000000002</v>
      </c>
      <c r="U1212">
        <v>413</v>
      </c>
      <c r="V1212">
        <v>408</v>
      </c>
      <c r="W1212">
        <v>500</v>
      </c>
      <c r="X1212">
        <v>2.79</v>
      </c>
    </row>
    <row r="1213" spans="1:24" hidden="1" outlineLevel="2" x14ac:dyDescent="0.25">
      <c r="A1213" t="str">
        <f t="shared" si="183"/>
        <v>AK8 - 1999</v>
      </c>
      <c r="B1213" t="s">
        <v>37</v>
      </c>
      <c r="C1213">
        <v>10</v>
      </c>
      <c r="D1213">
        <v>14</v>
      </c>
      <c r="E1213">
        <v>1999</v>
      </c>
      <c r="F1213">
        <v>188.3</v>
      </c>
      <c r="G1213">
        <v>7.5</v>
      </c>
      <c r="H1213">
        <v>7.5</v>
      </c>
      <c r="I1213">
        <v>0</v>
      </c>
      <c r="J1213">
        <v>0</v>
      </c>
      <c r="K1213">
        <v>87</v>
      </c>
      <c r="L1213">
        <v>1113.9000000000001</v>
      </c>
      <c r="M1213">
        <v>409</v>
      </c>
      <c r="N1213">
        <v>409</v>
      </c>
      <c r="Q1213">
        <v>361</v>
      </c>
      <c r="R1213">
        <v>481</v>
      </c>
      <c r="S1213">
        <v>120</v>
      </c>
      <c r="T1213">
        <v>237.9</v>
      </c>
      <c r="U1213">
        <v>419</v>
      </c>
      <c r="V1213">
        <v>416</v>
      </c>
      <c r="W1213">
        <v>500</v>
      </c>
      <c r="X1213">
        <v>2.79</v>
      </c>
    </row>
    <row r="1214" spans="1:24" outlineLevel="1" collapsed="1" x14ac:dyDescent="0.25">
      <c r="A1214" s="8" t="s">
        <v>129</v>
      </c>
      <c r="D1214">
        <f t="shared" ref="D1214:V1214" si="184">SUBTOTAL(1,D1204:D1213)</f>
        <v>13.9</v>
      </c>
      <c r="E1214">
        <f t="shared" si="184"/>
        <v>1999</v>
      </c>
      <c r="F1214">
        <f t="shared" si="184"/>
        <v>163.58999999999997</v>
      </c>
      <c r="G1214">
        <f t="shared" si="184"/>
        <v>9.75</v>
      </c>
      <c r="H1214">
        <f t="shared" si="184"/>
        <v>9.1799999999999979</v>
      </c>
      <c r="I1214">
        <f t="shared" si="184"/>
        <v>0.57000000000000006</v>
      </c>
      <c r="J1214">
        <f t="shared" si="184"/>
        <v>5.0999999999999996</v>
      </c>
      <c r="K1214">
        <f t="shared" si="184"/>
        <v>96.97</v>
      </c>
      <c r="L1214">
        <f t="shared" si="184"/>
        <v>863.57</v>
      </c>
      <c r="M1214">
        <f t="shared" si="184"/>
        <v>403.1</v>
      </c>
      <c r="N1214">
        <f t="shared" si="184"/>
        <v>396.2</v>
      </c>
      <c r="O1214">
        <f t="shared" si="184"/>
        <v>525.71428571428567</v>
      </c>
      <c r="P1214">
        <f t="shared" si="184"/>
        <v>131.71428571428572</v>
      </c>
      <c r="Q1214">
        <f t="shared" si="184"/>
        <v>349.1</v>
      </c>
      <c r="R1214">
        <f t="shared" si="184"/>
        <v>523.20000000000005</v>
      </c>
      <c r="S1214">
        <f t="shared" si="184"/>
        <v>174.1</v>
      </c>
      <c r="T1214">
        <f t="shared" si="184"/>
        <v>228.99</v>
      </c>
      <c r="U1214">
        <f t="shared" si="184"/>
        <v>413.9</v>
      </c>
      <c r="V1214">
        <f t="shared" si="184"/>
        <v>416.1</v>
      </c>
    </row>
    <row r="1215" spans="1:24" hidden="1" outlineLevel="2" x14ac:dyDescent="0.25">
      <c r="A1215" t="str">
        <f t="shared" ref="A1215:A1224" si="185">CONCATENATE(B1215," - ",E1215)</f>
        <v>AK8 - 2000</v>
      </c>
      <c r="B1215" t="s">
        <v>37</v>
      </c>
      <c r="C1215">
        <v>1</v>
      </c>
      <c r="D1215">
        <v>15</v>
      </c>
      <c r="E1215">
        <v>2000</v>
      </c>
      <c r="F1215">
        <v>201.4</v>
      </c>
      <c r="G1215">
        <v>8.1</v>
      </c>
      <c r="H1215">
        <v>7.8</v>
      </c>
      <c r="I1215">
        <v>0.3</v>
      </c>
      <c r="J1215">
        <v>3</v>
      </c>
      <c r="K1215">
        <v>100.4</v>
      </c>
      <c r="L1215">
        <v>1274.3</v>
      </c>
      <c r="M1215">
        <v>381</v>
      </c>
      <c r="N1215">
        <v>375</v>
      </c>
      <c r="O1215">
        <v>530</v>
      </c>
      <c r="P1215">
        <v>155</v>
      </c>
      <c r="Q1215">
        <v>313</v>
      </c>
      <c r="R1215">
        <v>530</v>
      </c>
      <c r="S1215">
        <v>217</v>
      </c>
      <c r="T1215">
        <v>267.3</v>
      </c>
      <c r="U1215">
        <v>392</v>
      </c>
      <c r="V1215">
        <v>395</v>
      </c>
      <c r="W1215">
        <v>500</v>
      </c>
      <c r="X1215">
        <v>2.79</v>
      </c>
    </row>
    <row r="1216" spans="1:24" hidden="1" outlineLevel="2" x14ac:dyDescent="0.25">
      <c r="A1216" t="str">
        <f t="shared" si="185"/>
        <v>AK8 - 2000</v>
      </c>
      <c r="B1216" t="s">
        <v>37</v>
      </c>
      <c r="C1216">
        <v>2</v>
      </c>
      <c r="D1216">
        <v>15</v>
      </c>
      <c r="E1216">
        <v>2000</v>
      </c>
      <c r="F1216">
        <v>125.4</v>
      </c>
      <c r="G1216">
        <v>4.2</v>
      </c>
      <c r="H1216">
        <v>3.6</v>
      </c>
      <c r="I1216">
        <v>0.6</v>
      </c>
      <c r="J1216">
        <v>14</v>
      </c>
      <c r="K1216">
        <v>32.5</v>
      </c>
      <c r="L1216">
        <v>494</v>
      </c>
      <c r="M1216">
        <v>425</v>
      </c>
      <c r="N1216">
        <v>408</v>
      </c>
      <c r="O1216">
        <v>528</v>
      </c>
      <c r="P1216">
        <v>120</v>
      </c>
      <c r="Q1216">
        <v>347</v>
      </c>
      <c r="R1216">
        <v>536</v>
      </c>
      <c r="S1216">
        <v>189</v>
      </c>
      <c r="T1216">
        <v>143.1</v>
      </c>
      <c r="U1216">
        <v>431</v>
      </c>
      <c r="V1216">
        <v>434</v>
      </c>
      <c r="W1216">
        <v>500</v>
      </c>
      <c r="X1216">
        <v>2.79</v>
      </c>
    </row>
    <row r="1217" spans="1:24" hidden="1" outlineLevel="2" x14ac:dyDescent="0.25">
      <c r="A1217" t="str">
        <f t="shared" si="185"/>
        <v>AK8 - 2000</v>
      </c>
      <c r="B1217" t="s">
        <v>37</v>
      </c>
      <c r="C1217">
        <v>3</v>
      </c>
      <c r="D1217">
        <v>15</v>
      </c>
      <c r="E1217">
        <v>2000</v>
      </c>
      <c r="F1217">
        <v>168</v>
      </c>
      <c r="G1217">
        <v>6</v>
      </c>
      <c r="H1217">
        <v>5.4</v>
      </c>
      <c r="I1217">
        <v>0.6</v>
      </c>
      <c r="J1217">
        <v>10</v>
      </c>
      <c r="K1217">
        <v>62.2</v>
      </c>
      <c r="L1217">
        <v>886.7</v>
      </c>
      <c r="M1217">
        <v>386</v>
      </c>
      <c r="N1217">
        <v>370</v>
      </c>
      <c r="O1217">
        <v>529</v>
      </c>
      <c r="P1217">
        <v>159</v>
      </c>
      <c r="Q1217">
        <v>305</v>
      </c>
      <c r="R1217">
        <v>534</v>
      </c>
      <c r="S1217">
        <v>229</v>
      </c>
      <c r="T1217">
        <v>271.2</v>
      </c>
      <c r="U1217">
        <v>404</v>
      </c>
      <c r="V1217">
        <v>409</v>
      </c>
      <c r="W1217">
        <v>500</v>
      </c>
      <c r="X1217">
        <v>2.79</v>
      </c>
    </row>
    <row r="1218" spans="1:24" hidden="1" outlineLevel="2" x14ac:dyDescent="0.25">
      <c r="A1218" t="str">
        <f t="shared" si="185"/>
        <v>AK8 - 2000</v>
      </c>
      <c r="B1218" t="s">
        <v>37</v>
      </c>
      <c r="C1218">
        <v>4</v>
      </c>
      <c r="D1218">
        <v>15</v>
      </c>
      <c r="E1218">
        <v>2000</v>
      </c>
      <c r="F1218">
        <v>163.4</v>
      </c>
      <c r="G1218">
        <v>10.8</v>
      </c>
      <c r="H1218">
        <v>10.5</v>
      </c>
      <c r="I1218">
        <v>0.3</v>
      </c>
      <c r="J1218">
        <v>2</v>
      </c>
      <c r="K1218">
        <v>107.2</v>
      </c>
      <c r="L1218">
        <v>838.8</v>
      </c>
      <c r="M1218">
        <v>352</v>
      </c>
      <c r="N1218">
        <v>347</v>
      </c>
      <c r="O1218">
        <v>550</v>
      </c>
      <c r="P1218">
        <v>203</v>
      </c>
      <c r="Q1218">
        <v>288</v>
      </c>
      <c r="R1218">
        <v>550</v>
      </c>
      <c r="S1218">
        <v>262</v>
      </c>
      <c r="T1218">
        <v>217.8</v>
      </c>
      <c r="U1218">
        <v>383</v>
      </c>
      <c r="V1218">
        <v>385</v>
      </c>
      <c r="W1218">
        <v>500</v>
      </c>
      <c r="X1218">
        <v>2.79</v>
      </c>
    </row>
    <row r="1219" spans="1:24" hidden="1" outlineLevel="2" x14ac:dyDescent="0.25">
      <c r="A1219" t="str">
        <f t="shared" si="185"/>
        <v>AK8 - 2000</v>
      </c>
      <c r="B1219" t="s">
        <v>37</v>
      </c>
      <c r="C1219">
        <v>5</v>
      </c>
      <c r="D1219">
        <v>15</v>
      </c>
      <c r="E1219">
        <v>2000</v>
      </c>
      <c r="F1219">
        <v>150.80000000000001</v>
      </c>
      <c r="G1219">
        <v>7.5</v>
      </c>
      <c r="H1219">
        <v>5.7</v>
      </c>
      <c r="I1219">
        <v>1.8</v>
      </c>
      <c r="J1219">
        <v>24</v>
      </c>
      <c r="K1219">
        <v>69.3</v>
      </c>
      <c r="L1219">
        <v>714.4</v>
      </c>
      <c r="M1219">
        <v>460</v>
      </c>
      <c r="N1219">
        <v>421</v>
      </c>
      <c r="O1219">
        <v>583</v>
      </c>
      <c r="P1219">
        <v>162</v>
      </c>
      <c r="Q1219">
        <v>371</v>
      </c>
      <c r="R1219">
        <v>635</v>
      </c>
      <c r="S1219">
        <v>264</v>
      </c>
      <c r="T1219">
        <v>196.8</v>
      </c>
      <c r="U1219">
        <v>444</v>
      </c>
      <c r="V1219">
        <v>445</v>
      </c>
      <c r="W1219">
        <v>500</v>
      </c>
      <c r="X1219">
        <v>2.79</v>
      </c>
    </row>
    <row r="1220" spans="1:24" hidden="1" outlineLevel="2" x14ac:dyDescent="0.25">
      <c r="A1220" t="str">
        <f t="shared" si="185"/>
        <v>AK8 - 2000</v>
      </c>
      <c r="B1220" t="s">
        <v>37</v>
      </c>
      <c r="C1220">
        <v>6</v>
      </c>
      <c r="D1220">
        <v>15</v>
      </c>
      <c r="E1220">
        <v>2000</v>
      </c>
      <c r="F1220">
        <v>183.3</v>
      </c>
      <c r="G1220">
        <v>15.3</v>
      </c>
      <c r="H1220">
        <v>13.8</v>
      </c>
      <c r="I1220">
        <v>1.5</v>
      </c>
      <c r="J1220">
        <v>9</v>
      </c>
      <c r="K1220">
        <v>168.9</v>
      </c>
      <c r="L1220">
        <v>1055.5</v>
      </c>
      <c r="M1220">
        <v>400</v>
      </c>
      <c r="N1220">
        <v>386</v>
      </c>
      <c r="O1220">
        <v>521</v>
      </c>
      <c r="P1220">
        <v>135</v>
      </c>
      <c r="Q1220">
        <v>328</v>
      </c>
      <c r="R1220">
        <v>552</v>
      </c>
      <c r="S1220">
        <v>224</v>
      </c>
      <c r="T1220">
        <v>280.2</v>
      </c>
      <c r="U1220">
        <v>413</v>
      </c>
      <c r="V1220">
        <v>417</v>
      </c>
      <c r="W1220">
        <v>500</v>
      </c>
      <c r="X1220">
        <v>2.79</v>
      </c>
    </row>
    <row r="1221" spans="1:24" hidden="1" outlineLevel="2" x14ac:dyDescent="0.25">
      <c r="A1221" t="str">
        <f t="shared" si="185"/>
        <v>AK8 - 2000</v>
      </c>
      <c r="B1221" t="s">
        <v>37</v>
      </c>
      <c r="C1221">
        <v>7</v>
      </c>
      <c r="D1221">
        <v>15</v>
      </c>
      <c r="E1221">
        <v>2000</v>
      </c>
      <c r="F1221">
        <v>137.19999999999999</v>
      </c>
      <c r="G1221">
        <v>8.6999999999999993</v>
      </c>
      <c r="H1221">
        <v>7.5</v>
      </c>
      <c r="I1221">
        <v>1.2</v>
      </c>
      <c r="J1221">
        <v>13</v>
      </c>
      <c r="K1221">
        <v>72.599999999999994</v>
      </c>
      <c r="L1221">
        <v>591.4</v>
      </c>
      <c r="M1221">
        <v>416</v>
      </c>
      <c r="N1221">
        <v>394</v>
      </c>
      <c r="O1221">
        <v>552</v>
      </c>
      <c r="P1221">
        <v>158</v>
      </c>
      <c r="Q1221">
        <v>337</v>
      </c>
      <c r="R1221">
        <v>581</v>
      </c>
      <c r="S1221">
        <v>244</v>
      </c>
      <c r="T1221">
        <v>213.6</v>
      </c>
      <c r="U1221">
        <v>413</v>
      </c>
      <c r="V1221">
        <v>422</v>
      </c>
      <c r="W1221">
        <v>500</v>
      </c>
      <c r="X1221">
        <v>2.79</v>
      </c>
    </row>
    <row r="1222" spans="1:24" hidden="1" outlineLevel="2" x14ac:dyDescent="0.25">
      <c r="A1222" t="str">
        <f t="shared" si="185"/>
        <v>AK8 - 2000</v>
      </c>
      <c r="B1222" t="s">
        <v>37</v>
      </c>
      <c r="C1222">
        <v>8</v>
      </c>
      <c r="D1222">
        <v>15</v>
      </c>
      <c r="E1222">
        <v>2000</v>
      </c>
      <c r="F1222">
        <v>174.3</v>
      </c>
      <c r="G1222">
        <v>5.7</v>
      </c>
      <c r="H1222">
        <v>4.2</v>
      </c>
      <c r="I1222">
        <v>1.5</v>
      </c>
      <c r="J1222">
        <v>26</v>
      </c>
      <c r="K1222">
        <v>61.4</v>
      </c>
      <c r="L1222">
        <v>954.4</v>
      </c>
      <c r="M1222">
        <v>455</v>
      </c>
      <c r="N1222">
        <v>424</v>
      </c>
      <c r="O1222">
        <v>543</v>
      </c>
      <c r="P1222">
        <v>119</v>
      </c>
      <c r="Q1222">
        <v>389</v>
      </c>
      <c r="R1222">
        <v>566</v>
      </c>
      <c r="S1222">
        <v>177</v>
      </c>
      <c r="T1222">
        <v>200.4</v>
      </c>
      <c r="U1222">
        <v>427</v>
      </c>
      <c r="V1222">
        <v>430</v>
      </c>
      <c r="W1222">
        <v>500</v>
      </c>
      <c r="X1222">
        <v>2.79</v>
      </c>
    </row>
    <row r="1223" spans="1:24" hidden="1" outlineLevel="2" x14ac:dyDescent="0.25">
      <c r="A1223" t="str">
        <f t="shared" si="185"/>
        <v>AK8 - 2000</v>
      </c>
      <c r="B1223" t="s">
        <v>37</v>
      </c>
      <c r="C1223">
        <v>9</v>
      </c>
      <c r="D1223">
        <v>14</v>
      </c>
      <c r="E1223">
        <v>2000</v>
      </c>
      <c r="F1223">
        <v>214.6</v>
      </c>
      <c r="G1223">
        <v>4.5</v>
      </c>
      <c r="H1223">
        <v>3.9</v>
      </c>
      <c r="I1223">
        <v>0.6</v>
      </c>
      <c r="J1223">
        <v>13</v>
      </c>
      <c r="K1223">
        <v>60</v>
      </c>
      <c r="L1223">
        <v>1446.8</v>
      </c>
      <c r="M1223">
        <v>423</v>
      </c>
      <c r="N1223">
        <v>409</v>
      </c>
      <c r="O1223">
        <v>519</v>
      </c>
      <c r="P1223">
        <v>110</v>
      </c>
      <c r="Q1223">
        <v>336</v>
      </c>
      <c r="R1223">
        <v>530</v>
      </c>
      <c r="S1223">
        <v>194</v>
      </c>
      <c r="T1223">
        <v>261.60000000000002</v>
      </c>
      <c r="U1223">
        <v>413</v>
      </c>
      <c r="V1223">
        <v>408</v>
      </c>
      <c r="W1223">
        <v>500</v>
      </c>
      <c r="X1223">
        <v>2.79</v>
      </c>
    </row>
    <row r="1224" spans="1:24" hidden="1" outlineLevel="2" x14ac:dyDescent="0.25">
      <c r="A1224" t="str">
        <f t="shared" si="185"/>
        <v>AK8 - 2000</v>
      </c>
      <c r="B1224" t="s">
        <v>37</v>
      </c>
      <c r="C1224">
        <v>10</v>
      </c>
      <c r="D1224">
        <v>15</v>
      </c>
      <c r="E1224">
        <v>2000</v>
      </c>
      <c r="F1224">
        <v>196.4</v>
      </c>
      <c r="G1224">
        <v>8.1</v>
      </c>
      <c r="H1224">
        <v>8.1</v>
      </c>
      <c r="I1224">
        <v>0</v>
      </c>
      <c r="J1224">
        <v>0</v>
      </c>
      <c r="K1224">
        <v>97.9</v>
      </c>
      <c r="L1224">
        <v>1211.8</v>
      </c>
      <c r="M1224">
        <v>374</v>
      </c>
      <c r="N1224">
        <v>374</v>
      </c>
      <c r="Q1224">
        <v>300</v>
      </c>
      <c r="R1224">
        <v>493</v>
      </c>
      <c r="S1224">
        <v>193</v>
      </c>
      <c r="T1224">
        <v>237.9</v>
      </c>
      <c r="U1224">
        <v>419</v>
      </c>
      <c r="V1224">
        <v>416</v>
      </c>
      <c r="W1224">
        <v>500</v>
      </c>
      <c r="X1224">
        <v>2.79</v>
      </c>
    </row>
    <row r="1225" spans="1:24" outlineLevel="1" collapsed="1" x14ac:dyDescent="0.25">
      <c r="A1225" s="8" t="s">
        <v>130</v>
      </c>
      <c r="D1225">
        <f t="shared" ref="D1225:V1225" si="186">SUBTOTAL(1,D1215:D1224)</f>
        <v>14.9</v>
      </c>
      <c r="E1225">
        <f t="shared" si="186"/>
        <v>2000</v>
      </c>
      <c r="F1225">
        <f t="shared" si="186"/>
        <v>171.48</v>
      </c>
      <c r="G1225">
        <f t="shared" si="186"/>
        <v>7.8900000000000006</v>
      </c>
      <c r="H1225">
        <f t="shared" si="186"/>
        <v>7.05</v>
      </c>
      <c r="I1225">
        <f t="shared" si="186"/>
        <v>0.84000000000000008</v>
      </c>
      <c r="J1225">
        <f t="shared" si="186"/>
        <v>11.4</v>
      </c>
      <c r="K1225">
        <f t="shared" si="186"/>
        <v>83.24</v>
      </c>
      <c r="L1225">
        <f t="shared" si="186"/>
        <v>946.80999999999983</v>
      </c>
      <c r="M1225">
        <f t="shared" si="186"/>
        <v>407.2</v>
      </c>
      <c r="N1225">
        <f t="shared" si="186"/>
        <v>390.8</v>
      </c>
      <c r="O1225">
        <f t="shared" si="186"/>
        <v>539.44444444444446</v>
      </c>
      <c r="P1225">
        <f t="shared" si="186"/>
        <v>146.77777777777777</v>
      </c>
      <c r="Q1225">
        <f t="shared" si="186"/>
        <v>331.4</v>
      </c>
      <c r="R1225">
        <f t="shared" si="186"/>
        <v>550.70000000000005</v>
      </c>
      <c r="S1225">
        <f t="shared" si="186"/>
        <v>219.3</v>
      </c>
      <c r="T1225">
        <f t="shared" si="186"/>
        <v>228.99</v>
      </c>
      <c r="U1225">
        <f t="shared" si="186"/>
        <v>413.9</v>
      </c>
      <c r="V1225">
        <f t="shared" si="186"/>
        <v>416.1</v>
      </c>
    </row>
    <row r="1226" spans="1:24" hidden="1" outlineLevel="2" x14ac:dyDescent="0.25">
      <c r="A1226" t="str">
        <f t="shared" ref="A1226:A1235" si="187">CONCATENATE(B1226," - ",E1226)</f>
        <v>AK8 - 2001</v>
      </c>
      <c r="B1226" t="s">
        <v>37</v>
      </c>
      <c r="C1226">
        <v>1</v>
      </c>
      <c r="D1226">
        <v>16</v>
      </c>
      <c r="E1226">
        <v>2001</v>
      </c>
      <c r="F1226">
        <v>208.9</v>
      </c>
      <c r="G1226">
        <v>7.5</v>
      </c>
      <c r="H1226">
        <v>6.3</v>
      </c>
      <c r="I1226">
        <v>1.2</v>
      </c>
      <c r="J1226">
        <v>16</v>
      </c>
      <c r="K1226">
        <v>96.7</v>
      </c>
      <c r="L1226">
        <v>1371</v>
      </c>
      <c r="M1226">
        <v>406</v>
      </c>
      <c r="N1226">
        <v>380</v>
      </c>
      <c r="O1226">
        <v>540</v>
      </c>
      <c r="P1226">
        <v>160</v>
      </c>
      <c r="Q1226">
        <v>333</v>
      </c>
      <c r="R1226">
        <v>568</v>
      </c>
      <c r="S1226">
        <v>235</v>
      </c>
      <c r="T1226">
        <v>267.3</v>
      </c>
      <c r="U1226">
        <v>392</v>
      </c>
      <c r="V1226">
        <v>395</v>
      </c>
      <c r="W1226">
        <v>500</v>
      </c>
      <c r="X1226">
        <v>2.79</v>
      </c>
    </row>
    <row r="1227" spans="1:24" hidden="1" outlineLevel="2" x14ac:dyDescent="0.25">
      <c r="A1227" t="str">
        <f t="shared" si="187"/>
        <v>AK8 - 2001</v>
      </c>
      <c r="B1227" t="s">
        <v>37</v>
      </c>
      <c r="C1227">
        <v>2</v>
      </c>
      <c r="D1227">
        <v>16</v>
      </c>
      <c r="E1227">
        <v>2001</v>
      </c>
      <c r="F1227">
        <v>129.6</v>
      </c>
      <c r="G1227">
        <v>4.2</v>
      </c>
      <c r="H1227">
        <v>3.9</v>
      </c>
      <c r="I1227">
        <v>0.3</v>
      </c>
      <c r="J1227">
        <v>7</v>
      </c>
      <c r="K1227">
        <v>33.6</v>
      </c>
      <c r="L1227">
        <v>527.70000000000005</v>
      </c>
      <c r="M1227">
        <v>446</v>
      </c>
      <c r="N1227">
        <v>439</v>
      </c>
      <c r="O1227">
        <v>539</v>
      </c>
      <c r="P1227">
        <v>100</v>
      </c>
      <c r="Q1227">
        <v>383</v>
      </c>
      <c r="R1227">
        <v>539</v>
      </c>
      <c r="S1227">
        <v>156</v>
      </c>
      <c r="T1227">
        <v>143.1</v>
      </c>
      <c r="U1227">
        <v>431</v>
      </c>
      <c r="V1227">
        <v>434</v>
      </c>
      <c r="W1227">
        <v>500</v>
      </c>
      <c r="X1227">
        <v>2.79</v>
      </c>
    </row>
    <row r="1228" spans="1:24" hidden="1" outlineLevel="2" x14ac:dyDescent="0.25">
      <c r="A1228" t="str">
        <f t="shared" si="187"/>
        <v>AK8 - 2001</v>
      </c>
      <c r="B1228" t="s">
        <v>37</v>
      </c>
      <c r="C1228">
        <v>3</v>
      </c>
      <c r="D1228">
        <v>16</v>
      </c>
      <c r="E1228">
        <v>2001</v>
      </c>
      <c r="F1228">
        <v>177.9</v>
      </c>
      <c r="G1228">
        <v>9.9</v>
      </c>
      <c r="H1228">
        <v>8.1</v>
      </c>
      <c r="I1228">
        <v>1.8</v>
      </c>
      <c r="J1228">
        <v>18</v>
      </c>
      <c r="K1228">
        <v>107.6</v>
      </c>
      <c r="L1228">
        <v>994.3</v>
      </c>
      <c r="M1228">
        <v>438</v>
      </c>
      <c r="N1228">
        <v>410</v>
      </c>
      <c r="O1228">
        <v>561</v>
      </c>
      <c r="P1228">
        <v>151</v>
      </c>
      <c r="Q1228">
        <v>354</v>
      </c>
      <c r="R1228">
        <v>614</v>
      </c>
      <c r="S1228">
        <v>260</v>
      </c>
      <c r="T1228">
        <v>271.2</v>
      </c>
      <c r="U1228">
        <v>404</v>
      </c>
      <c r="V1228">
        <v>409</v>
      </c>
      <c r="W1228">
        <v>500</v>
      </c>
      <c r="X1228">
        <v>2.79</v>
      </c>
    </row>
    <row r="1229" spans="1:24" hidden="1" outlineLevel="2" x14ac:dyDescent="0.25">
      <c r="A1229" t="str">
        <f t="shared" si="187"/>
        <v>AK8 - 2001</v>
      </c>
      <c r="B1229" t="s">
        <v>37</v>
      </c>
      <c r="C1229">
        <v>4</v>
      </c>
      <c r="D1229">
        <v>16</v>
      </c>
      <c r="E1229">
        <v>2001</v>
      </c>
      <c r="F1229">
        <v>175.1</v>
      </c>
      <c r="G1229">
        <v>11.7</v>
      </c>
      <c r="H1229">
        <v>11.1</v>
      </c>
      <c r="I1229">
        <v>0.6</v>
      </c>
      <c r="J1229">
        <v>5</v>
      </c>
      <c r="K1229">
        <v>124.4</v>
      </c>
      <c r="L1229">
        <v>963.2</v>
      </c>
      <c r="M1229">
        <v>370</v>
      </c>
      <c r="N1229">
        <v>359</v>
      </c>
      <c r="O1229">
        <v>568</v>
      </c>
      <c r="P1229">
        <v>209</v>
      </c>
      <c r="Q1229">
        <v>287</v>
      </c>
      <c r="R1229">
        <v>589</v>
      </c>
      <c r="S1229">
        <v>302</v>
      </c>
      <c r="T1229">
        <v>217.8</v>
      </c>
      <c r="U1229">
        <v>383</v>
      </c>
      <c r="V1229">
        <v>385</v>
      </c>
      <c r="W1229">
        <v>500</v>
      </c>
      <c r="X1229">
        <v>2.79</v>
      </c>
    </row>
    <row r="1230" spans="1:24" hidden="1" outlineLevel="2" x14ac:dyDescent="0.25">
      <c r="A1230" t="str">
        <f t="shared" si="187"/>
        <v>AK8 - 2001</v>
      </c>
      <c r="B1230" t="s">
        <v>37</v>
      </c>
      <c r="C1230">
        <v>5</v>
      </c>
      <c r="D1230">
        <v>16</v>
      </c>
      <c r="E1230">
        <v>2001</v>
      </c>
      <c r="F1230">
        <v>156.80000000000001</v>
      </c>
      <c r="G1230">
        <v>6</v>
      </c>
      <c r="H1230">
        <v>4.8</v>
      </c>
      <c r="I1230">
        <v>1.2</v>
      </c>
      <c r="J1230">
        <v>20</v>
      </c>
      <c r="K1230">
        <v>58</v>
      </c>
      <c r="L1230">
        <v>772.4</v>
      </c>
      <c r="M1230">
        <v>473</v>
      </c>
      <c r="N1230">
        <v>447</v>
      </c>
      <c r="O1230">
        <v>577</v>
      </c>
      <c r="P1230">
        <v>130</v>
      </c>
      <c r="Q1230">
        <v>407</v>
      </c>
      <c r="R1230">
        <v>624</v>
      </c>
      <c r="S1230">
        <v>217</v>
      </c>
      <c r="T1230">
        <v>196.8</v>
      </c>
      <c r="U1230">
        <v>444</v>
      </c>
      <c r="V1230">
        <v>445</v>
      </c>
      <c r="W1230">
        <v>500</v>
      </c>
      <c r="X1230">
        <v>2.79</v>
      </c>
    </row>
    <row r="1231" spans="1:24" hidden="1" outlineLevel="2" x14ac:dyDescent="0.25">
      <c r="A1231" t="str">
        <f t="shared" si="187"/>
        <v>AK8 - 2001</v>
      </c>
      <c r="B1231" t="s">
        <v>37</v>
      </c>
      <c r="C1231">
        <v>6</v>
      </c>
      <c r="D1231">
        <v>16</v>
      </c>
      <c r="E1231">
        <v>2001</v>
      </c>
      <c r="F1231">
        <v>195</v>
      </c>
      <c r="G1231">
        <v>11.7</v>
      </c>
      <c r="H1231">
        <v>9.6</v>
      </c>
      <c r="I1231">
        <v>2.1</v>
      </c>
      <c r="J1231">
        <v>17</v>
      </c>
      <c r="K1231">
        <v>139.1</v>
      </c>
      <c r="L1231">
        <v>1194.5999999999999</v>
      </c>
      <c r="M1231">
        <v>412</v>
      </c>
      <c r="N1231">
        <v>385</v>
      </c>
      <c r="O1231">
        <v>536</v>
      </c>
      <c r="P1231">
        <v>151</v>
      </c>
      <c r="Q1231">
        <v>337</v>
      </c>
      <c r="R1231">
        <v>569</v>
      </c>
      <c r="S1231">
        <v>232</v>
      </c>
      <c r="T1231">
        <v>280.2</v>
      </c>
      <c r="U1231">
        <v>413</v>
      </c>
      <c r="V1231">
        <v>417</v>
      </c>
      <c r="W1231">
        <v>500</v>
      </c>
      <c r="X1231">
        <v>2.79</v>
      </c>
    </row>
    <row r="1232" spans="1:24" hidden="1" outlineLevel="2" x14ac:dyDescent="0.25">
      <c r="A1232" t="str">
        <f t="shared" si="187"/>
        <v>AK8 - 2001</v>
      </c>
      <c r="B1232" t="s">
        <v>37</v>
      </c>
      <c r="C1232">
        <v>7</v>
      </c>
      <c r="D1232">
        <v>16</v>
      </c>
      <c r="E1232">
        <v>2001</v>
      </c>
      <c r="F1232">
        <v>145</v>
      </c>
      <c r="G1232">
        <v>7.8</v>
      </c>
      <c r="H1232">
        <v>6.3</v>
      </c>
      <c r="I1232">
        <v>1.5</v>
      </c>
      <c r="J1232">
        <v>19</v>
      </c>
      <c r="K1232">
        <v>69.2</v>
      </c>
      <c r="L1232">
        <v>660.5</v>
      </c>
      <c r="M1232">
        <v>442</v>
      </c>
      <c r="N1232">
        <v>414</v>
      </c>
      <c r="O1232">
        <v>563</v>
      </c>
      <c r="P1232">
        <v>149</v>
      </c>
      <c r="Q1232">
        <v>346</v>
      </c>
      <c r="R1232">
        <v>601</v>
      </c>
      <c r="S1232">
        <v>255</v>
      </c>
      <c r="T1232">
        <v>213.6</v>
      </c>
      <c r="U1232">
        <v>413</v>
      </c>
      <c r="V1232">
        <v>422</v>
      </c>
      <c r="W1232">
        <v>500</v>
      </c>
      <c r="X1232">
        <v>2.79</v>
      </c>
    </row>
    <row r="1233" spans="1:24" hidden="1" outlineLevel="2" x14ac:dyDescent="0.25">
      <c r="A1233" t="str">
        <f t="shared" si="187"/>
        <v>AK8 - 2001</v>
      </c>
      <c r="B1233" t="s">
        <v>37</v>
      </c>
      <c r="C1233">
        <v>8</v>
      </c>
      <c r="D1233">
        <v>16</v>
      </c>
      <c r="E1233">
        <v>2001</v>
      </c>
      <c r="F1233">
        <v>180.3</v>
      </c>
      <c r="G1233">
        <v>6</v>
      </c>
      <c r="H1233">
        <v>4.5</v>
      </c>
      <c r="I1233">
        <v>1.5</v>
      </c>
      <c r="J1233">
        <v>25</v>
      </c>
      <c r="K1233">
        <v>66.8</v>
      </c>
      <c r="L1233">
        <v>1021.3</v>
      </c>
      <c r="M1233">
        <v>462</v>
      </c>
      <c r="N1233">
        <v>432</v>
      </c>
      <c r="O1233">
        <v>554</v>
      </c>
      <c r="P1233">
        <v>122</v>
      </c>
      <c r="Q1233">
        <v>389</v>
      </c>
      <c r="R1233">
        <v>588</v>
      </c>
      <c r="S1233">
        <v>199</v>
      </c>
      <c r="T1233">
        <v>200.4</v>
      </c>
      <c r="U1233">
        <v>427</v>
      </c>
      <c r="V1233">
        <v>430</v>
      </c>
      <c r="W1233">
        <v>500</v>
      </c>
      <c r="X1233">
        <v>2.79</v>
      </c>
    </row>
    <row r="1234" spans="1:24" hidden="1" outlineLevel="2" x14ac:dyDescent="0.25">
      <c r="A1234" t="str">
        <f t="shared" si="187"/>
        <v>AK8 - 2001</v>
      </c>
      <c r="B1234" t="s">
        <v>37</v>
      </c>
      <c r="C1234">
        <v>9</v>
      </c>
      <c r="D1234">
        <v>15</v>
      </c>
      <c r="E1234">
        <v>2001</v>
      </c>
      <c r="F1234">
        <v>218.2</v>
      </c>
      <c r="G1234">
        <v>3.6</v>
      </c>
      <c r="H1234">
        <v>3</v>
      </c>
      <c r="I1234">
        <v>0.6</v>
      </c>
      <c r="J1234">
        <v>16</v>
      </c>
      <c r="K1234">
        <v>48.9</v>
      </c>
      <c r="L1234">
        <v>1495.8</v>
      </c>
      <c r="M1234">
        <v>424</v>
      </c>
      <c r="N1234">
        <v>401</v>
      </c>
      <c r="O1234">
        <v>538</v>
      </c>
      <c r="P1234">
        <v>137</v>
      </c>
      <c r="Q1234">
        <v>353</v>
      </c>
      <c r="R1234">
        <v>559</v>
      </c>
      <c r="S1234">
        <v>206</v>
      </c>
      <c r="T1234">
        <v>261.60000000000002</v>
      </c>
      <c r="U1234">
        <v>413</v>
      </c>
      <c r="V1234">
        <v>408</v>
      </c>
      <c r="W1234">
        <v>500</v>
      </c>
      <c r="X1234">
        <v>2.79</v>
      </c>
    </row>
    <row r="1235" spans="1:24" hidden="1" outlineLevel="2" x14ac:dyDescent="0.25">
      <c r="A1235" t="str">
        <f t="shared" si="187"/>
        <v>AK8 - 2001</v>
      </c>
      <c r="B1235" t="s">
        <v>37</v>
      </c>
      <c r="C1235">
        <v>10</v>
      </c>
      <c r="D1235">
        <v>16</v>
      </c>
      <c r="E1235">
        <v>2001</v>
      </c>
      <c r="F1235">
        <v>205.4</v>
      </c>
      <c r="G1235">
        <v>9</v>
      </c>
      <c r="H1235">
        <v>8.6999999999999993</v>
      </c>
      <c r="I1235">
        <v>0.3</v>
      </c>
      <c r="J1235">
        <v>3</v>
      </c>
      <c r="K1235">
        <v>113.6</v>
      </c>
      <c r="L1235">
        <v>1325.4</v>
      </c>
      <c r="M1235">
        <v>415</v>
      </c>
      <c r="N1235">
        <v>412</v>
      </c>
      <c r="O1235">
        <v>502</v>
      </c>
      <c r="P1235">
        <v>90</v>
      </c>
      <c r="Q1235">
        <v>345</v>
      </c>
      <c r="R1235">
        <v>502</v>
      </c>
      <c r="S1235">
        <v>157</v>
      </c>
      <c r="T1235">
        <v>237.9</v>
      </c>
      <c r="U1235">
        <v>419</v>
      </c>
      <c r="V1235">
        <v>416</v>
      </c>
      <c r="W1235">
        <v>500</v>
      </c>
      <c r="X1235">
        <v>2.79</v>
      </c>
    </row>
    <row r="1236" spans="1:24" outlineLevel="1" collapsed="1" x14ac:dyDescent="0.25">
      <c r="A1236" s="8" t="s">
        <v>131</v>
      </c>
      <c r="D1236">
        <f t="shared" ref="D1236:V1236" si="188">SUBTOTAL(1,D1226:D1235)</f>
        <v>15.9</v>
      </c>
      <c r="E1236">
        <f t="shared" si="188"/>
        <v>2001</v>
      </c>
      <c r="F1236">
        <f t="shared" si="188"/>
        <v>179.22</v>
      </c>
      <c r="G1236">
        <f t="shared" si="188"/>
        <v>7.7399999999999993</v>
      </c>
      <c r="H1236">
        <f t="shared" si="188"/>
        <v>6.63</v>
      </c>
      <c r="I1236">
        <f t="shared" si="188"/>
        <v>1.1099999999999999</v>
      </c>
      <c r="J1236">
        <f t="shared" si="188"/>
        <v>14.6</v>
      </c>
      <c r="K1236">
        <f t="shared" si="188"/>
        <v>85.789999999999992</v>
      </c>
      <c r="L1236">
        <f t="shared" si="188"/>
        <v>1032.6199999999999</v>
      </c>
      <c r="M1236">
        <f t="shared" si="188"/>
        <v>428.8</v>
      </c>
      <c r="N1236">
        <f t="shared" si="188"/>
        <v>407.9</v>
      </c>
      <c r="O1236">
        <f t="shared" si="188"/>
        <v>547.79999999999995</v>
      </c>
      <c r="P1236">
        <f t="shared" si="188"/>
        <v>139.9</v>
      </c>
      <c r="Q1236">
        <f t="shared" si="188"/>
        <v>353.4</v>
      </c>
      <c r="R1236">
        <f t="shared" si="188"/>
        <v>575.29999999999995</v>
      </c>
      <c r="S1236">
        <f t="shared" si="188"/>
        <v>221.9</v>
      </c>
      <c r="T1236">
        <f t="shared" si="188"/>
        <v>228.99</v>
      </c>
      <c r="U1236">
        <f t="shared" si="188"/>
        <v>413.9</v>
      </c>
      <c r="V1236">
        <f t="shared" si="188"/>
        <v>416.1</v>
      </c>
    </row>
    <row r="1237" spans="1:24" hidden="1" outlineLevel="2" x14ac:dyDescent="0.25">
      <c r="A1237" t="str">
        <f t="shared" ref="A1237:A1246" si="189">CONCATENATE(B1237," - ",E1237)</f>
        <v>AK8 - 2002</v>
      </c>
      <c r="B1237" t="s">
        <v>37</v>
      </c>
      <c r="C1237">
        <v>1</v>
      </c>
      <c r="D1237">
        <v>17</v>
      </c>
      <c r="E1237">
        <v>2002</v>
      </c>
      <c r="F1237">
        <v>217.3</v>
      </c>
      <c r="G1237">
        <v>8.4</v>
      </c>
      <c r="H1237">
        <v>6.9</v>
      </c>
      <c r="I1237">
        <v>1.5</v>
      </c>
      <c r="J1237">
        <v>17</v>
      </c>
      <c r="K1237">
        <v>112.5</v>
      </c>
      <c r="L1237">
        <v>1483.4</v>
      </c>
      <c r="M1237">
        <v>418</v>
      </c>
      <c r="N1237">
        <v>387</v>
      </c>
      <c r="O1237">
        <v>557</v>
      </c>
      <c r="P1237">
        <v>170</v>
      </c>
      <c r="Q1237">
        <v>337</v>
      </c>
      <c r="R1237">
        <v>585</v>
      </c>
      <c r="S1237">
        <v>248</v>
      </c>
      <c r="T1237">
        <v>267.3</v>
      </c>
      <c r="U1237">
        <v>392</v>
      </c>
      <c r="V1237">
        <v>395</v>
      </c>
      <c r="W1237">
        <v>500</v>
      </c>
      <c r="X1237">
        <v>2.79</v>
      </c>
    </row>
    <row r="1238" spans="1:24" hidden="1" outlineLevel="2" x14ac:dyDescent="0.25">
      <c r="A1238" t="str">
        <f t="shared" si="189"/>
        <v>AK8 - 2002</v>
      </c>
      <c r="B1238" t="s">
        <v>37</v>
      </c>
      <c r="C1238">
        <v>2</v>
      </c>
      <c r="D1238">
        <v>17</v>
      </c>
      <c r="E1238">
        <v>2002</v>
      </c>
      <c r="F1238">
        <v>134.4</v>
      </c>
      <c r="G1238">
        <v>4.8</v>
      </c>
      <c r="H1238">
        <v>3.6</v>
      </c>
      <c r="I1238">
        <v>1.2</v>
      </c>
      <c r="J1238">
        <v>24</v>
      </c>
      <c r="K1238">
        <v>39.799999999999997</v>
      </c>
      <c r="L1238">
        <v>567.5</v>
      </c>
      <c r="M1238">
        <v>451</v>
      </c>
      <c r="N1238">
        <v>419</v>
      </c>
      <c r="O1238">
        <v>545</v>
      </c>
      <c r="P1238">
        <v>126</v>
      </c>
      <c r="Q1238">
        <v>373</v>
      </c>
      <c r="R1238">
        <v>602</v>
      </c>
      <c r="S1238">
        <v>229</v>
      </c>
      <c r="T1238">
        <v>143.1</v>
      </c>
      <c r="U1238">
        <v>431</v>
      </c>
      <c r="V1238">
        <v>434</v>
      </c>
      <c r="W1238">
        <v>500</v>
      </c>
      <c r="X1238">
        <v>2.79</v>
      </c>
    </row>
    <row r="1239" spans="1:24" hidden="1" outlineLevel="2" x14ac:dyDescent="0.25">
      <c r="A1239" t="str">
        <f t="shared" si="189"/>
        <v>AK8 - 2002</v>
      </c>
      <c r="B1239" t="s">
        <v>37</v>
      </c>
      <c r="C1239">
        <v>3</v>
      </c>
      <c r="D1239">
        <v>17</v>
      </c>
      <c r="E1239">
        <v>2002</v>
      </c>
      <c r="F1239">
        <v>190.2</v>
      </c>
      <c r="G1239">
        <v>12.3</v>
      </c>
      <c r="H1239">
        <v>10.199999999999999</v>
      </c>
      <c r="I1239">
        <v>2.1</v>
      </c>
      <c r="J1239">
        <v>17</v>
      </c>
      <c r="K1239">
        <v>142.19999999999999</v>
      </c>
      <c r="L1239">
        <v>1136.5</v>
      </c>
      <c r="M1239">
        <v>423</v>
      </c>
      <c r="N1239">
        <v>397</v>
      </c>
      <c r="O1239">
        <v>553</v>
      </c>
      <c r="P1239">
        <v>156</v>
      </c>
      <c r="Q1239">
        <v>344</v>
      </c>
      <c r="R1239">
        <v>595</v>
      </c>
      <c r="S1239">
        <v>251</v>
      </c>
      <c r="T1239">
        <v>271.2</v>
      </c>
      <c r="U1239">
        <v>404</v>
      </c>
      <c r="V1239">
        <v>409</v>
      </c>
      <c r="W1239">
        <v>500</v>
      </c>
      <c r="X1239">
        <v>2.79</v>
      </c>
    </row>
    <row r="1240" spans="1:24" hidden="1" outlineLevel="2" x14ac:dyDescent="0.25">
      <c r="A1240" t="str">
        <f t="shared" si="189"/>
        <v>AK8 - 2002</v>
      </c>
      <c r="B1240" t="s">
        <v>37</v>
      </c>
      <c r="C1240">
        <v>4</v>
      </c>
      <c r="D1240">
        <v>17</v>
      </c>
      <c r="E1240">
        <v>2002</v>
      </c>
      <c r="F1240">
        <v>187.4</v>
      </c>
      <c r="G1240">
        <v>12.3</v>
      </c>
      <c r="H1240">
        <v>10.5</v>
      </c>
      <c r="I1240">
        <v>1.8</v>
      </c>
      <c r="J1240">
        <v>14</v>
      </c>
      <c r="K1240">
        <v>140.1</v>
      </c>
      <c r="L1240">
        <v>1103.3</v>
      </c>
      <c r="M1240">
        <v>388</v>
      </c>
      <c r="N1240">
        <v>362</v>
      </c>
      <c r="O1240">
        <v>544</v>
      </c>
      <c r="P1240">
        <v>182</v>
      </c>
      <c r="Q1240">
        <v>306</v>
      </c>
      <c r="R1240">
        <v>578</v>
      </c>
      <c r="S1240">
        <v>272</v>
      </c>
      <c r="T1240">
        <v>217.8</v>
      </c>
      <c r="U1240">
        <v>383</v>
      </c>
      <c r="V1240">
        <v>385</v>
      </c>
      <c r="W1240">
        <v>500</v>
      </c>
      <c r="X1240">
        <v>2.79</v>
      </c>
    </row>
    <row r="1241" spans="1:24" hidden="1" outlineLevel="2" x14ac:dyDescent="0.25">
      <c r="A1241" t="str">
        <f t="shared" si="189"/>
        <v>AK8 - 2002</v>
      </c>
      <c r="B1241" t="s">
        <v>37</v>
      </c>
      <c r="C1241">
        <v>5</v>
      </c>
      <c r="D1241">
        <v>17</v>
      </c>
      <c r="E1241">
        <v>2002</v>
      </c>
      <c r="F1241">
        <v>162.19999999999999</v>
      </c>
      <c r="G1241">
        <v>5.4</v>
      </c>
      <c r="H1241">
        <v>3.9</v>
      </c>
      <c r="I1241">
        <v>1.5</v>
      </c>
      <c r="J1241">
        <v>27</v>
      </c>
      <c r="K1241">
        <v>54.1</v>
      </c>
      <c r="L1241">
        <v>826.5</v>
      </c>
      <c r="M1241">
        <v>488</v>
      </c>
      <c r="N1241">
        <v>455</v>
      </c>
      <c r="O1241">
        <v>576</v>
      </c>
      <c r="P1241">
        <v>121</v>
      </c>
      <c r="Q1241">
        <v>405</v>
      </c>
      <c r="R1241">
        <v>624</v>
      </c>
      <c r="S1241">
        <v>219</v>
      </c>
      <c r="T1241">
        <v>196.8</v>
      </c>
      <c r="U1241">
        <v>444</v>
      </c>
      <c r="V1241">
        <v>445</v>
      </c>
      <c r="W1241">
        <v>500</v>
      </c>
      <c r="X1241">
        <v>2.79</v>
      </c>
    </row>
    <row r="1242" spans="1:24" hidden="1" outlineLevel="2" x14ac:dyDescent="0.25">
      <c r="A1242" t="str">
        <f t="shared" si="189"/>
        <v>AK8 - 2002</v>
      </c>
      <c r="B1242" t="s">
        <v>37</v>
      </c>
      <c r="C1242">
        <v>6</v>
      </c>
      <c r="D1242">
        <v>17</v>
      </c>
      <c r="E1242">
        <v>2002</v>
      </c>
      <c r="F1242">
        <v>205.5</v>
      </c>
      <c r="G1242">
        <v>10.5</v>
      </c>
      <c r="H1242">
        <v>8.1</v>
      </c>
      <c r="I1242">
        <v>2.4</v>
      </c>
      <c r="J1242">
        <v>22</v>
      </c>
      <c r="K1242">
        <v>132.1</v>
      </c>
      <c r="L1242">
        <v>1326.7</v>
      </c>
      <c r="M1242">
        <v>426</v>
      </c>
      <c r="N1242">
        <v>391</v>
      </c>
      <c r="O1242">
        <v>547</v>
      </c>
      <c r="P1242">
        <v>156</v>
      </c>
      <c r="Q1242">
        <v>317</v>
      </c>
      <c r="R1242">
        <v>586</v>
      </c>
      <c r="S1242">
        <v>269</v>
      </c>
      <c r="T1242">
        <v>280.2</v>
      </c>
      <c r="U1242">
        <v>413</v>
      </c>
      <c r="V1242">
        <v>417</v>
      </c>
      <c r="W1242">
        <v>500</v>
      </c>
      <c r="X1242">
        <v>2.79</v>
      </c>
    </row>
    <row r="1243" spans="1:24" hidden="1" outlineLevel="2" x14ac:dyDescent="0.25">
      <c r="A1243" t="str">
        <f t="shared" si="189"/>
        <v>AK8 - 2002</v>
      </c>
      <c r="B1243" t="s">
        <v>37</v>
      </c>
      <c r="C1243">
        <v>7</v>
      </c>
      <c r="D1243">
        <v>17</v>
      </c>
      <c r="E1243">
        <v>2002</v>
      </c>
      <c r="F1243">
        <v>153.69999999999999</v>
      </c>
      <c r="G1243">
        <v>8.6999999999999993</v>
      </c>
      <c r="H1243">
        <v>6</v>
      </c>
      <c r="I1243">
        <v>2.7</v>
      </c>
      <c r="J1243">
        <v>31</v>
      </c>
      <c r="K1243">
        <v>81.599999999999994</v>
      </c>
      <c r="L1243">
        <v>742.2</v>
      </c>
      <c r="M1243">
        <v>476</v>
      </c>
      <c r="N1243">
        <v>428</v>
      </c>
      <c r="O1243">
        <v>582</v>
      </c>
      <c r="P1243">
        <v>154</v>
      </c>
      <c r="Q1243">
        <v>373</v>
      </c>
      <c r="R1243">
        <v>609</v>
      </c>
      <c r="S1243">
        <v>236</v>
      </c>
      <c r="T1243">
        <v>213.6</v>
      </c>
      <c r="U1243">
        <v>413</v>
      </c>
      <c r="V1243">
        <v>422</v>
      </c>
      <c r="W1243">
        <v>500</v>
      </c>
      <c r="X1243">
        <v>2.79</v>
      </c>
    </row>
    <row r="1244" spans="1:24" hidden="1" outlineLevel="2" x14ac:dyDescent="0.25">
      <c r="A1244" t="str">
        <f t="shared" si="189"/>
        <v>AK8 - 2002</v>
      </c>
      <c r="B1244" t="s">
        <v>37</v>
      </c>
      <c r="C1244">
        <v>8</v>
      </c>
      <c r="D1244">
        <v>17</v>
      </c>
      <c r="E1244">
        <v>2002</v>
      </c>
      <c r="F1244">
        <v>186.3</v>
      </c>
      <c r="G1244">
        <v>6</v>
      </c>
      <c r="H1244">
        <v>3.9</v>
      </c>
      <c r="I1244">
        <v>2.1</v>
      </c>
      <c r="J1244">
        <v>35</v>
      </c>
      <c r="K1244">
        <v>69.099999999999994</v>
      </c>
      <c r="L1244">
        <v>1090.4000000000001</v>
      </c>
      <c r="M1244">
        <v>483</v>
      </c>
      <c r="N1244">
        <v>443</v>
      </c>
      <c r="O1244">
        <v>556</v>
      </c>
      <c r="P1244">
        <v>113</v>
      </c>
      <c r="Q1244">
        <v>399</v>
      </c>
      <c r="R1244">
        <v>605</v>
      </c>
      <c r="S1244">
        <v>206</v>
      </c>
      <c r="T1244">
        <v>200.4</v>
      </c>
      <c r="U1244">
        <v>427</v>
      </c>
      <c r="V1244">
        <v>430</v>
      </c>
      <c r="W1244">
        <v>500</v>
      </c>
      <c r="X1244">
        <v>2.79</v>
      </c>
    </row>
    <row r="1245" spans="1:24" hidden="1" outlineLevel="2" x14ac:dyDescent="0.25">
      <c r="A1245" t="str">
        <f t="shared" si="189"/>
        <v>AK8 - 2002</v>
      </c>
      <c r="B1245" t="s">
        <v>37</v>
      </c>
      <c r="C1245">
        <v>9</v>
      </c>
      <c r="D1245">
        <v>16</v>
      </c>
      <c r="E1245">
        <v>2002</v>
      </c>
      <c r="F1245">
        <v>221.8</v>
      </c>
      <c r="G1245">
        <v>3.6</v>
      </c>
      <c r="H1245">
        <v>2.4</v>
      </c>
      <c r="I1245">
        <v>1.2</v>
      </c>
      <c r="J1245">
        <v>33</v>
      </c>
      <c r="K1245">
        <v>49.8</v>
      </c>
      <c r="L1245">
        <v>1545.5</v>
      </c>
      <c r="M1245">
        <v>435</v>
      </c>
      <c r="N1245">
        <v>379</v>
      </c>
      <c r="O1245">
        <v>549</v>
      </c>
      <c r="P1245">
        <v>170</v>
      </c>
      <c r="Q1245">
        <v>334</v>
      </c>
      <c r="R1245">
        <v>581</v>
      </c>
      <c r="S1245">
        <v>247</v>
      </c>
      <c r="T1245">
        <v>261.60000000000002</v>
      </c>
      <c r="U1245">
        <v>413</v>
      </c>
      <c r="V1245">
        <v>408</v>
      </c>
      <c r="W1245">
        <v>500</v>
      </c>
      <c r="X1245">
        <v>2.79</v>
      </c>
    </row>
    <row r="1246" spans="1:24" hidden="1" outlineLevel="2" x14ac:dyDescent="0.25">
      <c r="A1246" t="str">
        <f t="shared" si="189"/>
        <v>AK8 - 2002</v>
      </c>
      <c r="B1246" t="s">
        <v>37</v>
      </c>
      <c r="C1246">
        <v>10</v>
      </c>
      <c r="D1246">
        <v>17</v>
      </c>
      <c r="E1246">
        <v>2002</v>
      </c>
      <c r="F1246">
        <v>212</v>
      </c>
      <c r="G1246">
        <v>6.6</v>
      </c>
      <c r="H1246">
        <v>5.7</v>
      </c>
      <c r="I1246">
        <v>0.9</v>
      </c>
      <c r="J1246">
        <v>13</v>
      </c>
      <c r="K1246">
        <v>86.5</v>
      </c>
      <c r="L1246">
        <v>1412</v>
      </c>
      <c r="M1246">
        <v>417</v>
      </c>
      <c r="N1246">
        <v>398</v>
      </c>
      <c r="O1246">
        <v>536</v>
      </c>
      <c r="P1246">
        <v>138</v>
      </c>
      <c r="Q1246">
        <v>319</v>
      </c>
      <c r="R1246">
        <v>547</v>
      </c>
      <c r="S1246">
        <v>228</v>
      </c>
      <c r="T1246">
        <v>237.9</v>
      </c>
      <c r="U1246">
        <v>419</v>
      </c>
      <c r="V1246">
        <v>416</v>
      </c>
      <c r="W1246">
        <v>500</v>
      </c>
      <c r="X1246">
        <v>2.79</v>
      </c>
    </row>
    <row r="1247" spans="1:24" outlineLevel="1" collapsed="1" x14ac:dyDescent="0.25">
      <c r="A1247" s="8" t="s">
        <v>132</v>
      </c>
      <c r="D1247">
        <f t="shared" ref="D1247:V1247" si="190">SUBTOTAL(1,D1237:D1246)</f>
        <v>16.899999999999999</v>
      </c>
      <c r="E1247">
        <f t="shared" si="190"/>
        <v>2002</v>
      </c>
      <c r="F1247">
        <f t="shared" si="190"/>
        <v>187.07999999999998</v>
      </c>
      <c r="G1247">
        <f t="shared" si="190"/>
        <v>7.8599999999999977</v>
      </c>
      <c r="H1247">
        <f t="shared" si="190"/>
        <v>6.12</v>
      </c>
      <c r="I1247">
        <f t="shared" si="190"/>
        <v>1.7400000000000002</v>
      </c>
      <c r="J1247">
        <f t="shared" si="190"/>
        <v>23.3</v>
      </c>
      <c r="K1247">
        <f t="shared" si="190"/>
        <v>90.78</v>
      </c>
      <c r="L1247">
        <f t="shared" si="190"/>
        <v>1123.4000000000001</v>
      </c>
      <c r="M1247">
        <f t="shared" si="190"/>
        <v>440.5</v>
      </c>
      <c r="N1247">
        <f t="shared" si="190"/>
        <v>405.9</v>
      </c>
      <c r="O1247">
        <f t="shared" si="190"/>
        <v>554.5</v>
      </c>
      <c r="P1247">
        <f t="shared" si="190"/>
        <v>148.6</v>
      </c>
      <c r="Q1247">
        <f t="shared" si="190"/>
        <v>350.7</v>
      </c>
      <c r="R1247">
        <f t="shared" si="190"/>
        <v>591.20000000000005</v>
      </c>
      <c r="S1247">
        <f t="shared" si="190"/>
        <v>240.5</v>
      </c>
      <c r="T1247">
        <f t="shared" si="190"/>
        <v>228.99</v>
      </c>
      <c r="U1247">
        <f t="shared" si="190"/>
        <v>413.9</v>
      </c>
      <c r="V1247">
        <f t="shared" si="190"/>
        <v>416.1</v>
      </c>
    </row>
    <row r="1248" spans="1:24" hidden="1" outlineLevel="2" x14ac:dyDescent="0.25">
      <c r="A1248" t="str">
        <f t="shared" ref="A1248:A1257" si="191">CONCATENATE(B1248," - ",E1248)</f>
        <v>AK8 - 2003</v>
      </c>
      <c r="B1248" t="s">
        <v>37</v>
      </c>
      <c r="C1248">
        <v>1</v>
      </c>
      <c r="D1248">
        <v>18</v>
      </c>
      <c r="E1248">
        <v>2003</v>
      </c>
      <c r="F1248">
        <v>227.2</v>
      </c>
      <c r="G1248">
        <v>9.9</v>
      </c>
      <c r="H1248">
        <v>9</v>
      </c>
      <c r="I1248">
        <v>0.9</v>
      </c>
      <c r="J1248">
        <v>9</v>
      </c>
      <c r="K1248">
        <v>138.19999999999999</v>
      </c>
      <c r="L1248">
        <v>1621.7</v>
      </c>
      <c r="M1248">
        <v>406</v>
      </c>
      <c r="N1248">
        <v>392</v>
      </c>
      <c r="O1248">
        <v>540</v>
      </c>
      <c r="P1248">
        <v>148</v>
      </c>
      <c r="Q1248">
        <v>328</v>
      </c>
      <c r="R1248">
        <v>552</v>
      </c>
      <c r="S1248">
        <v>224</v>
      </c>
      <c r="T1248">
        <v>267.3</v>
      </c>
      <c r="U1248">
        <v>392</v>
      </c>
      <c r="V1248">
        <v>395</v>
      </c>
      <c r="W1248">
        <v>500</v>
      </c>
      <c r="X1248">
        <v>2.79</v>
      </c>
    </row>
    <row r="1249" spans="1:24" hidden="1" outlineLevel="2" x14ac:dyDescent="0.25">
      <c r="A1249" t="str">
        <f t="shared" si="191"/>
        <v>AK8 - 2003</v>
      </c>
      <c r="B1249" t="s">
        <v>37</v>
      </c>
      <c r="C1249">
        <v>2</v>
      </c>
      <c r="D1249">
        <v>18</v>
      </c>
      <c r="E1249">
        <v>2003</v>
      </c>
      <c r="F1249">
        <v>140.1</v>
      </c>
      <c r="G1249">
        <v>5.7</v>
      </c>
      <c r="H1249">
        <v>5.0999999999999996</v>
      </c>
      <c r="I1249">
        <v>0.6</v>
      </c>
      <c r="J1249">
        <v>10</v>
      </c>
      <c r="K1249">
        <v>49.2</v>
      </c>
      <c r="L1249">
        <v>616.6</v>
      </c>
      <c r="M1249">
        <v>426</v>
      </c>
      <c r="N1249">
        <v>415</v>
      </c>
      <c r="O1249">
        <v>515</v>
      </c>
      <c r="P1249">
        <v>100</v>
      </c>
      <c r="Q1249">
        <v>372</v>
      </c>
      <c r="R1249">
        <v>526</v>
      </c>
      <c r="S1249">
        <v>154</v>
      </c>
      <c r="T1249">
        <v>143.1</v>
      </c>
      <c r="U1249">
        <v>431</v>
      </c>
      <c r="V1249">
        <v>434</v>
      </c>
      <c r="W1249">
        <v>500</v>
      </c>
      <c r="X1249">
        <v>2.79</v>
      </c>
    </row>
    <row r="1250" spans="1:24" hidden="1" outlineLevel="2" x14ac:dyDescent="0.25">
      <c r="A1250" t="str">
        <f t="shared" si="191"/>
        <v>AK8 - 2003</v>
      </c>
      <c r="B1250" t="s">
        <v>37</v>
      </c>
      <c r="C1250">
        <v>3</v>
      </c>
      <c r="D1250">
        <v>18</v>
      </c>
      <c r="E1250">
        <v>2003</v>
      </c>
      <c r="F1250">
        <v>200.4</v>
      </c>
      <c r="G1250">
        <v>10.199999999999999</v>
      </c>
      <c r="H1250">
        <v>9.3000000000000007</v>
      </c>
      <c r="I1250">
        <v>0.9</v>
      </c>
      <c r="J1250">
        <v>8</v>
      </c>
      <c r="K1250">
        <v>125.2</v>
      </c>
      <c r="L1250">
        <v>1261.7</v>
      </c>
      <c r="M1250">
        <v>398</v>
      </c>
      <c r="N1250">
        <v>388</v>
      </c>
      <c r="O1250">
        <v>502</v>
      </c>
      <c r="P1250">
        <v>114</v>
      </c>
      <c r="Q1250">
        <v>351</v>
      </c>
      <c r="R1250">
        <v>503</v>
      </c>
      <c r="S1250">
        <v>152</v>
      </c>
      <c r="T1250">
        <v>271.2</v>
      </c>
      <c r="U1250">
        <v>404</v>
      </c>
      <c r="V1250">
        <v>409</v>
      </c>
      <c r="W1250">
        <v>500</v>
      </c>
      <c r="X1250">
        <v>2.79</v>
      </c>
    </row>
    <row r="1251" spans="1:24" hidden="1" outlineLevel="2" x14ac:dyDescent="0.25">
      <c r="A1251" t="str">
        <f t="shared" si="191"/>
        <v>AK8 - 2003</v>
      </c>
      <c r="B1251" t="s">
        <v>37</v>
      </c>
      <c r="C1251">
        <v>4</v>
      </c>
      <c r="D1251">
        <v>18</v>
      </c>
      <c r="E1251">
        <v>2003</v>
      </c>
      <c r="F1251">
        <v>197.3</v>
      </c>
      <c r="G1251">
        <v>9.9</v>
      </c>
      <c r="H1251">
        <v>9.3000000000000007</v>
      </c>
      <c r="I1251">
        <v>0.6</v>
      </c>
      <c r="J1251">
        <v>6</v>
      </c>
      <c r="K1251">
        <v>119.6</v>
      </c>
      <c r="L1251">
        <v>1222.9000000000001</v>
      </c>
      <c r="M1251">
        <v>386</v>
      </c>
      <c r="N1251">
        <v>376</v>
      </c>
      <c r="O1251">
        <v>536</v>
      </c>
      <c r="P1251">
        <v>160</v>
      </c>
      <c r="Q1251">
        <v>305</v>
      </c>
      <c r="R1251">
        <v>573</v>
      </c>
      <c r="S1251">
        <v>268</v>
      </c>
      <c r="T1251">
        <v>217.8</v>
      </c>
      <c r="U1251">
        <v>383</v>
      </c>
      <c r="V1251">
        <v>385</v>
      </c>
      <c r="W1251">
        <v>500</v>
      </c>
      <c r="X1251">
        <v>2.79</v>
      </c>
    </row>
    <row r="1252" spans="1:24" hidden="1" outlineLevel="2" x14ac:dyDescent="0.25">
      <c r="A1252" t="str">
        <f t="shared" si="191"/>
        <v>AK8 - 2003</v>
      </c>
      <c r="B1252" t="s">
        <v>37</v>
      </c>
      <c r="C1252">
        <v>5</v>
      </c>
      <c r="D1252">
        <v>18</v>
      </c>
      <c r="E1252">
        <v>2003</v>
      </c>
      <c r="F1252">
        <v>168.8</v>
      </c>
      <c r="G1252">
        <v>6.6</v>
      </c>
      <c r="H1252">
        <v>5.7</v>
      </c>
      <c r="I1252">
        <v>0.9</v>
      </c>
      <c r="J1252">
        <v>13</v>
      </c>
      <c r="K1252">
        <v>68.599999999999994</v>
      </c>
      <c r="L1252">
        <v>895.1</v>
      </c>
      <c r="M1252">
        <v>457</v>
      </c>
      <c r="N1252">
        <v>438</v>
      </c>
      <c r="O1252">
        <v>583</v>
      </c>
      <c r="P1252">
        <v>145</v>
      </c>
      <c r="Q1252">
        <v>393</v>
      </c>
      <c r="R1252">
        <v>615</v>
      </c>
      <c r="S1252">
        <v>222</v>
      </c>
      <c r="T1252">
        <v>196.8</v>
      </c>
      <c r="U1252">
        <v>444</v>
      </c>
      <c r="V1252">
        <v>445</v>
      </c>
      <c r="W1252">
        <v>500</v>
      </c>
      <c r="X1252">
        <v>2.79</v>
      </c>
    </row>
    <row r="1253" spans="1:24" hidden="1" outlineLevel="2" x14ac:dyDescent="0.25">
      <c r="A1253" t="str">
        <f t="shared" si="191"/>
        <v>AK8 - 2003</v>
      </c>
      <c r="B1253" t="s">
        <v>37</v>
      </c>
      <c r="C1253">
        <v>6</v>
      </c>
      <c r="D1253">
        <v>18</v>
      </c>
      <c r="E1253">
        <v>2003</v>
      </c>
      <c r="F1253">
        <v>218.7</v>
      </c>
      <c r="G1253">
        <v>13.2</v>
      </c>
      <c r="H1253">
        <v>12.3</v>
      </c>
      <c r="I1253">
        <v>0.9</v>
      </c>
      <c r="J1253">
        <v>6</v>
      </c>
      <c r="K1253">
        <v>175.9</v>
      </c>
      <c r="L1253">
        <v>1502.6</v>
      </c>
      <c r="M1253">
        <v>400</v>
      </c>
      <c r="N1253">
        <v>390</v>
      </c>
      <c r="O1253">
        <v>539</v>
      </c>
      <c r="P1253">
        <v>149</v>
      </c>
      <c r="Q1253">
        <v>327</v>
      </c>
      <c r="R1253">
        <v>562</v>
      </c>
      <c r="S1253">
        <v>235</v>
      </c>
      <c r="T1253">
        <v>280.2</v>
      </c>
      <c r="U1253">
        <v>413</v>
      </c>
      <c r="V1253">
        <v>417</v>
      </c>
      <c r="W1253">
        <v>500</v>
      </c>
      <c r="X1253">
        <v>2.79</v>
      </c>
    </row>
    <row r="1254" spans="1:24" hidden="1" outlineLevel="2" x14ac:dyDescent="0.25">
      <c r="A1254" t="str">
        <f t="shared" si="191"/>
        <v>AK8 - 2003</v>
      </c>
      <c r="B1254" t="s">
        <v>37</v>
      </c>
      <c r="C1254">
        <v>7</v>
      </c>
      <c r="D1254">
        <v>18</v>
      </c>
      <c r="E1254">
        <v>2003</v>
      </c>
      <c r="F1254">
        <v>164.8</v>
      </c>
      <c r="G1254">
        <v>11.1</v>
      </c>
      <c r="H1254">
        <v>9.6</v>
      </c>
      <c r="I1254">
        <v>1.5</v>
      </c>
      <c r="J1254">
        <v>13</v>
      </c>
      <c r="K1254">
        <v>111.1</v>
      </c>
      <c r="L1254">
        <v>853.2</v>
      </c>
      <c r="M1254">
        <v>440</v>
      </c>
      <c r="N1254">
        <v>425</v>
      </c>
      <c r="O1254">
        <v>535</v>
      </c>
      <c r="P1254">
        <v>110</v>
      </c>
      <c r="Q1254">
        <v>363</v>
      </c>
      <c r="R1254">
        <v>553</v>
      </c>
      <c r="S1254">
        <v>190</v>
      </c>
      <c r="T1254">
        <v>213.6</v>
      </c>
      <c r="U1254">
        <v>413</v>
      </c>
      <c r="V1254">
        <v>422</v>
      </c>
      <c r="W1254">
        <v>500</v>
      </c>
      <c r="X1254">
        <v>2.79</v>
      </c>
    </row>
    <row r="1255" spans="1:24" hidden="1" outlineLevel="2" x14ac:dyDescent="0.25">
      <c r="A1255" t="str">
        <f t="shared" si="191"/>
        <v>AK8 - 2003</v>
      </c>
      <c r="B1255" t="s">
        <v>37</v>
      </c>
      <c r="C1255">
        <v>8</v>
      </c>
      <c r="D1255">
        <v>18</v>
      </c>
      <c r="E1255">
        <v>2003</v>
      </c>
      <c r="F1255">
        <v>193.5</v>
      </c>
      <c r="G1255">
        <v>7.2</v>
      </c>
      <c r="H1255">
        <v>6</v>
      </c>
      <c r="I1255">
        <v>1.2</v>
      </c>
      <c r="J1255">
        <v>16</v>
      </c>
      <c r="K1255">
        <v>85.9</v>
      </c>
      <c r="L1255">
        <v>1176.3</v>
      </c>
      <c r="M1255">
        <v>468</v>
      </c>
      <c r="N1255">
        <v>451</v>
      </c>
      <c r="O1255">
        <v>549</v>
      </c>
      <c r="P1255">
        <v>98</v>
      </c>
      <c r="Q1255">
        <v>395</v>
      </c>
      <c r="R1255">
        <v>570</v>
      </c>
      <c r="S1255">
        <v>175</v>
      </c>
      <c r="T1255">
        <v>200.4</v>
      </c>
      <c r="U1255">
        <v>427</v>
      </c>
      <c r="V1255">
        <v>430</v>
      </c>
      <c r="W1255">
        <v>500</v>
      </c>
      <c r="X1255">
        <v>2.79</v>
      </c>
    </row>
    <row r="1256" spans="1:24" hidden="1" outlineLevel="2" x14ac:dyDescent="0.25">
      <c r="A1256" t="str">
        <f t="shared" si="191"/>
        <v>AK8 - 2003</v>
      </c>
      <c r="B1256" t="s">
        <v>37</v>
      </c>
      <c r="C1256">
        <v>9</v>
      </c>
      <c r="D1256">
        <v>17</v>
      </c>
      <c r="E1256">
        <v>2003</v>
      </c>
      <c r="F1256">
        <v>227.5</v>
      </c>
      <c r="G1256">
        <v>5.7</v>
      </c>
      <c r="H1256">
        <v>3.9</v>
      </c>
      <c r="I1256">
        <v>1.8</v>
      </c>
      <c r="J1256">
        <v>31</v>
      </c>
      <c r="K1256">
        <v>80.5</v>
      </c>
      <c r="L1256">
        <v>1626</v>
      </c>
      <c r="M1256">
        <v>450</v>
      </c>
      <c r="N1256">
        <v>407</v>
      </c>
      <c r="O1256">
        <v>545</v>
      </c>
      <c r="P1256">
        <v>138</v>
      </c>
      <c r="Q1256">
        <v>347</v>
      </c>
      <c r="R1256">
        <v>588</v>
      </c>
      <c r="S1256">
        <v>241</v>
      </c>
      <c r="T1256">
        <v>261.60000000000002</v>
      </c>
      <c r="U1256">
        <v>413</v>
      </c>
      <c r="V1256">
        <v>408</v>
      </c>
      <c r="W1256">
        <v>500</v>
      </c>
      <c r="X1256">
        <v>2.79</v>
      </c>
    </row>
    <row r="1257" spans="1:24" hidden="1" outlineLevel="2" x14ac:dyDescent="0.25">
      <c r="A1257" t="str">
        <f t="shared" si="191"/>
        <v>AK8 - 2003</v>
      </c>
      <c r="B1257" t="s">
        <v>37</v>
      </c>
      <c r="C1257">
        <v>10</v>
      </c>
      <c r="D1257">
        <v>18</v>
      </c>
      <c r="E1257">
        <v>2003</v>
      </c>
      <c r="F1257">
        <v>218.9</v>
      </c>
      <c r="G1257">
        <v>6.9</v>
      </c>
      <c r="H1257">
        <v>6.3</v>
      </c>
      <c r="I1257">
        <v>0.6</v>
      </c>
      <c r="J1257">
        <v>8</v>
      </c>
      <c r="K1257">
        <v>93.4</v>
      </c>
      <c r="L1257">
        <v>1505.4</v>
      </c>
      <c r="M1257">
        <v>427</v>
      </c>
      <c r="N1257">
        <v>418</v>
      </c>
      <c r="O1257">
        <v>513</v>
      </c>
      <c r="P1257">
        <v>95</v>
      </c>
      <c r="Q1257">
        <v>382</v>
      </c>
      <c r="R1257">
        <v>521</v>
      </c>
      <c r="S1257">
        <v>139</v>
      </c>
      <c r="T1257">
        <v>237.9</v>
      </c>
      <c r="U1257">
        <v>419</v>
      </c>
      <c r="V1257">
        <v>416</v>
      </c>
      <c r="W1257">
        <v>500</v>
      </c>
      <c r="X1257">
        <v>2.79</v>
      </c>
    </row>
    <row r="1258" spans="1:24" outlineLevel="1" collapsed="1" x14ac:dyDescent="0.25">
      <c r="A1258" s="8" t="s">
        <v>133</v>
      </c>
      <c r="D1258">
        <f t="shared" ref="D1258:V1258" si="192">SUBTOTAL(1,D1248:D1257)</f>
        <v>17.899999999999999</v>
      </c>
      <c r="E1258">
        <f t="shared" si="192"/>
        <v>2003</v>
      </c>
      <c r="F1258">
        <f t="shared" si="192"/>
        <v>195.72</v>
      </c>
      <c r="G1258">
        <f t="shared" si="192"/>
        <v>8.64</v>
      </c>
      <c r="H1258">
        <f t="shared" si="192"/>
        <v>7.6500000000000012</v>
      </c>
      <c r="I1258">
        <f t="shared" si="192"/>
        <v>0.99</v>
      </c>
      <c r="J1258">
        <f t="shared" si="192"/>
        <v>12</v>
      </c>
      <c r="K1258">
        <f t="shared" si="192"/>
        <v>104.75999999999999</v>
      </c>
      <c r="L1258">
        <f t="shared" si="192"/>
        <v>1228.1500000000001</v>
      </c>
      <c r="M1258">
        <f t="shared" si="192"/>
        <v>425.8</v>
      </c>
      <c r="N1258">
        <f t="shared" si="192"/>
        <v>410</v>
      </c>
      <c r="O1258">
        <f t="shared" si="192"/>
        <v>535.70000000000005</v>
      </c>
      <c r="P1258">
        <f t="shared" si="192"/>
        <v>125.7</v>
      </c>
      <c r="Q1258">
        <f t="shared" si="192"/>
        <v>356.3</v>
      </c>
      <c r="R1258">
        <f t="shared" si="192"/>
        <v>556.29999999999995</v>
      </c>
      <c r="S1258">
        <f t="shared" si="192"/>
        <v>200</v>
      </c>
      <c r="T1258">
        <f t="shared" si="192"/>
        <v>228.99</v>
      </c>
      <c r="U1258">
        <f t="shared" si="192"/>
        <v>413.9</v>
      </c>
      <c r="V1258">
        <f t="shared" si="192"/>
        <v>416.1</v>
      </c>
    </row>
    <row r="1259" spans="1:24" hidden="1" outlineLevel="2" x14ac:dyDescent="0.25">
      <c r="A1259" t="str">
        <f t="shared" ref="A1259:A1268" si="193">CONCATENATE(B1259," - ",E1259)</f>
        <v>AK8 - 2004</v>
      </c>
      <c r="B1259" t="s">
        <v>37</v>
      </c>
      <c r="C1259">
        <v>1</v>
      </c>
      <c r="D1259">
        <v>19</v>
      </c>
      <c r="E1259">
        <v>2004</v>
      </c>
      <c r="F1259">
        <v>235.3</v>
      </c>
      <c r="G1259">
        <v>8.1</v>
      </c>
      <c r="H1259">
        <v>6.6</v>
      </c>
      <c r="I1259">
        <v>1.5</v>
      </c>
      <c r="J1259">
        <v>18</v>
      </c>
      <c r="K1259">
        <v>117.7</v>
      </c>
      <c r="L1259">
        <v>1739.4</v>
      </c>
      <c r="M1259">
        <v>405</v>
      </c>
      <c r="N1259">
        <v>376</v>
      </c>
      <c r="O1259">
        <v>534</v>
      </c>
      <c r="P1259">
        <v>158</v>
      </c>
      <c r="Q1259">
        <v>341</v>
      </c>
      <c r="R1259">
        <v>543</v>
      </c>
      <c r="S1259">
        <v>202</v>
      </c>
      <c r="T1259">
        <v>267.3</v>
      </c>
      <c r="U1259">
        <v>392</v>
      </c>
      <c r="V1259">
        <v>395</v>
      </c>
      <c r="W1259">
        <v>500</v>
      </c>
      <c r="X1259">
        <v>2.79</v>
      </c>
    </row>
    <row r="1260" spans="1:24" hidden="1" outlineLevel="2" x14ac:dyDescent="0.25">
      <c r="A1260" t="str">
        <f t="shared" si="193"/>
        <v>AK8 - 2004</v>
      </c>
      <c r="B1260" t="s">
        <v>37</v>
      </c>
      <c r="C1260">
        <v>2</v>
      </c>
      <c r="D1260">
        <v>19</v>
      </c>
      <c r="E1260">
        <v>2004</v>
      </c>
      <c r="F1260">
        <v>142.80000000000001</v>
      </c>
      <c r="G1260">
        <v>2.7</v>
      </c>
      <c r="H1260">
        <v>1.8</v>
      </c>
      <c r="I1260">
        <v>0.9</v>
      </c>
      <c r="J1260">
        <v>33</v>
      </c>
      <c r="K1260">
        <v>24</v>
      </c>
      <c r="L1260">
        <v>640.6</v>
      </c>
      <c r="M1260">
        <v>451</v>
      </c>
      <c r="N1260">
        <v>413</v>
      </c>
      <c r="O1260">
        <v>528</v>
      </c>
      <c r="P1260">
        <v>115</v>
      </c>
      <c r="Q1260">
        <v>379</v>
      </c>
      <c r="R1260">
        <v>557</v>
      </c>
      <c r="S1260">
        <v>178</v>
      </c>
      <c r="T1260">
        <v>143.1</v>
      </c>
      <c r="U1260">
        <v>431</v>
      </c>
      <c r="V1260">
        <v>434</v>
      </c>
      <c r="W1260">
        <v>500</v>
      </c>
      <c r="X1260">
        <v>2.79</v>
      </c>
    </row>
    <row r="1261" spans="1:24" hidden="1" outlineLevel="2" x14ac:dyDescent="0.25">
      <c r="A1261" t="str">
        <f t="shared" si="193"/>
        <v>AK8 - 2004</v>
      </c>
      <c r="B1261" t="s">
        <v>37</v>
      </c>
      <c r="C1261">
        <v>3</v>
      </c>
      <c r="D1261">
        <v>19</v>
      </c>
      <c r="E1261">
        <v>2004</v>
      </c>
      <c r="F1261">
        <v>208.2</v>
      </c>
      <c r="G1261">
        <v>7.8</v>
      </c>
      <c r="H1261">
        <v>6</v>
      </c>
      <c r="I1261">
        <v>1.8</v>
      </c>
      <c r="J1261">
        <v>23</v>
      </c>
      <c r="K1261">
        <v>100.1</v>
      </c>
      <c r="L1261">
        <v>1361.8</v>
      </c>
      <c r="M1261">
        <v>407</v>
      </c>
      <c r="N1261">
        <v>373</v>
      </c>
      <c r="O1261">
        <v>523</v>
      </c>
      <c r="P1261">
        <v>150</v>
      </c>
      <c r="Q1261">
        <v>320</v>
      </c>
      <c r="R1261">
        <v>541</v>
      </c>
      <c r="S1261">
        <v>221</v>
      </c>
      <c r="T1261">
        <v>271.2</v>
      </c>
      <c r="U1261">
        <v>404</v>
      </c>
      <c r="V1261">
        <v>409</v>
      </c>
      <c r="W1261">
        <v>500</v>
      </c>
      <c r="X1261">
        <v>2.79</v>
      </c>
    </row>
    <row r="1262" spans="1:24" hidden="1" outlineLevel="2" x14ac:dyDescent="0.25">
      <c r="A1262" t="str">
        <f t="shared" si="193"/>
        <v>AK8 - 2004</v>
      </c>
      <c r="B1262" t="s">
        <v>37</v>
      </c>
      <c r="C1262">
        <v>4</v>
      </c>
      <c r="D1262">
        <v>19</v>
      </c>
      <c r="E1262">
        <v>2004</v>
      </c>
      <c r="F1262">
        <v>205.1</v>
      </c>
      <c r="G1262">
        <v>7.8</v>
      </c>
      <c r="H1262">
        <v>6</v>
      </c>
      <c r="I1262">
        <v>1.8</v>
      </c>
      <c r="J1262">
        <v>23</v>
      </c>
      <c r="K1262">
        <v>98.6</v>
      </c>
      <c r="L1262">
        <v>1321.5</v>
      </c>
      <c r="M1262">
        <v>419</v>
      </c>
      <c r="N1262">
        <v>379</v>
      </c>
      <c r="O1262">
        <v>553</v>
      </c>
      <c r="P1262">
        <v>174</v>
      </c>
      <c r="Q1262">
        <v>334</v>
      </c>
      <c r="R1262">
        <v>582</v>
      </c>
      <c r="S1262">
        <v>248</v>
      </c>
      <c r="T1262">
        <v>217.8</v>
      </c>
      <c r="U1262">
        <v>383</v>
      </c>
      <c r="V1262">
        <v>385</v>
      </c>
      <c r="W1262">
        <v>500</v>
      </c>
      <c r="X1262">
        <v>2.79</v>
      </c>
    </row>
    <row r="1263" spans="1:24" hidden="1" outlineLevel="2" x14ac:dyDescent="0.25">
      <c r="A1263" t="str">
        <f t="shared" si="193"/>
        <v>AK8 - 2004</v>
      </c>
      <c r="B1263" t="s">
        <v>37</v>
      </c>
      <c r="C1263">
        <v>5</v>
      </c>
      <c r="D1263">
        <v>19</v>
      </c>
      <c r="E1263">
        <v>2004</v>
      </c>
      <c r="F1263">
        <v>175.1</v>
      </c>
      <c r="G1263">
        <v>6.3</v>
      </c>
      <c r="H1263">
        <v>5.0999999999999996</v>
      </c>
      <c r="I1263">
        <v>1.2</v>
      </c>
      <c r="J1263">
        <v>19</v>
      </c>
      <c r="K1263">
        <v>68.099999999999994</v>
      </c>
      <c r="L1263">
        <v>963.2</v>
      </c>
      <c r="M1263">
        <v>459</v>
      </c>
      <c r="N1263">
        <v>425</v>
      </c>
      <c r="O1263">
        <v>605</v>
      </c>
      <c r="P1263">
        <v>180</v>
      </c>
      <c r="Q1263">
        <v>393</v>
      </c>
      <c r="R1263">
        <v>619</v>
      </c>
      <c r="S1263">
        <v>226</v>
      </c>
      <c r="T1263">
        <v>196.8</v>
      </c>
      <c r="U1263">
        <v>444</v>
      </c>
      <c r="V1263">
        <v>445</v>
      </c>
      <c r="W1263">
        <v>500</v>
      </c>
      <c r="X1263">
        <v>2.79</v>
      </c>
    </row>
    <row r="1264" spans="1:24" hidden="1" outlineLevel="2" x14ac:dyDescent="0.25">
      <c r="A1264" t="str">
        <f t="shared" si="193"/>
        <v>AK8 - 2004</v>
      </c>
      <c r="B1264" t="s">
        <v>37</v>
      </c>
      <c r="C1264">
        <v>6</v>
      </c>
      <c r="D1264">
        <v>19</v>
      </c>
      <c r="E1264">
        <v>2004</v>
      </c>
      <c r="F1264">
        <v>231.3</v>
      </c>
      <c r="G1264">
        <v>12.6</v>
      </c>
      <c r="H1264">
        <v>11.1</v>
      </c>
      <c r="I1264">
        <v>1.5</v>
      </c>
      <c r="J1264">
        <v>11</v>
      </c>
      <c r="K1264">
        <v>178.1</v>
      </c>
      <c r="L1264">
        <v>1680.7</v>
      </c>
      <c r="M1264">
        <v>409</v>
      </c>
      <c r="N1264">
        <v>391</v>
      </c>
      <c r="O1264">
        <v>543</v>
      </c>
      <c r="P1264">
        <v>152</v>
      </c>
      <c r="Q1264">
        <v>340</v>
      </c>
      <c r="R1264">
        <v>558</v>
      </c>
      <c r="S1264">
        <v>218</v>
      </c>
      <c r="T1264">
        <v>280.2</v>
      </c>
      <c r="U1264">
        <v>413</v>
      </c>
      <c r="V1264">
        <v>417</v>
      </c>
      <c r="W1264">
        <v>500</v>
      </c>
      <c r="X1264">
        <v>2.79</v>
      </c>
    </row>
    <row r="1265" spans="1:24" hidden="1" outlineLevel="2" x14ac:dyDescent="0.25">
      <c r="A1265" t="str">
        <f t="shared" si="193"/>
        <v>AK8 - 2004</v>
      </c>
      <c r="B1265" t="s">
        <v>37</v>
      </c>
      <c r="C1265">
        <v>7</v>
      </c>
      <c r="D1265">
        <v>19</v>
      </c>
      <c r="E1265">
        <v>2004</v>
      </c>
      <c r="F1265">
        <v>177.4</v>
      </c>
      <c r="G1265">
        <v>12.6</v>
      </c>
      <c r="H1265">
        <v>10.8</v>
      </c>
      <c r="I1265">
        <v>1.8</v>
      </c>
      <c r="J1265">
        <v>14</v>
      </c>
      <c r="K1265">
        <v>135.5</v>
      </c>
      <c r="L1265">
        <v>988.7</v>
      </c>
      <c r="M1265">
        <v>420</v>
      </c>
      <c r="N1265">
        <v>402</v>
      </c>
      <c r="O1265">
        <v>529</v>
      </c>
      <c r="P1265">
        <v>127</v>
      </c>
      <c r="Q1265">
        <v>334</v>
      </c>
      <c r="R1265">
        <v>548</v>
      </c>
      <c r="S1265">
        <v>214</v>
      </c>
      <c r="T1265">
        <v>213.6</v>
      </c>
      <c r="U1265">
        <v>413</v>
      </c>
      <c r="V1265">
        <v>422</v>
      </c>
      <c r="W1265">
        <v>500</v>
      </c>
      <c r="X1265">
        <v>2.79</v>
      </c>
    </row>
    <row r="1266" spans="1:24" hidden="1" outlineLevel="2" x14ac:dyDescent="0.25">
      <c r="A1266" t="str">
        <f t="shared" si="193"/>
        <v>AK8 - 2004</v>
      </c>
      <c r="B1266" t="s">
        <v>37</v>
      </c>
      <c r="C1266">
        <v>8</v>
      </c>
      <c r="D1266">
        <v>19</v>
      </c>
      <c r="E1266">
        <v>2004</v>
      </c>
      <c r="F1266">
        <v>196.5</v>
      </c>
      <c r="G1266">
        <v>3</v>
      </c>
      <c r="H1266">
        <v>2.4</v>
      </c>
      <c r="I1266">
        <v>0.6</v>
      </c>
      <c r="J1266">
        <v>20</v>
      </c>
      <c r="K1266">
        <v>36.799999999999997</v>
      </c>
      <c r="L1266">
        <v>1213</v>
      </c>
      <c r="M1266">
        <v>435</v>
      </c>
      <c r="N1266">
        <v>416</v>
      </c>
      <c r="O1266">
        <v>513</v>
      </c>
      <c r="P1266">
        <v>97</v>
      </c>
      <c r="Q1266">
        <v>376</v>
      </c>
      <c r="R1266">
        <v>526</v>
      </c>
      <c r="S1266">
        <v>150</v>
      </c>
      <c r="T1266">
        <v>200.4</v>
      </c>
      <c r="U1266">
        <v>427</v>
      </c>
      <c r="V1266">
        <v>430</v>
      </c>
      <c r="W1266">
        <v>500</v>
      </c>
      <c r="X1266">
        <v>2.79</v>
      </c>
    </row>
    <row r="1267" spans="1:24" hidden="1" outlineLevel="2" x14ac:dyDescent="0.25">
      <c r="A1267" t="str">
        <f t="shared" si="193"/>
        <v>AK8 - 2004</v>
      </c>
      <c r="B1267" t="s">
        <v>37</v>
      </c>
      <c r="C1267">
        <v>9</v>
      </c>
      <c r="D1267">
        <v>18</v>
      </c>
      <c r="E1267">
        <v>2004</v>
      </c>
      <c r="F1267">
        <v>234.4</v>
      </c>
      <c r="G1267">
        <v>6.9</v>
      </c>
      <c r="H1267">
        <v>4.8</v>
      </c>
      <c r="I1267">
        <v>2.1</v>
      </c>
      <c r="J1267">
        <v>30</v>
      </c>
      <c r="K1267">
        <v>100.1</v>
      </c>
      <c r="L1267">
        <v>1726.1</v>
      </c>
      <c r="M1267">
        <v>441</v>
      </c>
      <c r="N1267">
        <v>392</v>
      </c>
      <c r="O1267">
        <v>554</v>
      </c>
      <c r="P1267">
        <v>162</v>
      </c>
      <c r="Q1267">
        <v>345</v>
      </c>
      <c r="R1267">
        <v>574</v>
      </c>
      <c r="S1267">
        <v>229</v>
      </c>
      <c r="T1267">
        <v>261.60000000000002</v>
      </c>
      <c r="U1267">
        <v>413</v>
      </c>
      <c r="V1267">
        <v>408</v>
      </c>
      <c r="W1267">
        <v>500</v>
      </c>
      <c r="X1267">
        <v>2.79</v>
      </c>
    </row>
    <row r="1268" spans="1:24" hidden="1" outlineLevel="2" x14ac:dyDescent="0.25">
      <c r="A1268" t="str">
        <f t="shared" si="193"/>
        <v>AK8 - 2004</v>
      </c>
      <c r="B1268" t="s">
        <v>37</v>
      </c>
      <c r="C1268">
        <v>10</v>
      </c>
      <c r="D1268">
        <v>19</v>
      </c>
      <c r="E1268">
        <v>2004</v>
      </c>
      <c r="F1268">
        <v>226.1</v>
      </c>
      <c r="G1268">
        <v>7.2</v>
      </c>
      <c r="H1268">
        <v>5.7</v>
      </c>
      <c r="I1268">
        <v>1.5</v>
      </c>
      <c r="J1268">
        <v>20</v>
      </c>
      <c r="K1268">
        <v>100.7</v>
      </c>
      <c r="L1268">
        <v>1606</v>
      </c>
      <c r="M1268">
        <v>444</v>
      </c>
      <c r="N1268">
        <v>425</v>
      </c>
      <c r="O1268">
        <v>517</v>
      </c>
      <c r="P1268">
        <v>92</v>
      </c>
      <c r="Q1268">
        <v>370</v>
      </c>
      <c r="R1268">
        <v>544</v>
      </c>
      <c r="S1268">
        <v>174</v>
      </c>
      <c r="T1268">
        <v>237.9</v>
      </c>
      <c r="U1268">
        <v>419</v>
      </c>
      <c r="V1268">
        <v>416</v>
      </c>
      <c r="W1268">
        <v>500</v>
      </c>
      <c r="X1268">
        <v>2.79</v>
      </c>
    </row>
    <row r="1269" spans="1:24" outlineLevel="1" collapsed="1" x14ac:dyDescent="0.25">
      <c r="A1269" s="8" t="s">
        <v>134</v>
      </c>
      <c r="D1269">
        <f t="shared" ref="D1269:V1269" si="194">SUBTOTAL(1,D1259:D1268)</f>
        <v>18.899999999999999</v>
      </c>
      <c r="E1269">
        <f t="shared" si="194"/>
        <v>2004</v>
      </c>
      <c r="F1269">
        <f t="shared" si="194"/>
        <v>203.22</v>
      </c>
      <c r="G1269">
        <f t="shared" si="194"/>
        <v>7.5000000000000018</v>
      </c>
      <c r="H1269">
        <f t="shared" si="194"/>
        <v>6.03</v>
      </c>
      <c r="I1269">
        <f t="shared" si="194"/>
        <v>1.47</v>
      </c>
      <c r="J1269">
        <f t="shared" si="194"/>
        <v>21.1</v>
      </c>
      <c r="K1269">
        <f t="shared" si="194"/>
        <v>95.97</v>
      </c>
      <c r="L1269">
        <f t="shared" si="194"/>
        <v>1324.1</v>
      </c>
      <c r="M1269">
        <f t="shared" si="194"/>
        <v>429</v>
      </c>
      <c r="N1269">
        <f t="shared" si="194"/>
        <v>399.2</v>
      </c>
      <c r="O1269">
        <f t="shared" si="194"/>
        <v>539.9</v>
      </c>
      <c r="P1269">
        <f t="shared" si="194"/>
        <v>140.69999999999999</v>
      </c>
      <c r="Q1269">
        <f t="shared" si="194"/>
        <v>353.2</v>
      </c>
      <c r="R1269">
        <f t="shared" si="194"/>
        <v>559.20000000000005</v>
      </c>
      <c r="S1269">
        <f t="shared" si="194"/>
        <v>206</v>
      </c>
      <c r="T1269">
        <f t="shared" si="194"/>
        <v>228.99</v>
      </c>
      <c r="U1269">
        <f t="shared" si="194"/>
        <v>413.9</v>
      </c>
      <c r="V1269">
        <f t="shared" si="194"/>
        <v>416.1</v>
      </c>
    </row>
    <row r="1270" spans="1:24" hidden="1" outlineLevel="2" x14ac:dyDescent="0.25">
      <c r="A1270" t="str">
        <f t="shared" ref="A1270:A1278" si="195">CONCATENATE(B1270," - ",E1270)</f>
        <v>AK8 - 2005</v>
      </c>
      <c r="B1270" t="s">
        <v>37</v>
      </c>
      <c r="C1270">
        <v>1</v>
      </c>
      <c r="D1270">
        <v>20</v>
      </c>
      <c r="E1270">
        <v>2005</v>
      </c>
      <c r="F1270">
        <v>244.3</v>
      </c>
      <c r="G1270">
        <v>9</v>
      </c>
      <c r="H1270">
        <v>7.8</v>
      </c>
      <c r="I1270">
        <v>1.2</v>
      </c>
      <c r="J1270">
        <v>13</v>
      </c>
      <c r="K1270">
        <v>135.6</v>
      </c>
      <c r="L1270">
        <v>1875</v>
      </c>
      <c r="M1270">
        <v>397</v>
      </c>
      <c r="N1270">
        <v>378</v>
      </c>
      <c r="O1270">
        <v>520</v>
      </c>
      <c r="P1270">
        <v>142</v>
      </c>
      <c r="Q1270">
        <v>326</v>
      </c>
      <c r="R1270">
        <v>551</v>
      </c>
      <c r="S1270">
        <v>225</v>
      </c>
      <c r="T1270">
        <v>267.3</v>
      </c>
      <c r="U1270">
        <v>392</v>
      </c>
      <c r="V1270">
        <v>395</v>
      </c>
      <c r="W1270">
        <v>500</v>
      </c>
      <c r="X1270">
        <v>2.79</v>
      </c>
    </row>
    <row r="1271" spans="1:24" hidden="1" outlineLevel="2" x14ac:dyDescent="0.25">
      <c r="A1271" t="str">
        <f t="shared" si="195"/>
        <v>AK8 - 2005</v>
      </c>
      <c r="B1271" t="s">
        <v>37</v>
      </c>
      <c r="C1271">
        <v>3</v>
      </c>
      <c r="D1271">
        <v>20</v>
      </c>
      <c r="E1271">
        <v>2005</v>
      </c>
      <c r="F1271">
        <v>215.4</v>
      </c>
      <c r="G1271">
        <v>7.2</v>
      </c>
      <c r="H1271">
        <v>6.9</v>
      </c>
      <c r="I1271">
        <v>0.3</v>
      </c>
      <c r="J1271">
        <v>4</v>
      </c>
      <c r="K1271">
        <v>95.8</v>
      </c>
      <c r="L1271">
        <v>1457.6</v>
      </c>
      <c r="M1271">
        <v>401</v>
      </c>
      <c r="N1271">
        <v>396</v>
      </c>
      <c r="O1271">
        <v>514</v>
      </c>
      <c r="P1271">
        <v>118</v>
      </c>
      <c r="Q1271">
        <v>329</v>
      </c>
      <c r="R1271">
        <v>514</v>
      </c>
      <c r="S1271">
        <v>185</v>
      </c>
      <c r="T1271">
        <v>271.2</v>
      </c>
      <c r="U1271">
        <v>404</v>
      </c>
      <c r="V1271">
        <v>409</v>
      </c>
      <c r="W1271">
        <v>500</v>
      </c>
      <c r="X1271">
        <v>2.79</v>
      </c>
    </row>
    <row r="1272" spans="1:24" hidden="1" outlineLevel="2" x14ac:dyDescent="0.25">
      <c r="A1272" t="str">
        <f t="shared" si="195"/>
        <v>AK8 - 2005</v>
      </c>
      <c r="B1272" t="s">
        <v>37</v>
      </c>
      <c r="C1272">
        <v>4</v>
      </c>
      <c r="D1272">
        <v>20</v>
      </c>
      <c r="E1272">
        <v>2005</v>
      </c>
      <c r="F1272">
        <v>211.7</v>
      </c>
      <c r="G1272">
        <v>6.6</v>
      </c>
      <c r="H1272">
        <v>5.7</v>
      </c>
      <c r="I1272">
        <v>0.9</v>
      </c>
      <c r="J1272">
        <v>13</v>
      </c>
      <c r="K1272">
        <v>86.4</v>
      </c>
      <c r="L1272">
        <v>1408</v>
      </c>
      <c r="M1272">
        <v>416</v>
      </c>
      <c r="N1272">
        <v>394</v>
      </c>
      <c r="O1272">
        <v>560</v>
      </c>
      <c r="P1272">
        <v>166</v>
      </c>
      <c r="Q1272">
        <v>331</v>
      </c>
      <c r="R1272">
        <v>584</v>
      </c>
      <c r="S1272">
        <v>253</v>
      </c>
      <c r="T1272">
        <v>217.8</v>
      </c>
      <c r="U1272">
        <v>383</v>
      </c>
      <c r="V1272">
        <v>385</v>
      </c>
      <c r="W1272">
        <v>500</v>
      </c>
      <c r="X1272">
        <v>2.79</v>
      </c>
    </row>
    <row r="1273" spans="1:24" hidden="1" outlineLevel="2" x14ac:dyDescent="0.25">
      <c r="A1273" t="str">
        <f t="shared" si="195"/>
        <v>AK8 - 2005</v>
      </c>
      <c r="B1273" t="s">
        <v>37</v>
      </c>
      <c r="C1273">
        <v>5</v>
      </c>
      <c r="D1273">
        <v>20</v>
      </c>
      <c r="E1273">
        <v>2005</v>
      </c>
      <c r="F1273">
        <v>179</v>
      </c>
      <c r="G1273">
        <v>3.9</v>
      </c>
      <c r="H1273">
        <v>3.3</v>
      </c>
      <c r="I1273">
        <v>0.6</v>
      </c>
      <c r="J1273">
        <v>15</v>
      </c>
      <c r="K1273">
        <v>43.4</v>
      </c>
      <c r="L1273">
        <v>1006.6</v>
      </c>
      <c r="M1273">
        <v>471</v>
      </c>
      <c r="N1273">
        <v>452</v>
      </c>
      <c r="O1273">
        <v>579</v>
      </c>
      <c r="P1273">
        <v>127</v>
      </c>
      <c r="Q1273">
        <v>415</v>
      </c>
      <c r="R1273">
        <v>590</v>
      </c>
      <c r="S1273">
        <v>175</v>
      </c>
      <c r="T1273">
        <v>196.8</v>
      </c>
      <c r="U1273">
        <v>444</v>
      </c>
      <c r="V1273">
        <v>445</v>
      </c>
      <c r="W1273">
        <v>500</v>
      </c>
      <c r="X1273">
        <v>2.79</v>
      </c>
    </row>
    <row r="1274" spans="1:24" hidden="1" outlineLevel="2" x14ac:dyDescent="0.25">
      <c r="A1274" t="str">
        <f t="shared" si="195"/>
        <v>AK8 - 2005</v>
      </c>
      <c r="B1274" t="s">
        <v>37</v>
      </c>
      <c r="C1274">
        <v>6</v>
      </c>
      <c r="D1274">
        <v>20</v>
      </c>
      <c r="E1274">
        <v>2005</v>
      </c>
      <c r="F1274">
        <v>241.5</v>
      </c>
      <c r="G1274">
        <v>10.199999999999999</v>
      </c>
      <c r="H1274">
        <v>9.3000000000000007</v>
      </c>
      <c r="I1274">
        <v>0.9</v>
      </c>
      <c r="J1274">
        <v>8</v>
      </c>
      <c r="K1274">
        <v>151.5</v>
      </c>
      <c r="L1274">
        <v>1832.2</v>
      </c>
      <c r="M1274">
        <v>409</v>
      </c>
      <c r="N1274">
        <v>396</v>
      </c>
      <c r="O1274">
        <v>539</v>
      </c>
      <c r="P1274">
        <v>143</v>
      </c>
      <c r="Q1274">
        <v>352</v>
      </c>
      <c r="R1274">
        <v>563</v>
      </c>
      <c r="S1274">
        <v>211</v>
      </c>
      <c r="T1274">
        <v>280.2</v>
      </c>
      <c r="U1274">
        <v>413</v>
      </c>
      <c r="V1274">
        <v>417</v>
      </c>
      <c r="W1274">
        <v>500</v>
      </c>
      <c r="X1274">
        <v>2.79</v>
      </c>
    </row>
    <row r="1275" spans="1:24" hidden="1" outlineLevel="2" x14ac:dyDescent="0.25">
      <c r="A1275" t="str">
        <f t="shared" si="195"/>
        <v>AK8 - 2005</v>
      </c>
      <c r="B1275" t="s">
        <v>37</v>
      </c>
      <c r="C1275">
        <v>7</v>
      </c>
      <c r="D1275">
        <v>20</v>
      </c>
      <c r="E1275">
        <v>2005</v>
      </c>
      <c r="F1275">
        <v>186.7</v>
      </c>
      <c r="G1275">
        <v>9.3000000000000007</v>
      </c>
      <c r="H1275">
        <v>8.4</v>
      </c>
      <c r="I1275">
        <v>0.9</v>
      </c>
      <c r="J1275">
        <v>9</v>
      </c>
      <c r="K1275">
        <v>106.4</v>
      </c>
      <c r="L1275">
        <v>1095.0999999999999</v>
      </c>
      <c r="M1275">
        <v>433</v>
      </c>
      <c r="N1275">
        <v>422</v>
      </c>
      <c r="O1275">
        <v>531</v>
      </c>
      <c r="P1275">
        <v>109</v>
      </c>
      <c r="Q1275">
        <v>369</v>
      </c>
      <c r="R1275">
        <v>561</v>
      </c>
      <c r="S1275">
        <v>192</v>
      </c>
      <c r="T1275">
        <v>213.6</v>
      </c>
      <c r="U1275">
        <v>413</v>
      </c>
      <c r="V1275">
        <v>422</v>
      </c>
      <c r="W1275">
        <v>500</v>
      </c>
      <c r="X1275">
        <v>2.79</v>
      </c>
    </row>
    <row r="1276" spans="1:24" hidden="1" outlineLevel="2" x14ac:dyDescent="0.25">
      <c r="A1276" t="str">
        <f t="shared" si="195"/>
        <v>AK8 - 2005</v>
      </c>
      <c r="B1276" t="s">
        <v>37</v>
      </c>
      <c r="C1276">
        <v>8</v>
      </c>
      <c r="D1276">
        <v>20</v>
      </c>
      <c r="E1276">
        <v>2005</v>
      </c>
      <c r="F1276">
        <v>198.3</v>
      </c>
      <c r="G1276">
        <v>1.8</v>
      </c>
      <c r="H1276">
        <v>1.8</v>
      </c>
      <c r="I1276">
        <v>0</v>
      </c>
      <c r="J1276">
        <v>0</v>
      </c>
      <c r="K1276">
        <v>22.3</v>
      </c>
      <c r="L1276">
        <v>1235.4000000000001</v>
      </c>
      <c r="M1276">
        <v>430</v>
      </c>
      <c r="N1276">
        <v>430</v>
      </c>
      <c r="Q1276">
        <v>382</v>
      </c>
      <c r="R1276">
        <v>490</v>
      </c>
      <c r="S1276">
        <v>108</v>
      </c>
      <c r="T1276">
        <v>200.4</v>
      </c>
      <c r="U1276">
        <v>427</v>
      </c>
      <c r="V1276">
        <v>430</v>
      </c>
      <c r="W1276">
        <v>500</v>
      </c>
      <c r="X1276">
        <v>2.79</v>
      </c>
    </row>
    <row r="1277" spans="1:24" hidden="1" outlineLevel="2" x14ac:dyDescent="0.25">
      <c r="A1277" t="str">
        <f t="shared" si="195"/>
        <v>AK8 - 2005</v>
      </c>
      <c r="B1277" t="s">
        <v>37</v>
      </c>
      <c r="C1277">
        <v>9</v>
      </c>
      <c r="D1277">
        <v>19</v>
      </c>
      <c r="E1277">
        <v>2005</v>
      </c>
      <c r="F1277">
        <v>239.5</v>
      </c>
      <c r="G1277">
        <v>5.0999999999999996</v>
      </c>
      <c r="H1277">
        <v>4.2</v>
      </c>
      <c r="I1277">
        <v>0.9</v>
      </c>
      <c r="J1277">
        <v>17</v>
      </c>
      <c r="K1277">
        <v>75.900000000000006</v>
      </c>
      <c r="L1277">
        <v>1802</v>
      </c>
      <c r="M1277">
        <v>417</v>
      </c>
      <c r="N1277">
        <v>390</v>
      </c>
      <c r="O1277">
        <v>539</v>
      </c>
      <c r="P1277">
        <v>149</v>
      </c>
      <c r="Q1277">
        <v>343</v>
      </c>
      <c r="R1277">
        <v>555</v>
      </c>
      <c r="S1277">
        <v>212</v>
      </c>
      <c r="T1277">
        <v>261.60000000000002</v>
      </c>
      <c r="U1277">
        <v>413</v>
      </c>
      <c r="V1277">
        <v>408</v>
      </c>
      <c r="W1277">
        <v>500</v>
      </c>
      <c r="X1277">
        <v>2.79</v>
      </c>
    </row>
    <row r="1278" spans="1:24" hidden="1" outlineLevel="2" x14ac:dyDescent="0.25">
      <c r="A1278" t="str">
        <f t="shared" si="195"/>
        <v>AK8 - 2005</v>
      </c>
      <c r="B1278" t="s">
        <v>37</v>
      </c>
      <c r="C1278">
        <v>10</v>
      </c>
      <c r="D1278">
        <v>20</v>
      </c>
      <c r="E1278">
        <v>2005</v>
      </c>
      <c r="F1278">
        <v>232.7</v>
      </c>
      <c r="G1278">
        <v>6.6</v>
      </c>
      <c r="H1278">
        <v>6</v>
      </c>
      <c r="I1278">
        <v>0.6</v>
      </c>
      <c r="J1278">
        <v>9</v>
      </c>
      <c r="K1278">
        <v>95.1</v>
      </c>
      <c r="L1278">
        <v>1701.2</v>
      </c>
      <c r="M1278">
        <v>446</v>
      </c>
      <c r="N1278">
        <v>437</v>
      </c>
      <c r="O1278">
        <v>532</v>
      </c>
      <c r="P1278">
        <v>95</v>
      </c>
      <c r="Q1278">
        <v>394</v>
      </c>
      <c r="R1278">
        <v>546</v>
      </c>
      <c r="S1278">
        <v>152</v>
      </c>
      <c r="T1278">
        <v>237.9</v>
      </c>
      <c r="U1278">
        <v>419</v>
      </c>
      <c r="V1278">
        <v>416</v>
      </c>
      <c r="W1278">
        <v>500</v>
      </c>
      <c r="X1278">
        <v>2.79</v>
      </c>
    </row>
    <row r="1279" spans="1:24" outlineLevel="1" collapsed="1" x14ac:dyDescent="0.25">
      <c r="A1279" s="8" t="s">
        <v>135</v>
      </c>
      <c r="D1279">
        <f t="shared" ref="D1279:V1279" si="196">SUBTOTAL(1,D1270:D1278)</f>
        <v>19.888888888888889</v>
      </c>
      <c r="E1279">
        <f t="shared" si="196"/>
        <v>2005</v>
      </c>
      <c r="F1279">
        <f t="shared" si="196"/>
        <v>216.56666666666669</v>
      </c>
      <c r="G1279">
        <f t="shared" si="196"/>
        <v>6.633333333333332</v>
      </c>
      <c r="H1279">
        <f t="shared" si="196"/>
        <v>5.9333333333333336</v>
      </c>
      <c r="I1279">
        <f t="shared" si="196"/>
        <v>0.7</v>
      </c>
      <c r="J1279">
        <f t="shared" si="196"/>
        <v>9.7777777777777786</v>
      </c>
      <c r="K1279">
        <f t="shared" si="196"/>
        <v>90.266666666666652</v>
      </c>
      <c r="L1279">
        <f t="shared" si="196"/>
        <v>1490.3444444444444</v>
      </c>
      <c r="M1279">
        <f t="shared" si="196"/>
        <v>424.44444444444446</v>
      </c>
      <c r="N1279">
        <f t="shared" si="196"/>
        <v>410.55555555555554</v>
      </c>
      <c r="O1279">
        <f t="shared" si="196"/>
        <v>539.25</v>
      </c>
      <c r="P1279">
        <f t="shared" si="196"/>
        <v>131.125</v>
      </c>
      <c r="Q1279">
        <f t="shared" si="196"/>
        <v>360.11111111111109</v>
      </c>
      <c r="R1279">
        <f t="shared" si="196"/>
        <v>550.44444444444446</v>
      </c>
      <c r="S1279">
        <f t="shared" si="196"/>
        <v>190.33333333333334</v>
      </c>
      <c r="T1279">
        <f t="shared" si="196"/>
        <v>238.53333333333336</v>
      </c>
      <c r="U1279">
        <f t="shared" si="196"/>
        <v>412</v>
      </c>
      <c r="V1279">
        <f t="shared" si="196"/>
        <v>414.11111111111109</v>
      </c>
    </row>
    <row r="1280" spans="1:24" hidden="1" outlineLevel="2" x14ac:dyDescent="0.25">
      <c r="A1280" t="str">
        <f t="shared" ref="A1280:A1288" si="197">CONCATENATE(B1280," - ",E1280)</f>
        <v>AK8 - 2006</v>
      </c>
      <c r="B1280" t="s">
        <v>37</v>
      </c>
      <c r="C1280">
        <v>1</v>
      </c>
      <c r="D1280">
        <v>21</v>
      </c>
      <c r="E1280">
        <v>2006</v>
      </c>
      <c r="F1280">
        <v>249.1</v>
      </c>
      <c r="G1280">
        <v>4.8</v>
      </c>
      <c r="H1280">
        <v>4.5</v>
      </c>
      <c r="I1280">
        <v>0.3</v>
      </c>
      <c r="J1280">
        <v>6</v>
      </c>
      <c r="K1280">
        <v>74.400000000000006</v>
      </c>
      <c r="L1280">
        <v>1949.4</v>
      </c>
      <c r="M1280">
        <v>412</v>
      </c>
      <c r="N1280">
        <v>401</v>
      </c>
      <c r="O1280">
        <v>583</v>
      </c>
      <c r="P1280">
        <v>182</v>
      </c>
      <c r="Q1280">
        <v>345</v>
      </c>
      <c r="R1280">
        <v>583</v>
      </c>
      <c r="S1280">
        <v>238</v>
      </c>
      <c r="T1280">
        <v>267.3</v>
      </c>
      <c r="U1280">
        <v>392</v>
      </c>
      <c r="V1280">
        <v>395</v>
      </c>
      <c r="W1280">
        <v>500</v>
      </c>
      <c r="X1280">
        <v>2.79</v>
      </c>
    </row>
    <row r="1281" spans="1:24" hidden="1" outlineLevel="2" x14ac:dyDescent="0.25">
      <c r="A1281" t="str">
        <f t="shared" si="197"/>
        <v>AK8 - 2006</v>
      </c>
      <c r="B1281" t="s">
        <v>37</v>
      </c>
      <c r="C1281">
        <v>3</v>
      </c>
      <c r="D1281">
        <v>21</v>
      </c>
      <c r="E1281">
        <v>2006</v>
      </c>
      <c r="F1281">
        <v>222.9</v>
      </c>
      <c r="G1281">
        <v>7.5</v>
      </c>
      <c r="H1281">
        <v>6.9</v>
      </c>
      <c r="I1281">
        <v>0.6</v>
      </c>
      <c r="J1281">
        <v>8</v>
      </c>
      <c r="K1281">
        <v>103.3</v>
      </c>
      <c r="L1281">
        <v>1560.9</v>
      </c>
      <c r="M1281">
        <v>399</v>
      </c>
      <c r="N1281">
        <v>388</v>
      </c>
      <c r="O1281">
        <v>521</v>
      </c>
      <c r="P1281">
        <v>133</v>
      </c>
      <c r="Q1281">
        <v>315</v>
      </c>
      <c r="R1281">
        <v>527</v>
      </c>
      <c r="S1281">
        <v>212</v>
      </c>
      <c r="T1281">
        <v>271.2</v>
      </c>
      <c r="U1281">
        <v>404</v>
      </c>
      <c r="V1281">
        <v>409</v>
      </c>
      <c r="W1281">
        <v>500</v>
      </c>
      <c r="X1281">
        <v>2.79</v>
      </c>
    </row>
    <row r="1282" spans="1:24" hidden="1" outlineLevel="2" x14ac:dyDescent="0.25">
      <c r="A1282" t="str">
        <f t="shared" si="197"/>
        <v>AK8 - 2006</v>
      </c>
      <c r="B1282" t="s">
        <v>37</v>
      </c>
      <c r="C1282">
        <v>4</v>
      </c>
      <c r="D1282">
        <v>21</v>
      </c>
      <c r="E1282">
        <v>2006</v>
      </c>
      <c r="F1282">
        <v>217.4</v>
      </c>
      <c r="G1282">
        <v>5.7</v>
      </c>
      <c r="H1282">
        <v>4.5</v>
      </c>
      <c r="I1282">
        <v>1.2</v>
      </c>
      <c r="J1282">
        <v>21</v>
      </c>
      <c r="K1282">
        <v>76.8</v>
      </c>
      <c r="L1282">
        <v>1484.8</v>
      </c>
      <c r="M1282">
        <v>438</v>
      </c>
      <c r="N1282">
        <v>406</v>
      </c>
      <c r="O1282">
        <v>559</v>
      </c>
      <c r="P1282">
        <v>153</v>
      </c>
      <c r="Q1282">
        <v>355</v>
      </c>
      <c r="R1282">
        <v>598</v>
      </c>
      <c r="S1282">
        <v>243</v>
      </c>
      <c r="T1282">
        <v>217.8</v>
      </c>
      <c r="U1282">
        <v>383</v>
      </c>
      <c r="V1282">
        <v>385</v>
      </c>
      <c r="W1282">
        <v>500</v>
      </c>
      <c r="X1282">
        <v>2.79</v>
      </c>
    </row>
    <row r="1283" spans="1:24" hidden="1" outlineLevel="2" x14ac:dyDescent="0.25">
      <c r="A1283" t="str">
        <f t="shared" si="197"/>
        <v>AK8 - 2006</v>
      </c>
      <c r="B1283" t="s">
        <v>37</v>
      </c>
      <c r="C1283">
        <v>5</v>
      </c>
      <c r="D1283">
        <v>21</v>
      </c>
      <c r="E1283">
        <v>2006</v>
      </c>
      <c r="F1283">
        <v>181.7</v>
      </c>
      <c r="G1283">
        <v>2.7</v>
      </c>
      <c r="H1283">
        <v>2.1</v>
      </c>
      <c r="I1283">
        <v>0.6</v>
      </c>
      <c r="J1283">
        <v>22</v>
      </c>
      <c r="K1283">
        <v>30.6</v>
      </c>
      <c r="L1283">
        <v>1037.2</v>
      </c>
      <c r="M1283">
        <v>471</v>
      </c>
      <c r="N1283">
        <v>452</v>
      </c>
      <c r="O1283">
        <v>538</v>
      </c>
      <c r="P1283">
        <v>86</v>
      </c>
      <c r="Q1283">
        <v>414</v>
      </c>
      <c r="R1283">
        <v>574</v>
      </c>
      <c r="S1283">
        <v>160</v>
      </c>
      <c r="T1283">
        <v>196.8</v>
      </c>
      <c r="U1283">
        <v>444</v>
      </c>
      <c r="V1283">
        <v>445</v>
      </c>
      <c r="W1283">
        <v>500</v>
      </c>
      <c r="X1283">
        <v>2.79</v>
      </c>
    </row>
    <row r="1284" spans="1:24" hidden="1" outlineLevel="2" x14ac:dyDescent="0.25">
      <c r="A1284" t="str">
        <f t="shared" si="197"/>
        <v>AK8 - 2006</v>
      </c>
      <c r="B1284" t="s">
        <v>37</v>
      </c>
      <c r="C1284">
        <v>6</v>
      </c>
      <c r="D1284">
        <v>21</v>
      </c>
      <c r="E1284">
        <v>2006</v>
      </c>
      <c r="F1284">
        <v>248.1</v>
      </c>
      <c r="G1284">
        <v>6.6</v>
      </c>
      <c r="H1284">
        <v>5.0999999999999996</v>
      </c>
      <c r="I1284">
        <v>1.5</v>
      </c>
      <c r="J1284">
        <v>22</v>
      </c>
      <c r="K1284">
        <v>101.5</v>
      </c>
      <c r="L1284">
        <v>1933.8</v>
      </c>
      <c r="M1284">
        <v>444</v>
      </c>
      <c r="N1284">
        <v>418</v>
      </c>
      <c r="O1284">
        <v>534</v>
      </c>
      <c r="P1284">
        <v>116</v>
      </c>
      <c r="Q1284">
        <v>359</v>
      </c>
      <c r="R1284">
        <v>551</v>
      </c>
      <c r="S1284">
        <v>192</v>
      </c>
      <c r="T1284">
        <v>280.2</v>
      </c>
      <c r="U1284">
        <v>413</v>
      </c>
      <c r="V1284">
        <v>417</v>
      </c>
      <c r="W1284">
        <v>500</v>
      </c>
      <c r="X1284">
        <v>2.79</v>
      </c>
    </row>
    <row r="1285" spans="1:24" hidden="1" outlineLevel="2" x14ac:dyDescent="0.25">
      <c r="A1285" t="str">
        <f t="shared" si="197"/>
        <v>AK8 - 2006</v>
      </c>
      <c r="B1285" t="s">
        <v>37</v>
      </c>
      <c r="C1285">
        <v>7</v>
      </c>
      <c r="D1285">
        <v>21</v>
      </c>
      <c r="E1285">
        <v>2006</v>
      </c>
      <c r="F1285">
        <v>193</v>
      </c>
      <c r="G1285">
        <v>6.3</v>
      </c>
      <c r="H1285">
        <v>5.4</v>
      </c>
      <c r="I1285">
        <v>0.9</v>
      </c>
      <c r="J1285">
        <v>14</v>
      </c>
      <c r="K1285">
        <v>75.2</v>
      </c>
      <c r="L1285">
        <v>1170.2</v>
      </c>
      <c r="M1285">
        <v>415</v>
      </c>
      <c r="N1285">
        <v>395</v>
      </c>
      <c r="O1285">
        <v>536</v>
      </c>
      <c r="P1285">
        <v>141</v>
      </c>
      <c r="Q1285">
        <v>345</v>
      </c>
      <c r="R1285">
        <v>550</v>
      </c>
      <c r="S1285">
        <v>205</v>
      </c>
      <c r="T1285">
        <v>213.6</v>
      </c>
      <c r="U1285">
        <v>413</v>
      </c>
      <c r="V1285">
        <v>422</v>
      </c>
      <c r="W1285">
        <v>500</v>
      </c>
      <c r="X1285">
        <v>2.79</v>
      </c>
    </row>
    <row r="1286" spans="1:24" hidden="1" outlineLevel="2" x14ac:dyDescent="0.25">
      <c r="A1286" t="str">
        <f t="shared" si="197"/>
        <v>AK8 - 2006</v>
      </c>
      <c r="B1286" t="s">
        <v>37</v>
      </c>
      <c r="C1286">
        <v>8</v>
      </c>
      <c r="D1286">
        <v>21</v>
      </c>
      <c r="E1286">
        <v>2006</v>
      </c>
      <c r="F1286">
        <v>200.4</v>
      </c>
      <c r="G1286">
        <v>2.1</v>
      </c>
      <c r="H1286">
        <v>1.8</v>
      </c>
      <c r="I1286">
        <v>0.3</v>
      </c>
      <c r="J1286">
        <v>14</v>
      </c>
      <c r="K1286">
        <v>26.3</v>
      </c>
      <c r="L1286">
        <v>1261.7</v>
      </c>
      <c r="M1286">
        <v>426</v>
      </c>
      <c r="N1286">
        <v>412</v>
      </c>
      <c r="O1286">
        <v>506</v>
      </c>
      <c r="P1286">
        <v>94</v>
      </c>
      <c r="Q1286">
        <v>358</v>
      </c>
      <c r="R1286">
        <v>506</v>
      </c>
      <c r="S1286">
        <v>148</v>
      </c>
      <c r="T1286">
        <v>200.4</v>
      </c>
      <c r="U1286">
        <v>427</v>
      </c>
      <c r="V1286">
        <v>430</v>
      </c>
      <c r="W1286">
        <v>500</v>
      </c>
      <c r="X1286">
        <v>2.79</v>
      </c>
    </row>
    <row r="1287" spans="1:24" hidden="1" outlineLevel="2" x14ac:dyDescent="0.25">
      <c r="A1287" t="str">
        <f t="shared" si="197"/>
        <v>AK8 - 2006</v>
      </c>
      <c r="B1287" t="s">
        <v>37</v>
      </c>
      <c r="C1287">
        <v>9</v>
      </c>
      <c r="D1287">
        <v>20</v>
      </c>
      <c r="E1287">
        <v>2006</v>
      </c>
      <c r="F1287">
        <v>241.9</v>
      </c>
      <c r="G1287">
        <v>2.4</v>
      </c>
      <c r="H1287">
        <v>1.5</v>
      </c>
      <c r="I1287">
        <v>0.9</v>
      </c>
      <c r="J1287">
        <v>37</v>
      </c>
      <c r="K1287">
        <v>36.299999999999997</v>
      </c>
      <c r="L1287">
        <v>1838.3</v>
      </c>
      <c r="M1287">
        <v>467</v>
      </c>
      <c r="N1287">
        <v>412</v>
      </c>
      <c r="O1287">
        <v>559</v>
      </c>
      <c r="P1287">
        <v>147</v>
      </c>
      <c r="Q1287">
        <v>369</v>
      </c>
      <c r="R1287">
        <v>575</v>
      </c>
      <c r="S1287">
        <v>206</v>
      </c>
      <c r="T1287">
        <v>261.60000000000002</v>
      </c>
      <c r="U1287">
        <v>413</v>
      </c>
      <c r="V1287">
        <v>408</v>
      </c>
      <c r="W1287">
        <v>500</v>
      </c>
      <c r="X1287">
        <v>2.79</v>
      </c>
    </row>
    <row r="1288" spans="1:24" hidden="1" outlineLevel="2" x14ac:dyDescent="0.25">
      <c r="A1288" t="str">
        <f t="shared" si="197"/>
        <v>AK8 - 2006</v>
      </c>
      <c r="B1288" t="s">
        <v>37</v>
      </c>
      <c r="C1288">
        <v>10</v>
      </c>
      <c r="D1288">
        <v>21</v>
      </c>
      <c r="E1288">
        <v>2006</v>
      </c>
      <c r="F1288">
        <v>237.2</v>
      </c>
      <c r="G1288">
        <v>4.5</v>
      </c>
      <c r="H1288">
        <v>3.6</v>
      </c>
      <c r="I1288">
        <v>0.9</v>
      </c>
      <c r="J1288">
        <v>20</v>
      </c>
      <c r="K1288">
        <v>66.400000000000006</v>
      </c>
      <c r="L1288">
        <v>1767.6</v>
      </c>
      <c r="M1288">
        <v>451</v>
      </c>
      <c r="N1288">
        <v>435</v>
      </c>
      <c r="O1288">
        <v>517</v>
      </c>
      <c r="P1288">
        <v>82</v>
      </c>
      <c r="Q1288">
        <v>366</v>
      </c>
      <c r="R1288">
        <v>530</v>
      </c>
      <c r="S1288">
        <v>164</v>
      </c>
      <c r="T1288">
        <v>237.9</v>
      </c>
      <c r="U1288">
        <v>419</v>
      </c>
      <c r="V1288">
        <v>416</v>
      </c>
      <c r="W1288">
        <v>500</v>
      </c>
      <c r="X1288">
        <v>2.79</v>
      </c>
    </row>
    <row r="1289" spans="1:24" outlineLevel="1" collapsed="1" x14ac:dyDescent="0.25">
      <c r="A1289" s="8" t="s">
        <v>136</v>
      </c>
      <c r="D1289">
        <f t="shared" ref="D1289:V1289" si="198">SUBTOTAL(1,D1280:D1288)</f>
        <v>20.888888888888889</v>
      </c>
      <c r="E1289">
        <f t="shared" si="198"/>
        <v>2006</v>
      </c>
      <c r="F1289">
        <f t="shared" si="198"/>
        <v>221.3</v>
      </c>
      <c r="G1289">
        <f t="shared" si="198"/>
        <v>4.7333333333333325</v>
      </c>
      <c r="H1289">
        <f t="shared" si="198"/>
        <v>3.9333333333333331</v>
      </c>
      <c r="I1289">
        <f t="shared" si="198"/>
        <v>0.8</v>
      </c>
      <c r="J1289">
        <f t="shared" si="198"/>
        <v>18.222222222222221</v>
      </c>
      <c r="K1289">
        <f t="shared" si="198"/>
        <v>65.644444444444446</v>
      </c>
      <c r="L1289">
        <f t="shared" si="198"/>
        <v>1555.9888888888891</v>
      </c>
      <c r="M1289">
        <f t="shared" si="198"/>
        <v>435.88888888888891</v>
      </c>
      <c r="N1289">
        <f t="shared" si="198"/>
        <v>413.22222222222223</v>
      </c>
      <c r="O1289">
        <f t="shared" si="198"/>
        <v>539.22222222222217</v>
      </c>
      <c r="P1289">
        <f t="shared" si="198"/>
        <v>126</v>
      </c>
      <c r="Q1289">
        <f t="shared" si="198"/>
        <v>358.44444444444446</v>
      </c>
      <c r="R1289">
        <f t="shared" si="198"/>
        <v>554.88888888888891</v>
      </c>
      <c r="S1289">
        <f t="shared" si="198"/>
        <v>196.44444444444446</v>
      </c>
      <c r="T1289">
        <f t="shared" si="198"/>
        <v>238.53333333333336</v>
      </c>
      <c r="U1289">
        <f t="shared" si="198"/>
        <v>412</v>
      </c>
      <c r="V1289">
        <f t="shared" si="198"/>
        <v>414.11111111111109</v>
      </c>
    </row>
    <row r="1290" spans="1:24" hidden="1" outlineLevel="2" x14ac:dyDescent="0.25">
      <c r="A1290" t="str">
        <f t="shared" ref="A1290:A1298" si="199">CONCATENATE(B1290," - ",E1290)</f>
        <v>AK8 - 2007</v>
      </c>
      <c r="B1290" t="s">
        <v>37</v>
      </c>
      <c r="C1290">
        <v>1</v>
      </c>
      <c r="D1290">
        <v>22</v>
      </c>
      <c r="E1290">
        <v>2007</v>
      </c>
      <c r="F1290">
        <v>253.6</v>
      </c>
      <c r="G1290">
        <v>4.5</v>
      </c>
      <c r="H1290">
        <v>3.6</v>
      </c>
      <c r="I1290">
        <v>0.9</v>
      </c>
      <c r="J1290">
        <v>20</v>
      </c>
      <c r="K1290">
        <v>71.099999999999994</v>
      </c>
      <c r="L1290">
        <v>2020.5</v>
      </c>
      <c r="M1290">
        <v>444</v>
      </c>
      <c r="N1290">
        <v>413</v>
      </c>
      <c r="O1290">
        <v>566</v>
      </c>
      <c r="P1290">
        <v>153</v>
      </c>
      <c r="Q1290">
        <v>348</v>
      </c>
      <c r="R1290">
        <v>599</v>
      </c>
      <c r="S1290">
        <v>251</v>
      </c>
      <c r="T1290">
        <v>267.3</v>
      </c>
      <c r="U1290">
        <v>392</v>
      </c>
      <c r="V1290">
        <v>395</v>
      </c>
      <c r="W1290">
        <v>500</v>
      </c>
      <c r="X1290">
        <v>2.79</v>
      </c>
    </row>
    <row r="1291" spans="1:24" hidden="1" outlineLevel="2" x14ac:dyDescent="0.25">
      <c r="A1291" t="str">
        <f t="shared" si="199"/>
        <v>AK8 - 2007</v>
      </c>
      <c r="B1291" t="s">
        <v>37</v>
      </c>
      <c r="C1291">
        <v>3</v>
      </c>
      <c r="D1291">
        <v>22</v>
      </c>
      <c r="E1291">
        <v>2007</v>
      </c>
      <c r="F1291">
        <v>231</v>
      </c>
      <c r="G1291">
        <v>8.1</v>
      </c>
      <c r="H1291">
        <v>6</v>
      </c>
      <c r="I1291">
        <v>2.1</v>
      </c>
      <c r="J1291">
        <v>25</v>
      </c>
      <c r="K1291">
        <v>115.5</v>
      </c>
      <c r="L1291">
        <v>1676.4</v>
      </c>
      <c r="M1291">
        <v>425</v>
      </c>
      <c r="N1291">
        <v>382</v>
      </c>
      <c r="O1291">
        <v>547</v>
      </c>
      <c r="P1291">
        <v>165</v>
      </c>
      <c r="Q1291">
        <v>305</v>
      </c>
      <c r="R1291">
        <v>599</v>
      </c>
      <c r="S1291">
        <v>294</v>
      </c>
      <c r="T1291">
        <v>271.2</v>
      </c>
      <c r="U1291">
        <v>404</v>
      </c>
      <c r="V1291">
        <v>409</v>
      </c>
      <c r="W1291">
        <v>500</v>
      </c>
      <c r="X1291">
        <v>2.79</v>
      </c>
    </row>
    <row r="1292" spans="1:24" hidden="1" outlineLevel="2" x14ac:dyDescent="0.25">
      <c r="A1292" t="str">
        <f t="shared" si="199"/>
        <v>AK8 - 2007</v>
      </c>
      <c r="B1292" t="s">
        <v>37</v>
      </c>
      <c r="C1292">
        <v>4</v>
      </c>
      <c r="D1292">
        <v>22</v>
      </c>
      <c r="E1292">
        <v>2007</v>
      </c>
      <c r="F1292">
        <v>221.6</v>
      </c>
      <c r="G1292">
        <v>4.2</v>
      </c>
      <c r="H1292">
        <v>3.6</v>
      </c>
      <c r="I1292">
        <v>0.6</v>
      </c>
      <c r="J1292">
        <v>14</v>
      </c>
      <c r="K1292">
        <v>57.9</v>
      </c>
      <c r="L1292">
        <v>1542.7</v>
      </c>
      <c r="M1292">
        <v>440</v>
      </c>
      <c r="N1292">
        <v>416</v>
      </c>
      <c r="O1292">
        <v>581</v>
      </c>
      <c r="P1292">
        <v>165</v>
      </c>
      <c r="Q1292">
        <v>381</v>
      </c>
      <c r="R1292">
        <v>585</v>
      </c>
      <c r="S1292">
        <v>204</v>
      </c>
      <c r="T1292">
        <v>217.8</v>
      </c>
      <c r="U1292">
        <v>383</v>
      </c>
      <c r="V1292">
        <v>385</v>
      </c>
      <c r="W1292">
        <v>500</v>
      </c>
      <c r="X1292">
        <v>2.79</v>
      </c>
    </row>
    <row r="1293" spans="1:24" hidden="1" outlineLevel="2" x14ac:dyDescent="0.25">
      <c r="A1293" t="str">
        <f t="shared" si="199"/>
        <v>AK8 - 2007</v>
      </c>
      <c r="B1293" t="s">
        <v>37</v>
      </c>
      <c r="C1293">
        <v>5</v>
      </c>
      <c r="D1293">
        <v>22</v>
      </c>
      <c r="E1293">
        <v>2007</v>
      </c>
      <c r="F1293">
        <v>183.8</v>
      </c>
      <c r="G1293">
        <v>2.1</v>
      </c>
      <c r="H1293">
        <v>1.2</v>
      </c>
      <c r="I1293">
        <v>0.9</v>
      </c>
      <c r="J1293">
        <v>42</v>
      </c>
      <c r="K1293">
        <v>24.1</v>
      </c>
      <c r="L1293">
        <v>1061.3</v>
      </c>
      <c r="M1293">
        <v>475</v>
      </c>
      <c r="N1293">
        <v>422</v>
      </c>
      <c r="O1293">
        <v>547</v>
      </c>
      <c r="P1293">
        <v>125</v>
      </c>
      <c r="Q1293">
        <v>384</v>
      </c>
      <c r="R1293">
        <v>615</v>
      </c>
      <c r="S1293">
        <v>231</v>
      </c>
      <c r="T1293">
        <v>196.8</v>
      </c>
      <c r="U1293">
        <v>444</v>
      </c>
      <c r="V1293">
        <v>445</v>
      </c>
      <c r="W1293">
        <v>500</v>
      </c>
      <c r="X1293">
        <v>2.79</v>
      </c>
    </row>
    <row r="1294" spans="1:24" hidden="1" outlineLevel="2" x14ac:dyDescent="0.25">
      <c r="A1294" t="str">
        <f t="shared" si="199"/>
        <v>AK8 - 2007</v>
      </c>
      <c r="B1294" t="s">
        <v>37</v>
      </c>
      <c r="C1294">
        <v>6</v>
      </c>
      <c r="D1294">
        <v>22</v>
      </c>
      <c r="E1294">
        <v>2007</v>
      </c>
      <c r="F1294">
        <v>255</v>
      </c>
      <c r="G1294">
        <v>6.9</v>
      </c>
      <c r="H1294">
        <v>5.4</v>
      </c>
      <c r="I1294">
        <v>1.5</v>
      </c>
      <c r="J1294">
        <v>21</v>
      </c>
      <c r="K1294">
        <v>109.1</v>
      </c>
      <c r="L1294">
        <v>2042.8</v>
      </c>
      <c r="M1294">
        <v>451</v>
      </c>
      <c r="N1294">
        <v>422</v>
      </c>
      <c r="O1294">
        <v>555</v>
      </c>
      <c r="P1294">
        <v>133</v>
      </c>
      <c r="Q1294">
        <v>375</v>
      </c>
      <c r="R1294">
        <v>616</v>
      </c>
      <c r="S1294">
        <v>241</v>
      </c>
      <c r="T1294">
        <v>280.2</v>
      </c>
      <c r="U1294">
        <v>413</v>
      </c>
      <c r="V1294">
        <v>417</v>
      </c>
      <c r="W1294">
        <v>500</v>
      </c>
      <c r="X1294">
        <v>2.79</v>
      </c>
    </row>
    <row r="1295" spans="1:24" hidden="1" outlineLevel="2" x14ac:dyDescent="0.25">
      <c r="A1295" t="str">
        <f t="shared" si="199"/>
        <v>AK8 - 2007</v>
      </c>
      <c r="B1295" t="s">
        <v>37</v>
      </c>
      <c r="C1295">
        <v>7</v>
      </c>
      <c r="D1295">
        <v>22</v>
      </c>
      <c r="E1295">
        <v>2007</v>
      </c>
      <c r="F1295">
        <v>198.4</v>
      </c>
      <c r="G1295">
        <v>5.4</v>
      </c>
      <c r="H1295">
        <v>4.2</v>
      </c>
      <c r="I1295">
        <v>1.2</v>
      </c>
      <c r="J1295">
        <v>22</v>
      </c>
      <c r="K1295">
        <v>66.400000000000006</v>
      </c>
      <c r="L1295">
        <v>1236.5999999999999</v>
      </c>
      <c r="M1295">
        <v>437</v>
      </c>
      <c r="N1295">
        <v>402</v>
      </c>
      <c r="O1295">
        <v>561</v>
      </c>
      <c r="P1295">
        <v>159</v>
      </c>
      <c r="Q1295">
        <v>333</v>
      </c>
      <c r="R1295">
        <v>588</v>
      </c>
      <c r="S1295">
        <v>255</v>
      </c>
      <c r="T1295">
        <v>213.6</v>
      </c>
      <c r="U1295">
        <v>413</v>
      </c>
      <c r="V1295">
        <v>422</v>
      </c>
      <c r="W1295">
        <v>500</v>
      </c>
      <c r="X1295">
        <v>2.79</v>
      </c>
    </row>
    <row r="1296" spans="1:24" hidden="1" outlineLevel="2" x14ac:dyDescent="0.25">
      <c r="A1296" t="str">
        <f t="shared" si="199"/>
        <v>AK8 - 2007</v>
      </c>
      <c r="B1296" t="s">
        <v>37</v>
      </c>
      <c r="C1296">
        <v>8</v>
      </c>
      <c r="D1296">
        <v>22</v>
      </c>
      <c r="E1296">
        <v>2007</v>
      </c>
      <c r="F1296">
        <v>202.5</v>
      </c>
      <c r="G1296">
        <v>2.1</v>
      </c>
      <c r="H1296">
        <v>2.1</v>
      </c>
      <c r="I1296">
        <v>0</v>
      </c>
      <c r="J1296">
        <v>0</v>
      </c>
      <c r="K1296">
        <v>26.6</v>
      </c>
      <c r="L1296">
        <v>1288.2</v>
      </c>
      <c r="M1296">
        <v>440</v>
      </c>
      <c r="N1296">
        <v>440</v>
      </c>
      <c r="Q1296">
        <v>351</v>
      </c>
      <c r="R1296">
        <v>494</v>
      </c>
      <c r="S1296">
        <v>143</v>
      </c>
      <c r="T1296">
        <v>200.4</v>
      </c>
      <c r="U1296">
        <v>427</v>
      </c>
      <c r="V1296">
        <v>430</v>
      </c>
      <c r="W1296">
        <v>500</v>
      </c>
      <c r="X1296">
        <v>2.79</v>
      </c>
    </row>
    <row r="1297" spans="1:24" hidden="1" outlineLevel="2" x14ac:dyDescent="0.25">
      <c r="A1297" t="str">
        <f t="shared" si="199"/>
        <v>AK8 - 2007</v>
      </c>
      <c r="B1297" t="s">
        <v>37</v>
      </c>
      <c r="C1297">
        <v>9</v>
      </c>
      <c r="D1297">
        <v>21</v>
      </c>
      <c r="E1297">
        <v>2007</v>
      </c>
      <c r="F1297">
        <v>244</v>
      </c>
      <c r="G1297">
        <v>2.1</v>
      </c>
      <c r="H1297">
        <v>1.2</v>
      </c>
      <c r="I1297">
        <v>0.9</v>
      </c>
      <c r="J1297">
        <v>42</v>
      </c>
      <c r="K1297">
        <v>32.1</v>
      </c>
      <c r="L1297">
        <v>1870.4</v>
      </c>
      <c r="M1297">
        <v>477</v>
      </c>
      <c r="N1297">
        <v>416</v>
      </c>
      <c r="O1297">
        <v>559</v>
      </c>
      <c r="P1297">
        <v>143</v>
      </c>
      <c r="Q1297">
        <v>373</v>
      </c>
      <c r="R1297">
        <v>577</v>
      </c>
      <c r="S1297">
        <v>204</v>
      </c>
      <c r="T1297">
        <v>261.60000000000002</v>
      </c>
      <c r="U1297">
        <v>413</v>
      </c>
      <c r="V1297">
        <v>408</v>
      </c>
      <c r="W1297">
        <v>500</v>
      </c>
      <c r="X1297">
        <v>2.79</v>
      </c>
    </row>
    <row r="1298" spans="1:24" hidden="1" outlineLevel="2" x14ac:dyDescent="0.25">
      <c r="A1298" t="str">
        <f t="shared" si="199"/>
        <v>AK8 - 2007</v>
      </c>
      <c r="B1298" t="s">
        <v>37</v>
      </c>
      <c r="C1298">
        <v>10</v>
      </c>
      <c r="D1298">
        <v>22</v>
      </c>
      <c r="E1298">
        <v>2007</v>
      </c>
      <c r="F1298">
        <v>241.1</v>
      </c>
      <c r="G1298">
        <v>3.9</v>
      </c>
      <c r="H1298">
        <v>1.5</v>
      </c>
      <c r="I1298">
        <v>2.4</v>
      </c>
      <c r="J1298">
        <v>61</v>
      </c>
      <c r="K1298">
        <v>58.6</v>
      </c>
      <c r="L1298">
        <v>1826.2</v>
      </c>
      <c r="M1298">
        <v>505</v>
      </c>
      <c r="N1298">
        <v>458</v>
      </c>
      <c r="O1298">
        <v>534</v>
      </c>
      <c r="P1298">
        <v>76</v>
      </c>
      <c r="Q1298">
        <v>417</v>
      </c>
      <c r="R1298">
        <v>578</v>
      </c>
      <c r="S1298">
        <v>161</v>
      </c>
      <c r="T1298">
        <v>237.9</v>
      </c>
      <c r="U1298">
        <v>419</v>
      </c>
      <c r="V1298">
        <v>416</v>
      </c>
      <c r="W1298">
        <v>500</v>
      </c>
      <c r="X1298">
        <v>2.79</v>
      </c>
    </row>
    <row r="1299" spans="1:24" outlineLevel="1" collapsed="1" x14ac:dyDescent="0.25">
      <c r="A1299" s="8" t="s">
        <v>137</v>
      </c>
      <c r="D1299">
        <f t="shared" ref="D1299:V1299" si="200">SUBTOTAL(1,D1290:D1298)</f>
        <v>21.888888888888889</v>
      </c>
      <c r="E1299">
        <f t="shared" si="200"/>
        <v>2007</v>
      </c>
      <c r="F1299">
        <f t="shared" si="200"/>
        <v>225.66666666666666</v>
      </c>
      <c r="G1299">
        <f t="shared" si="200"/>
        <v>4.3666666666666671</v>
      </c>
      <c r="H1299">
        <f t="shared" si="200"/>
        <v>3.1999999999999997</v>
      </c>
      <c r="I1299">
        <f t="shared" si="200"/>
        <v>1.1666666666666667</v>
      </c>
      <c r="J1299">
        <f t="shared" si="200"/>
        <v>27.444444444444443</v>
      </c>
      <c r="K1299">
        <f t="shared" si="200"/>
        <v>62.377777777777787</v>
      </c>
      <c r="L1299">
        <f t="shared" si="200"/>
        <v>1618.3444444444447</v>
      </c>
      <c r="M1299">
        <f t="shared" si="200"/>
        <v>454.88888888888891</v>
      </c>
      <c r="N1299">
        <f t="shared" si="200"/>
        <v>419</v>
      </c>
      <c r="O1299">
        <f t="shared" si="200"/>
        <v>556.25</v>
      </c>
      <c r="P1299">
        <f t="shared" si="200"/>
        <v>139.875</v>
      </c>
      <c r="Q1299">
        <f t="shared" si="200"/>
        <v>363</v>
      </c>
      <c r="R1299">
        <f t="shared" si="200"/>
        <v>583.44444444444446</v>
      </c>
      <c r="S1299">
        <f t="shared" si="200"/>
        <v>220.44444444444446</v>
      </c>
      <c r="T1299">
        <f t="shared" si="200"/>
        <v>238.53333333333336</v>
      </c>
      <c r="U1299">
        <f t="shared" si="200"/>
        <v>412</v>
      </c>
      <c r="V1299">
        <f t="shared" si="200"/>
        <v>414.11111111111109</v>
      </c>
    </row>
    <row r="1300" spans="1:24" hidden="1" outlineLevel="2" x14ac:dyDescent="0.25">
      <c r="A1300" t="str">
        <f t="shared" ref="A1300:A1307" si="201">CONCATENATE(B1300," - ",E1300)</f>
        <v>AK8 - 2008</v>
      </c>
      <c r="B1300" t="s">
        <v>37</v>
      </c>
      <c r="C1300">
        <v>1</v>
      </c>
      <c r="D1300">
        <v>23</v>
      </c>
      <c r="E1300">
        <v>2008</v>
      </c>
      <c r="F1300">
        <v>257.8</v>
      </c>
      <c r="G1300">
        <v>4.2</v>
      </c>
      <c r="H1300">
        <v>3</v>
      </c>
      <c r="I1300">
        <v>1.2</v>
      </c>
      <c r="J1300">
        <v>28</v>
      </c>
      <c r="K1300">
        <v>67.5</v>
      </c>
      <c r="L1300">
        <v>2087.9</v>
      </c>
      <c r="M1300">
        <v>430</v>
      </c>
      <c r="N1300">
        <v>390</v>
      </c>
      <c r="O1300">
        <v>531</v>
      </c>
      <c r="P1300">
        <v>141</v>
      </c>
      <c r="Q1300">
        <v>350</v>
      </c>
      <c r="R1300">
        <v>577</v>
      </c>
      <c r="S1300">
        <v>227</v>
      </c>
      <c r="T1300">
        <v>267.3</v>
      </c>
      <c r="U1300">
        <v>392</v>
      </c>
      <c r="V1300">
        <v>395</v>
      </c>
      <c r="W1300">
        <v>500</v>
      </c>
      <c r="X1300">
        <v>2.79</v>
      </c>
    </row>
    <row r="1301" spans="1:24" hidden="1" outlineLevel="2" x14ac:dyDescent="0.25">
      <c r="A1301" t="str">
        <f t="shared" si="201"/>
        <v>AK8 - 2008</v>
      </c>
      <c r="B1301" t="s">
        <v>37</v>
      </c>
      <c r="C1301">
        <v>3</v>
      </c>
      <c r="D1301">
        <v>23</v>
      </c>
      <c r="E1301">
        <v>2008</v>
      </c>
      <c r="F1301">
        <v>240.6</v>
      </c>
      <c r="G1301">
        <v>9.6</v>
      </c>
      <c r="H1301">
        <v>8.4</v>
      </c>
      <c r="I1301">
        <v>1.2</v>
      </c>
      <c r="J1301">
        <v>12</v>
      </c>
      <c r="K1301">
        <v>142.19999999999999</v>
      </c>
      <c r="L1301">
        <v>1818.6</v>
      </c>
      <c r="M1301">
        <v>417</v>
      </c>
      <c r="N1301">
        <v>399</v>
      </c>
      <c r="O1301">
        <v>547</v>
      </c>
      <c r="P1301">
        <v>148</v>
      </c>
      <c r="Q1301">
        <v>330</v>
      </c>
      <c r="R1301">
        <v>580</v>
      </c>
      <c r="S1301">
        <v>250</v>
      </c>
      <c r="T1301">
        <v>271.2</v>
      </c>
      <c r="U1301">
        <v>404</v>
      </c>
      <c r="V1301">
        <v>409</v>
      </c>
      <c r="W1301">
        <v>500</v>
      </c>
      <c r="X1301">
        <v>2.79</v>
      </c>
    </row>
    <row r="1302" spans="1:24" hidden="1" outlineLevel="2" x14ac:dyDescent="0.25">
      <c r="A1302" t="str">
        <f t="shared" si="201"/>
        <v>AK8 - 2008</v>
      </c>
      <c r="B1302" t="s">
        <v>37</v>
      </c>
      <c r="C1302">
        <v>5</v>
      </c>
      <c r="D1302">
        <v>23</v>
      </c>
      <c r="E1302">
        <v>2008</v>
      </c>
      <c r="F1302">
        <v>187.7</v>
      </c>
      <c r="G1302">
        <v>3.9</v>
      </c>
      <c r="H1302">
        <v>2.4</v>
      </c>
      <c r="I1302">
        <v>1.5</v>
      </c>
      <c r="J1302">
        <v>38</v>
      </c>
      <c r="K1302">
        <v>45.5</v>
      </c>
      <c r="L1302">
        <v>1106.8</v>
      </c>
      <c r="M1302">
        <v>491</v>
      </c>
      <c r="N1302">
        <v>451</v>
      </c>
      <c r="O1302">
        <v>554</v>
      </c>
      <c r="P1302">
        <v>103</v>
      </c>
      <c r="Q1302">
        <v>412</v>
      </c>
      <c r="R1302">
        <v>626</v>
      </c>
      <c r="S1302">
        <v>214</v>
      </c>
      <c r="T1302">
        <v>196.8</v>
      </c>
      <c r="U1302">
        <v>444</v>
      </c>
      <c r="V1302">
        <v>445</v>
      </c>
      <c r="W1302">
        <v>500</v>
      </c>
      <c r="X1302">
        <v>2.79</v>
      </c>
    </row>
    <row r="1303" spans="1:24" hidden="1" outlineLevel="2" x14ac:dyDescent="0.25">
      <c r="A1303" t="str">
        <f t="shared" si="201"/>
        <v>AK8 - 2008</v>
      </c>
      <c r="B1303" t="s">
        <v>37</v>
      </c>
      <c r="C1303">
        <v>6</v>
      </c>
      <c r="D1303">
        <v>23</v>
      </c>
      <c r="E1303">
        <v>2008</v>
      </c>
      <c r="F1303">
        <v>263.7</v>
      </c>
      <c r="G1303">
        <v>8.6999999999999993</v>
      </c>
      <c r="H1303">
        <v>7.5</v>
      </c>
      <c r="I1303">
        <v>1.2</v>
      </c>
      <c r="J1303">
        <v>13</v>
      </c>
      <c r="K1303">
        <v>141.80000000000001</v>
      </c>
      <c r="L1303">
        <v>2184.6</v>
      </c>
      <c r="M1303">
        <v>444</v>
      </c>
      <c r="N1303">
        <v>426</v>
      </c>
      <c r="O1303">
        <v>557</v>
      </c>
      <c r="P1303">
        <v>131</v>
      </c>
      <c r="Q1303">
        <v>386</v>
      </c>
      <c r="R1303">
        <v>575</v>
      </c>
      <c r="S1303">
        <v>189</v>
      </c>
      <c r="T1303">
        <v>280.2</v>
      </c>
      <c r="U1303">
        <v>413</v>
      </c>
      <c r="V1303">
        <v>417</v>
      </c>
      <c r="W1303">
        <v>500</v>
      </c>
      <c r="X1303">
        <v>2.79</v>
      </c>
    </row>
    <row r="1304" spans="1:24" hidden="1" outlineLevel="2" x14ac:dyDescent="0.25">
      <c r="A1304" t="str">
        <f t="shared" si="201"/>
        <v>AK8 - 2008</v>
      </c>
      <c r="B1304" t="s">
        <v>37</v>
      </c>
      <c r="C1304">
        <v>7</v>
      </c>
      <c r="D1304">
        <v>23</v>
      </c>
      <c r="E1304">
        <v>2008</v>
      </c>
      <c r="F1304">
        <v>205.9</v>
      </c>
      <c r="G1304">
        <v>7.5</v>
      </c>
      <c r="H1304">
        <v>6</v>
      </c>
      <c r="I1304">
        <v>1.5</v>
      </c>
      <c r="J1304">
        <v>20</v>
      </c>
      <c r="K1304">
        <v>95.3</v>
      </c>
      <c r="L1304">
        <v>1331.9</v>
      </c>
      <c r="M1304">
        <v>420</v>
      </c>
      <c r="N1304">
        <v>395</v>
      </c>
      <c r="O1304">
        <v>518</v>
      </c>
      <c r="P1304">
        <v>123</v>
      </c>
      <c r="Q1304">
        <v>355</v>
      </c>
      <c r="R1304">
        <v>534</v>
      </c>
      <c r="S1304">
        <v>179</v>
      </c>
      <c r="T1304">
        <v>213.6</v>
      </c>
      <c r="U1304">
        <v>413</v>
      </c>
      <c r="V1304">
        <v>422</v>
      </c>
      <c r="W1304">
        <v>500</v>
      </c>
      <c r="X1304">
        <v>2.79</v>
      </c>
    </row>
    <row r="1305" spans="1:24" hidden="1" outlineLevel="2" x14ac:dyDescent="0.25">
      <c r="A1305" t="str">
        <f t="shared" si="201"/>
        <v>AK8 - 2008</v>
      </c>
      <c r="B1305" t="s">
        <v>37</v>
      </c>
      <c r="C1305">
        <v>8</v>
      </c>
      <c r="D1305">
        <v>23</v>
      </c>
      <c r="E1305">
        <v>2008</v>
      </c>
      <c r="F1305">
        <v>204.9</v>
      </c>
      <c r="G1305">
        <v>2.4</v>
      </c>
      <c r="H1305">
        <v>2.4</v>
      </c>
      <c r="I1305">
        <v>0</v>
      </c>
      <c r="J1305">
        <v>0</v>
      </c>
      <c r="K1305">
        <v>30.7</v>
      </c>
      <c r="L1305">
        <v>1319</v>
      </c>
      <c r="M1305">
        <v>416</v>
      </c>
      <c r="N1305">
        <v>416</v>
      </c>
      <c r="Q1305">
        <v>361</v>
      </c>
      <c r="R1305">
        <v>483</v>
      </c>
      <c r="S1305">
        <v>122</v>
      </c>
      <c r="T1305">
        <v>200.4</v>
      </c>
      <c r="U1305">
        <v>427</v>
      </c>
      <c r="V1305">
        <v>430</v>
      </c>
      <c r="W1305">
        <v>500</v>
      </c>
      <c r="X1305">
        <v>2.79</v>
      </c>
    </row>
    <row r="1306" spans="1:24" hidden="1" outlineLevel="2" x14ac:dyDescent="0.25">
      <c r="A1306" t="str">
        <f t="shared" si="201"/>
        <v>AK8 - 2008</v>
      </c>
      <c r="B1306" t="s">
        <v>37</v>
      </c>
      <c r="C1306">
        <v>9</v>
      </c>
      <c r="D1306">
        <v>22</v>
      </c>
      <c r="E1306">
        <v>2008</v>
      </c>
      <c r="F1306">
        <v>247.3</v>
      </c>
      <c r="G1306">
        <v>3.3</v>
      </c>
      <c r="H1306">
        <v>2.7</v>
      </c>
      <c r="I1306">
        <v>0.6</v>
      </c>
      <c r="J1306">
        <v>18</v>
      </c>
      <c r="K1306">
        <v>50.9</v>
      </c>
      <c r="L1306">
        <v>1921.3</v>
      </c>
      <c r="M1306">
        <v>442</v>
      </c>
      <c r="N1306">
        <v>421</v>
      </c>
      <c r="O1306">
        <v>537</v>
      </c>
      <c r="P1306">
        <v>116</v>
      </c>
      <c r="Q1306">
        <v>371</v>
      </c>
      <c r="R1306">
        <v>564</v>
      </c>
      <c r="S1306">
        <v>193</v>
      </c>
      <c r="T1306">
        <v>261.60000000000002</v>
      </c>
      <c r="U1306">
        <v>413</v>
      </c>
      <c r="V1306">
        <v>408</v>
      </c>
      <c r="W1306">
        <v>500</v>
      </c>
      <c r="X1306">
        <v>2.79</v>
      </c>
    </row>
    <row r="1307" spans="1:24" hidden="1" outlineLevel="2" x14ac:dyDescent="0.25">
      <c r="A1307" t="str">
        <f t="shared" si="201"/>
        <v>AK8 - 2008</v>
      </c>
      <c r="B1307" t="s">
        <v>37</v>
      </c>
      <c r="C1307">
        <v>10</v>
      </c>
      <c r="D1307">
        <v>23</v>
      </c>
      <c r="E1307">
        <v>2008</v>
      </c>
      <c r="F1307">
        <v>245.3</v>
      </c>
      <c r="G1307">
        <v>4.2</v>
      </c>
      <c r="H1307">
        <v>3.3</v>
      </c>
      <c r="I1307">
        <v>0.9</v>
      </c>
      <c r="J1307">
        <v>21</v>
      </c>
      <c r="K1307">
        <v>64.2</v>
      </c>
      <c r="L1307">
        <v>1890.4</v>
      </c>
      <c r="M1307">
        <v>457</v>
      </c>
      <c r="N1307">
        <v>437</v>
      </c>
      <c r="O1307">
        <v>530</v>
      </c>
      <c r="P1307">
        <v>93</v>
      </c>
      <c r="Q1307">
        <v>364</v>
      </c>
      <c r="R1307">
        <v>566</v>
      </c>
      <c r="S1307">
        <v>202</v>
      </c>
      <c r="T1307">
        <v>237.9</v>
      </c>
      <c r="U1307">
        <v>419</v>
      </c>
      <c r="V1307">
        <v>416</v>
      </c>
      <c r="W1307">
        <v>500</v>
      </c>
      <c r="X1307">
        <v>2.79</v>
      </c>
    </row>
    <row r="1308" spans="1:24" outlineLevel="1" collapsed="1" x14ac:dyDescent="0.25">
      <c r="A1308" s="8" t="s">
        <v>138</v>
      </c>
      <c r="D1308">
        <f t="shared" ref="D1308:V1308" si="202">SUBTOTAL(1,D1300:D1307)</f>
        <v>22.875</v>
      </c>
      <c r="E1308">
        <f t="shared" si="202"/>
        <v>2008</v>
      </c>
      <c r="F1308">
        <f t="shared" si="202"/>
        <v>231.65</v>
      </c>
      <c r="G1308">
        <f t="shared" si="202"/>
        <v>5.4749999999999996</v>
      </c>
      <c r="H1308">
        <f t="shared" si="202"/>
        <v>4.4624999999999995</v>
      </c>
      <c r="I1308">
        <f t="shared" si="202"/>
        <v>1.0125</v>
      </c>
      <c r="J1308">
        <f t="shared" si="202"/>
        <v>18.75</v>
      </c>
      <c r="K1308">
        <f t="shared" si="202"/>
        <v>79.762500000000003</v>
      </c>
      <c r="L1308">
        <f t="shared" si="202"/>
        <v>1707.5624999999998</v>
      </c>
      <c r="M1308">
        <f t="shared" si="202"/>
        <v>439.625</v>
      </c>
      <c r="N1308">
        <f t="shared" si="202"/>
        <v>416.875</v>
      </c>
      <c r="O1308">
        <f t="shared" si="202"/>
        <v>539.14285714285711</v>
      </c>
      <c r="P1308">
        <f t="shared" si="202"/>
        <v>122.14285714285714</v>
      </c>
      <c r="Q1308">
        <f t="shared" si="202"/>
        <v>366.125</v>
      </c>
      <c r="R1308">
        <f t="shared" si="202"/>
        <v>563.125</v>
      </c>
      <c r="S1308">
        <f t="shared" si="202"/>
        <v>197</v>
      </c>
      <c r="T1308">
        <f t="shared" si="202"/>
        <v>241.125</v>
      </c>
      <c r="U1308">
        <f t="shared" si="202"/>
        <v>415.625</v>
      </c>
      <c r="V1308">
        <f t="shared" si="202"/>
        <v>417.75</v>
      </c>
    </row>
    <row r="1309" spans="1:24" hidden="1" outlineLevel="2" x14ac:dyDescent="0.25">
      <c r="A1309" t="str">
        <f t="shared" ref="A1309:A1316" si="203">CONCATENATE(B1309," - ",E1309)</f>
        <v>AK8 - 2009</v>
      </c>
      <c r="B1309" t="s">
        <v>37</v>
      </c>
      <c r="C1309">
        <v>1</v>
      </c>
      <c r="D1309">
        <v>24</v>
      </c>
      <c r="E1309">
        <v>2009</v>
      </c>
      <c r="F1309">
        <v>262</v>
      </c>
      <c r="G1309">
        <v>4.2</v>
      </c>
      <c r="H1309">
        <v>3.3</v>
      </c>
      <c r="I1309">
        <v>0.9</v>
      </c>
      <c r="J1309">
        <v>21</v>
      </c>
      <c r="K1309">
        <v>68.599999999999994</v>
      </c>
      <c r="L1309">
        <v>2156.5</v>
      </c>
      <c r="M1309">
        <v>430</v>
      </c>
      <c r="N1309">
        <v>394</v>
      </c>
      <c r="O1309">
        <v>561</v>
      </c>
      <c r="P1309">
        <v>167</v>
      </c>
      <c r="Q1309">
        <v>366</v>
      </c>
      <c r="R1309">
        <v>617</v>
      </c>
      <c r="S1309">
        <v>251</v>
      </c>
      <c r="T1309">
        <v>267.3</v>
      </c>
      <c r="U1309">
        <v>392</v>
      </c>
      <c r="V1309">
        <v>395</v>
      </c>
      <c r="W1309">
        <v>500</v>
      </c>
      <c r="X1309">
        <v>2.79</v>
      </c>
    </row>
    <row r="1310" spans="1:24" hidden="1" outlineLevel="2" x14ac:dyDescent="0.25">
      <c r="A1310" t="str">
        <f t="shared" si="203"/>
        <v>AK8 - 2009</v>
      </c>
      <c r="B1310" t="s">
        <v>37</v>
      </c>
      <c r="C1310">
        <v>3</v>
      </c>
      <c r="D1310">
        <v>24</v>
      </c>
      <c r="E1310">
        <v>2009</v>
      </c>
      <c r="F1310">
        <v>248.4</v>
      </c>
      <c r="G1310">
        <v>7.8</v>
      </c>
      <c r="H1310">
        <v>6.6</v>
      </c>
      <c r="I1310">
        <v>1.2</v>
      </c>
      <c r="J1310">
        <v>15</v>
      </c>
      <c r="K1310">
        <v>119.8</v>
      </c>
      <c r="L1310">
        <v>1938.4</v>
      </c>
      <c r="M1310">
        <v>435</v>
      </c>
      <c r="N1310">
        <v>410</v>
      </c>
      <c r="O1310">
        <v>570</v>
      </c>
      <c r="P1310">
        <v>160</v>
      </c>
      <c r="Q1310">
        <v>337</v>
      </c>
      <c r="R1310">
        <v>583</v>
      </c>
      <c r="S1310">
        <v>246</v>
      </c>
      <c r="T1310">
        <v>271.2</v>
      </c>
      <c r="U1310">
        <v>404</v>
      </c>
      <c r="V1310">
        <v>409</v>
      </c>
      <c r="W1310">
        <v>500</v>
      </c>
      <c r="X1310">
        <v>2.79</v>
      </c>
    </row>
    <row r="1311" spans="1:24" hidden="1" outlineLevel="2" x14ac:dyDescent="0.25">
      <c r="A1311" t="str">
        <f t="shared" si="203"/>
        <v>AK8 - 2009</v>
      </c>
      <c r="B1311" t="s">
        <v>37</v>
      </c>
      <c r="C1311">
        <v>5</v>
      </c>
      <c r="D1311">
        <v>24</v>
      </c>
      <c r="E1311">
        <v>2009</v>
      </c>
      <c r="F1311">
        <v>191.6</v>
      </c>
      <c r="G1311">
        <v>3.9</v>
      </c>
      <c r="H1311">
        <v>2.1</v>
      </c>
      <c r="I1311">
        <v>1.8</v>
      </c>
      <c r="J1311">
        <v>46</v>
      </c>
      <c r="K1311">
        <v>46.5</v>
      </c>
      <c r="L1311">
        <v>1153.3</v>
      </c>
      <c r="M1311">
        <v>507</v>
      </c>
      <c r="N1311">
        <v>461</v>
      </c>
      <c r="O1311">
        <v>560</v>
      </c>
      <c r="P1311">
        <v>99</v>
      </c>
      <c r="Q1311">
        <v>437</v>
      </c>
      <c r="R1311">
        <v>610</v>
      </c>
      <c r="S1311">
        <v>173</v>
      </c>
      <c r="T1311">
        <v>196.8</v>
      </c>
      <c r="U1311">
        <v>444</v>
      </c>
      <c r="V1311">
        <v>445</v>
      </c>
      <c r="W1311">
        <v>500</v>
      </c>
      <c r="X1311">
        <v>2.79</v>
      </c>
    </row>
    <row r="1312" spans="1:24" hidden="1" outlineLevel="2" x14ac:dyDescent="0.25">
      <c r="A1312" t="str">
        <f t="shared" si="203"/>
        <v>AK8 - 2009</v>
      </c>
      <c r="B1312" t="s">
        <v>37</v>
      </c>
      <c r="C1312">
        <v>6</v>
      </c>
      <c r="D1312">
        <v>24</v>
      </c>
      <c r="E1312">
        <v>2009</v>
      </c>
      <c r="F1312">
        <v>270</v>
      </c>
      <c r="G1312">
        <v>6.3</v>
      </c>
      <c r="H1312">
        <v>5.4</v>
      </c>
      <c r="I1312">
        <v>0.9</v>
      </c>
      <c r="J1312">
        <v>14</v>
      </c>
      <c r="K1312">
        <v>105.6</v>
      </c>
      <c r="L1312">
        <v>2290.1999999999998</v>
      </c>
      <c r="M1312">
        <v>448</v>
      </c>
      <c r="N1312">
        <v>429</v>
      </c>
      <c r="O1312">
        <v>566</v>
      </c>
      <c r="P1312">
        <v>137</v>
      </c>
      <c r="Q1312">
        <v>393</v>
      </c>
      <c r="R1312">
        <v>582</v>
      </c>
      <c r="S1312">
        <v>189</v>
      </c>
      <c r="T1312">
        <v>280.2</v>
      </c>
      <c r="U1312">
        <v>413</v>
      </c>
      <c r="V1312">
        <v>417</v>
      </c>
      <c r="W1312">
        <v>500</v>
      </c>
      <c r="X1312">
        <v>2.79</v>
      </c>
    </row>
    <row r="1313" spans="1:24" hidden="1" outlineLevel="2" x14ac:dyDescent="0.25">
      <c r="A1313" t="str">
        <f t="shared" si="203"/>
        <v>AK8 - 2009</v>
      </c>
      <c r="B1313" t="s">
        <v>37</v>
      </c>
      <c r="C1313">
        <v>7</v>
      </c>
      <c r="D1313">
        <v>24</v>
      </c>
      <c r="E1313">
        <v>2009</v>
      </c>
      <c r="F1313">
        <v>211</v>
      </c>
      <c r="G1313">
        <v>5.0999999999999996</v>
      </c>
      <c r="H1313">
        <v>4.2</v>
      </c>
      <c r="I1313">
        <v>0.9</v>
      </c>
      <c r="J1313">
        <v>17</v>
      </c>
      <c r="K1313">
        <v>66.8</v>
      </c>
      <c r="L1313">
        <v>1398.7</v>
      </c>
      <c r="M1313">
        <v>418</v>
      </c>
      <c r="N1313">
        <v>392</v>
      </c>
      <c r="O1313">
        <v>540</v>
      </c>
      <c r="P1313">
        <v>148</v>
      </c>
      <c r="Q1313">
        <v>326</v>
      </c>
      <c r="R1313">
        <v>556</v>
      </c>
      <c r="S1313">
        <v>230</v>
      </c>
      <c r="T1313">
        <v>213.6</v>
      </c>
      <c r="U1313">
        <v>413</v>
      </c>
      <c r="V1313">
        <v>422</v>
      </c>
      <c r="W1313">
        <v>500</v>
      </c>
      <c r="X1313">
        <v>2.79</v>
      </c>
    </row>
    <row r="1314" spans="1:24" hidden="1" outlineLevel="2" x14ac:dyDescent="0.25">
      <c r="A1314" t="str">
        <f t="shared" si="203"/>
        <v>AK8 - 2009</v>
      </c>
      <c r="B1314" t="s">
        <v>37</v>
      </c>
      <c r="C1314">
        <v>8</v>
      </c>
      <c r="D1314">
        <v>24</v>
      </c>
      <c r="E1314">
        <v>2009</v>
      </c>
      <c r="F1314">
        <v>207.9</v>
      </c>
      <c r="G1314">
        <v>3</v>
      </c>
      <c r="H1314">
        <v>2.4</v>
      </c>
      <c r="I1314">
        <v>0.6</v>
      </c>
      <c r="J1314">
        <v>20</v>
      </c>
      <c r="K1314">
        <v>38.9</v>
      </c>
      <c r="L1314">
        <v>1357.9</v>
      </c>
      <c r="M1314">
        <v>434</v>
      </c>
      <c r="N1314">
        <v>412</v>
      </c>
      <c r="O1314">
        <v>523</v>
      </c>
      <c r="P1314">
        <v>111</v>
      </c>
      <c r="Q1314">
        <v>350</v>
      </c>
      <c r="R1314">
        <v>533</v>
      </c>
      <c r="S1314">
        <v>183</v>
      </c>
      <c r="T1314">
        <v>200.4</v>
      </c>
      <c r="U1314">
        <v>427</v>
      </c>
      <c r="V1314">
        <v>430</v>
      </c>
      <c r="W1314">
        <v>500</v>
      </c>
      <c r="X1314">
        <v>2.79</v>
      </c>
    </row>
    <row r="1315" spans="1:24" hidden="1" outlineLevel="2" x14ac:dyDescent="0.25">
      <c r="A1315" t="str">
        <f t="shared" si="203"/>
        <v>AK8 - 2009</v>
      </c>
      <c r="B1315" t="s">
        <v>37</v>
      </c>
      <c r="C1315">
        <v>9</v>
      </c>
      <c r="D1315">
        <v>23</v>
      </c>
      <c r="E1315">
        <v>2009</v>
      </c>
      <c r="F1315">
        <v>250.9</v>
      </c>
      <c r="G1315">
        <v>3.6</v>
      </c>
      <c r="H1315">
        <v>2.7</v>
      </c>
      <c r="I1315">
        <v>0.9</v>
      </c>
      <c r="J1315">
        <v>24</v>
      </c>
      <c r="K1315">
        <v>56.3</v>
      </c>
      <c r="L1315">
        <v>1977.7</v>
      </c>
      <c r="M1315">
        <v>447</v>
      </c>
      <c r="N1315">
        <v>412</v>
      </c>
      <c r="O1315">
        <v>552</v>
      </c>
      <c r="P1315">
        <v>140</v>
      </c>
      <c r="Q1315">
        <v>370</v>
      </c>
      <c r="R1315">
        <v>575</v>
      </c>
      <c r="S1315">
        <v>205</v>
      </c>
      <c r="T1315">
        <v>261.60000000000002</v>
      </c>
      <c r="U1315">
        <v>413</v>
      </c>
      <c r="V1315">
        <v>408</v>
      </c>
      <c r="W1315">
        <v>500</v>
      </c>
      <c r="X1315">
        <v>2.79</v>
      </c>
    </row>
    <row r="1316" spans="1:24" hidden="1" outlineLevel="2" x14ac:dyDescent="0.25">
      <c r="A1316" t="str">
        <f t="shared" si="203"/>
        <v>AK8 - 2009</v>
      </c>
      <c r="B1316" t="s">
        <v>37</v>
      </c>
      <c r="C1316">
        <v>10</v>
      </c>
      <c r="D1316">
        <v>24</v>
      </c>
      <c r="E1316">
        <v>2009</v>
      </c>
      <c r="F1316">
        <v>248</v>
      </c>
      <c r="G1316">
        <v>2.7</v>
      </c>
      <c r="H1316">
        <v>2.1</v>
      </c>
      <c r="I1316">
        <v>0.6</v>
      </c>
      <c r="J1316">
        <v>22</v>
      </c>
      <c r="K1316">
        <v>41.8</v>
      </c>
      <c r="L1316">
        <v>1932.2</v>
      </c>
      <c r="M1316">
        <v>449</v>
      </c>
      <c r="N1316">
        <v>430</v>
      </c>
      <c r="O1316">
        <v>518</v>
      </c>
      <c r="P1316">
        <v>88</v>
      </c>
      <c r="Q1316">
        <v>388</v>
      </c>
      <c r="R1316">
        <v>524</v>
      </c>
      <c r="S1316">
        <v>136</v>
      </c>
      <c r="T1316">
        <v>237.9</v>
      </c>
      <c r="U1316">
        <v>419</v>
      </c>
      <c r="V1316">
        <v>416</v>
      </c>
      <c r="W1316">
        <v>500</v>
      </c>
      <c r="X1316">
        <v>2.79</v>
      </c>
    </row>
    <row r="1317" spans="1:24" outlineLevel="1" collapsed="1" x14ac:dyDescent="0.25">
      <c r="A1317" s="8" t="s">
        <v>139</v>
      </c>
      <c r="D1317">
        <f t="shared" ref="D1317:V1317" si="204">SUBTOTAL(1,D1309:D1316)</f>
        <v>23.875</v>
      </c>
      <c r="E1317">
        <f t="shared" si="204"/>
        <v>2009</v>
      </c>
      <c r="F1317">
        <f t="shared" si="204"/>
        <v>236.22500000000002</v>
      </c>
      <c r="G1317">
        <f t="shared" si="204"/>
        <v>4.5750000000000002</v>
      </c>
      <c r="H1317">
        <f t="shared" si="204"/>
        <v>3.5999999999999996</v>
      </c>
      <c r="I1317">
        <f t="shared" si="204"/>
        <v>0.97500000000000009</v>
      </c>
      <c r="J1317">
        <f t="shared" si="204"/>
        <v>22.375</v>
      </c>
      <c r="K1317">
        <f t="shared" si="204"/>
        <v>68.037499999999994</v>
      </c>
      <c r="L1317">
        <f t="shared" si="204"/>
        <v>1775.6125000000002</v>
      </c>
      <c r="M1317">
        <f t="shared" si="204"/>
        <v>446</v>
      </c>
      <c r="N1317">
        <f t="shared" si="204"/>
        <v>417.5</v>
      </c>
      <c r="O1317">
        <f t="shared" si="204"/>
        <v>548.75</v>
      </c>
      <c r="P1317">
        <f t="shared" si="204"/>
        <v>131.25</v>
      </c>
      <c r="Q1317">
        <f t="shared" si="204"/>
        <v>370.875</v>
      </c>
      <c r="R1317">
        <f t="shared" si="204"/>
        <v>572.5</v>
      </c>
      <c r="S1317">
        <f t="shared" si="204"/>
        <v>201.625</v>
      </c>
      <c r="T1317">
        <f t="shared" si="204"/>
        <v>241.125</v>
      </c>
      <c r="U1317">
        <f t="shared" si="204"/>
        <v>415.625</v>
      </c>
      <c r="V1317">
        <f t="shared" si="204"/>
        <v>417.75</v>
      </c>
    </row>
    <row r="1318" spans="1:24" hidden="1" outlineLevel="2" x14ac:dyDescent="0.25">
      <c r="A1318" t="str">
        <f t="shared" ref="A1318:A1325" si="205">CONCATENATE(B1318," - ",E1318)</f>
        <v>AK8 - 2010</v>
      </c>
      <c r="B1318" t="s">
        <v>37</v>
      </c>
      <c r="C1318">
        <v>1</v>
      </c>
      <c r="D1318">
        <v>25</v>
      </c>
      <c r="E1318">
        <v>2010</v>
      </c>
      <c r="F1318">
        <v>266.2</v>
      </c>
      <c r="G1318">
        <v>4.2</v>
      </c>
      <c r="H1318">
        <v>3.3</v>
      </c>
      <c r="I1318">
        <v>0.9</v>
      </c>
      <c r="J1318">
        <v>21</v>
      </c>
      <c r="K1318">
        <v>69.7</v>
      </c>
      <c r="L1318">
        <v>2226.1999999999998</v>
      </c>
      <c r="M1318">
        <v>420</v>
      </c>
      <c r="N1318">
        <v>385</v>
      </c>
      <c r="O1318">
        <v>551</v>
      </c>
      <c r="P1318">
        <v>166</v>
      </c>
      <c r="Q1318">
        <v>347</v>
      </c>
      <c r="R1318">
        <v>602</v>
      </c>
      <c r="S1318">
        <v>255</v>
      </c>
      <c r="T1318">
        <v>267.3</v>
      </c>
      <c r="U1318">
        <v>392</v>
      </c>
      <c r="V1318">
        <v>395</v>
      </c>
      <c r="W1318">
        <v>500</v>
      </c>
      <c r="X1318">
        <v>2.79</v>
      </c>
    </row>
    <row r="1319" spans="1:24" hidden="1" outlineLevel="2" x14ac:dyDescent="0.25">
      <c r="A1319" t="str">
        <f t="shared" si="205"/>
        <v>AK8 - 2010</v>
      </c>
      <c r="B1319" t="s">
        <v>37</v>
      </c>
      <c r="C1319">
        <v>3</v>
      </c>
      <c r="D1319">
        <v>25</v>
      </c>
      <c r="E1319">
        <v>2010</v>
      </c>
      <c r="F1319">
        <v>256.5</v>
      </c>
      <c r="G1319">
        <v>8.1</v>
      </c>
      <c r="H1319">
        <v>6.3</v>
      </c>
      <c r="I1319">
        <v>1.8</v>
      </c>
      <c r="J1319">
        <v>22</v>
      </c>
      <c r="K1319">
        <v>128.5</v>
      </c>
      <c r="L1319">
        <v>2066.9</v>
      </c>
      <c r="M1319">
        <v>421</v>
      </c>
      <c r="N1319">
        <v>384</v>
      </c>
      <c r="O1319">
        <v>553</v>
      </c>
      <c r="P1319">
        <v>169</v>
      </c>
      <c r="Q1319">
        <v>322</v>
      </c>
      <c r="R1319">
        <v>583</v>
      </c>
      <c r="S1319">
        <v>261</v>
      </c>
      <c r="T1319">
        <v>271.2</v>
      </c>
      <c r="U1319">
        <v>404</v>
      </c>
      <c r="V1319">
        <v>409</v>
      </c>
      <c r="W1319">
        <v>500</v>
      </c>
      <c r="X1319">
        <v>2.79</v>
      </c>
    </row>
    <row r="1320" spans="1:24" hidden="1" outlineLevel="2" x14ac:dyDescent="0.25">
      <c r="A1320" t="str">
        <f t="shared" si="205"/>
        <v>AK8 - 2010</v>
      </c>
      <c r="B1320" t="s">
        <v>37</v>
      </c>
      <c r="C1320">
        <v>5</v>
      </c>
      <c r="D1320">
        <v>25</v>
      </c>
      <c r="E1320">
        <v>2010</v>
      </c>
      <c r="F1320">
        <v>194.6</v>
      </c>
      <c r="G1320">
        <v>3</v>
      </c>
      <c r="H1320">
        <v>2.4</v>
      </c>
      <c r="I1320">
        <v>0.6</v>
      </c>
      <c r="J1320">
        <v>20</v>
      </c>
      <c r="K1320">
        <v>36.4</v>
      </c>
      <c r="L1320">
        <v>1189.7</v>
      </c>
      <c r="M1320">
        <v>460</v>
      </c>
      <c r="N1320">
        <v>439</v>
      </c>
      <c r="O1320">
        <v>542</v>
      </c>
      <c r="P1320">
        <v>103</v>
      </c>
      <c r="Q1320">
        <v>399</v>
      </c>
      <c r="R1320">
        <v>583</v>
      </c>
      <c r="S1320">
        <v>184</v>
      </c>
      <c r="T1320">
        <v>196.8</v>
      </c>
      <c r="U1320">
        <v>444</v>
      </c>
      <c r="V1320">
        <v>445</v>
      </c>
      <c r="W1320">
        <v>500</v>
      </c>
      <c r="X1320">
        <v>2.79</v>
      </c>
    </row>
    <row r="1321" spans="1:24" hidden="1" outlineLevel="2" x14ac:dyDescent="0.25">
      <c r="A1321" t="str">
        <f t="shared" si="205"/>
        <v>AK8 - 2010</v>
      </c>
      <c r="B1321" t="s">
        <v>37</v>
      </c>
      <c r="C1321">
        <v>6</v>
      </c>
      <c r="D1321">
        <v>25</v>
      </c>
      <c r="E1321">
        <v>2010</v>
      </c>
      <c r="F1321">
        <v>275.10000000000002</v>
      </c>
      <c r="G1321">
        <v>5.0999999999999996</v>
      </c>
      <c r="H1321">
        <v>4.2</v>
      </c>
      <c r="I1321">
        <v>0.9</v>
      </c>
      <c r="J1321">
        <v>17</v>
      </c>
      <c r="K1321">
        <v>87.3</v>
      </c>
      <c r="L1321">
        <v>2377.6</v>
      </c>
      <c r="M1321">
        <v>435</v>
      </c>
      <c r="N1321">
        <v>410</v>
      </c>
      <c r="O1321">
        <v>551</v>
      </c>
      <c r="P1321">
        <v>141</v>
      </c>
      <c r="Q1321">
        <v>371</v>
      </c>
      <c r="R1321">
        <v>576</v>
      </c>
      <c r="S1321">
        <v>205</v>
      </c>
      <c r="T1321">
        <v>280.2</v>
      </c>
      <c r="U1321">
        <v>413</v>
      </c>
      <c r="V1321">
        <v>417</v>
      </c>
      <c r="W1321">
        <v>500</v>
      </c>
      <c r="X1321">
        <v>2.79</v>
      </c>
    </row>
    <row r="1322" spans="1:24" hidden="1" outlineLevel="2" x14ac:dyDescent="0.25">
      <c r="A1322" t="str">
        <f t="shared" si="205"/>
        <v>AK8 - 2010</v>
      </c>
      <c r="B1322" t="s">
        <v>37</v>
      </c>
      <c r="C1322">
        <v>7</v>
      </c>
      <c r="D1322">
        <v>25</v>
      </c>
      <c r="E1322">
        <v>2010</v>
      </c>
      <c r="F1322">
        <v>216.1</v>
      </c>
      <c r="G1322">
        <v>5.0999999999999996</v>
      </c>
      <c r="H1322">
        <v>4.2</v>
      </c>
      <c r="I1322">
        <v>0.9</v>
      </c>
      <c r="J1322">
        <v>17</v>
      </c>
      <c r="K1322">
        <v>68.400000000000006</v>
      </c>
      <c r="L1322">
        <v>1467.1</v>
      </c>
      <c r="M1322">
        <v>427</v>
      </c>
      <c r="N1322">
        <v>396</v>
      </c>
      <c r="O1322">
        <v>572</v>
      </c>
      <c r="P1322">
        <v>176</v>
      </c>
      <c r="Q1322">
        <v>344</v>
      </c>
      <c r="R1322">
        <v>597</v>
      </c>
      <c r="S1322">
        <v>253</v>
      </c>
      <c r="T1322">
        <v>213.6</v>
      </c>
      <c r="U1322">
        <v>413</v>
      </c>
      <c r="V1322">
        <v>422</v>
      </c>
      <c r="W1322">
        <v>500</v>
      </c>
      <c r="X1322">
        <v>2.79</v>
      </c>
    </row>
    <row r="1323" spans="1:24" hidden="1" outlineLevel="2" x14ac:dyDescent="0.25">
      <c r="A1323" t="str">
        <f t="shared" si="205"/>
        <v>AK8 - 2010</v>
      </c>
      <c r="B1323" t="s">
        <v>37</v>
      </c>
      <c r="C1323">
        <v>8</v>
      </c>
      <c r="D1323">
        <v>25</v>
      </c>
      <c r="E1323">
        <v>2010</v>
      </c>
      <c r="F1323">
        <v>211.2</v>
      </c>
      <c r="G1323">
        <v>3.3</v>
      </c>
      <c r="H1323">
        <v>2.7</v>
      </c>
      <c r="I1323">
        <v>0.6</v>
      </c>
      <c r="J1323">
        <v>18</v>
      </c>
      <c r="K1323">
        <v>43.4</v>
      </c>
      <c r="L1323">
        <v>1401.3</v>
      </c>
      <c r="M1323">
        <v>418</v>
      </c>
      <c r="N1323">
        <v>394</v>
      </c>
      <c r="O1323">
        <v>526</v>
      </c>
      <c r="P1323">
        <v>132</v>
      </c>
      <c r="Q1323">
        <v>331</v>
      </c>
      <c r="R1323">
        <v>532</v>
      </c>
      <c r="S1323">
        <v>201</v>
      </c>
      <c r="T1323">
        <v>200.4</v>
      </c>
      <c r="U1323">
        <v>427</v>
      </c>
      <c r="V1323">
        <v>430</v>
      </c>
      <c r="W1323">
        <v>500</v>
      </c>
      <c r="X1323">
        <v>2.79</v>
      </c>
    </row>
    <row r="1324" spans="1:24" hidden="1" outlineLevel="2" x14ac:dyDescent="0.25">
      <c r="A1324" t="str">
        <f t="shared" si="205"/>
        <v>AK8 - 2010</v>
      </c>
      <c r="B1324" t="s">
        <v>37</v>
      </c>
      <c r="C1324">
        <v>9</v>
      </c>
      <c r="D1324">
        <v>24</v>
      </c>
      <c r="E1324">
        <v>2010</v>
      </c>
      <c r="F1324">
        <v>256</v>
      </c>
      <c r="G1324">
        <v>5.0999999999999996</v>
      </c>
      <c r="H1324">
        <v>3.3</v>
      </c>
      <c r="I1324">
        <v>1.8</v>
      </c>
      <c r="J1324">
        <v>35</v>
      </c>
      <c r="K1324">
        <v>81.2</v>
      </c>
      <c r="L1324">
        <v>2058.9</v>
      </c>
      <c r="M1324">
        <v>474</v>
      </c>
      <c r="N1324">
        <v>427</v>
      </c>
      <c r="O1324">
        <v>558</v>
      </c>
      <c r="P1324">
        <v>131</v>
      </c>
      <c r="Q1324">
        <v>379</v>
      </c>
      <c r="R1324">
        <v>616</v>
      </c>
      <c r="S1324">
        <v>237</v>
      </c>
      <c r="T1324">
        <v>261.60000000000002</v>
      </c>
      <c r="U1324">
        <v>413</v>
      </c>
      <c r="V1324">
        <v>408</v>
      </c>
      <c r="W1324">
        <v>500</v>
      </c>
      <c r="X1324">
        <v>2.79</v>
      </c>
    </row>
    <row r="1325" spans="1:24" hidden="1" outlineLevel="2" x14ac:dyDescent="0.25">
      <c r="A1325" t="str">
        <f t="shared" si="205"/>
        <v>AK8 - 2010</v>
      </c>
      <c r="B1325" t="s">
        <v>37</v>
      </c>
      <c r="C1325">
        <v>10</v>
      </c>
      <c r="D1325">
        <v>25</v>
      </c>
      <c r="E1325">
        <v>2010</v>
      </c>
      <c r="F1325">
        <v>251.9</v>
      </c>
      <c r="G1325">
        <v>3.9</v>
      </c>
      <c r="H1325">
        <v>3.3</v>
      </c>
      <c r="I1325">
        <v>0.6</v>
      </c>
      <c r="J1325">
        <v>15</v>
      </c>
      <c r="K1325">
        <v>61.2</v>
      </c>
      <c r="L1325">
        <v>1993.5</v>
      </c>
      <c r="M1325">
        <v>438</v>
      </c>
      <c r="N1325">
        <v>422</v>
      </c>
      <c r="O1325">
        <v>523</v>
      </c>
      <c r="P1325">
        <v>101</v>
      </c>
      <c r="Q1325">
        <v>346</v>
      </c>
      <c r="R1325">
        <v>528</v>
      </c>
      <c r="S1325">
        <v>182</v>
      </c>
      <c r="T1325">
        <v>237.9</v>
      </c>
      <c r="U1325">
        <v>419</v>
      </c>
      <c r="V1325">
        <v>416</v>
      </c>
      <c r="W1325">
        <v>500</v>
      </c>
      <c r="X1325">
        <v>2.79</v>
      </c>
    </row>
    <row r="1326" spans="1:24" outlineLevel="1" collapsed="1" x14ac:dyDescent="0.25">
      <c r="A1326" s="8" t="s">
        <v>140</v>
      </c>
      <c r="D1326">
        <f t="shared" ref="D1326:V1326" si="206">SUBTOTAL(1,D1318:D1325)</f>
        <v>24.875</v>
      </c>
      <c r="E1326">
        <f t="shared" si="206"/>
        <v>2010</v>
      </c>
      <c r="F1326">
        <f t="shared" si="206"/>
        <v>240.95000000000002</v>
      </c>
      <c r="G1326">
        <f t="shared" si="206"/>
        <v>4.7249999999999996</v>
      </c>
      <c r="H1326">
        <f t="shared" si="206"/>
        <v>3.7124999999999999</v>
      </c>
      <c r="I1326">
        <f t="shared" si="206"/>
        <v>1.0125</v>
      </c>
      <c r="J1326">
        <f t="shared" si="206"/>
        <v>20.625</v>
      </c>
      <c r="K1326">
        <f t="shared" si="206"/>
        <v>72.012500000000003</v>
      </c>
      <c r="L1326">
        <f t="shared" si="206"/>
        <v>1847.6499999999999</v>
      </c>
      <c r="M1326">
        <f t="shared" si="206"/>
        <v>436.625</v>
      </c>
      <c r="N1326">
        <f t="shared" si="206"/>
        <v>407.125</v>
      </c>
      <c r="O1326">
        <f t="shared" si="206"/>
        <v>547</v>
      </c>
      <c r="P1326">
        <f t="shared" si="206"/>
        <v>139.875</v>
      </c>
      <c r="Q1326">
        <f t="shared" si="206"/>
        <v>354.875</v>
      </c>
      <c r="R1326">
        <f t="shared" si="206"/>
        <v>577.125</v>
      </c>
      <c r="S1326">
        <f t="shared" si="206"/>
        <v>222.25</v>
      </c>
      <c r="T1326">
        <f t="shared" si="206"/>
        <v>241.125</v>
      </c>
      <c r="U1326">
        <f t="shared" si="206"/>
        <v>415.625</v>
      </c>
      <c r="V1326">
        <f t="shared" si="206"/>
        <v>417.75</v>
      </c>
    </row>
    <row r="1327" spans="1:24" hidden="1" outlineLevel="2" x14ac:dyDescent="0.25">
      <c r="A1327" t="str">
        <f t="shared" ref="A1327:A1334" si="207">CONCATENATE(B1327," - ",E1327)</f>
        <v>AK8 - 2011</v>
      </c>
      <c r="B1327" t="s">
        <v>37</v>
      </c>
      <c r="C1327">
        <v>1</v>
      </c>
      <c r="D1327">
        <v>26</v>
      </c>
      <c r="E1327">
        <v>2011</v>
      </c>
      <c r="F1327">
        <v>269.2</v>
      </c>
      <c r="G1327">
        <v>3</v>
      </c>
      <c r="H1327">
        <v>2.4</v>
      </c>
      <c r="I1327">
        <v>0.6</v>
      </c>
      <c r="J1327">
        <v>20</v>
      </c>
      <c r="K1327">
        <v>50.5</v>
      </c>
      <c r="L1327">
        <v>2276.6999999999998</v>
      </c>
      <c r="M1327">
        <v>430</v>
      </c>
      <c r="N1327">
        <v>402</v>
      </c>
      <c r="O1327">
        <v>545</v>
      </c>
      <c r="P1327">
        <v>143</v>
      </c>
      <c r="Q1327">
        <v>331</v>
      </c>
      <c r="R1327">
        <v>548</v>
      </c>
      <c r="S1327">
        <v>217</v>
      </c>
      <c r="T1327">
        <v>267.3</v>
      </c>
      <c r="U1327">
        <v>392</v>
      </c>
      <c r="V1327">
        <v>395</v>
      </c>
      <c r="W1327">
        <v>500</v>
      </c>
      <c r="X1327">
        <v>2.79</v>
      </c>
    </row>
    <row r="1328" spans="1:24" hidden="1" outlineLevel="2" x14ac:dyDescent="0.25">
      <c r="A1328" t="str">
        <f t="shared" si="207"/>
        <v>AK8 - 2011</v>
      </c>
      <c r="B1328" t="s">
        <v>37</v>
      </c>
      <c r="C1328">
        <v>3</v>
      </c>
      <c r="D1328">
        <v>26</v>
      </c>
      <c r="E1328">
        <v>2011</v>
      </c>
      <c r="F1328">
        <v>265.2</v>
      </c>
      <c r="G1328">
        <v>8.6999999999999993</v>
      </c>
      <c r="H1328">
        <v>7.5</v>
      </c>
      <c r="I1328">
        <v>1.2</v>
      </c>
      <c r="J1328">
        <v>13</v>
      </c>
      <c r="K1328">
        <v>142.6</v>
      </c>
      <c r="L1328">
        <v>2209.5</v>
      </c>
      <c r="M1328">
        <v>405</v>
      </c>
      <c r="N1328">
        <v>384</v>
      </c>
      <c r="O1328">
        <v>537</v>
      </c>
      <c r="P1328">
        <v>153</v>
      </c>
      <c r="Q1328">
        <v>320</v>
      </c>
      <c r="R1328">
        <v>552</v>
      </c>
      <c r="S1328">
        <v>232</v>
      </c>
      <c r="T1328">
        <v>271.2</v>
      </c>
      <c r="U1328">
        <v>404</v>
      </c>
      <c r="V1328">
        <v>409</v>
      </c>
      <c r="W1328">
        <v>500</v>
      </c>
      <c r="X1328">
        <v>2.79</v>
      </c>
    </row>
    <row r="1329" spans="1:24" hidden="1" outlineLevel="2" x14ac:dyDescent="0.25">
      <c r="A1329" t="str">
        <f t="shared" si="207"/>
        <v>AK8 - 2011</v>
      </c>
      <c r="B1329" t="s">
        <v>37</v>
      </c>
      <c r="C1329">
        <v>5</v>
      </c>
      <c r="D1329">
        <v>26</v>
      </c>
      <c r="E1329">
        <v>2011</v>
      </c>
      <c r="F1329">
        <v>196.7</v>
      </c>
      <c r="G1329">
        <v>2.1</v>
      </c>
      <c r="H1329">
        <v>1.5</v>
      </c>
      <c r="I1329">
        <v>0.6</v>
      </c>
      <c r="J1329">
        <v>28</v>
      </c>
      <c r="K1329">
        <v>25.8</v>
      </c>
      <c r="L1329">
        <v>1215.5</v>
      </c>
      <c r="M1329">
        <v>472</v>
      </c>
      <c r="N1329">
        <v>442</v>
      </c>
      <c r="O1329">
        <v>547</v>
      </c>
      <c r="P1329">
        <v>105</v>
      </c>
      <c r="Q1329">
        <v>437</v>
      </c>
      <c r="R1329">
        <v>553</v>
      </c>
      <c r="S1329">
        <v>116</v>
      </c>
      <c r="T1329">
        <v>196.8</v>
      </c>
      <c r="U1329">
        <v>444</v>
      </c>
      <c r="V1329">
        <v>445</v>
      </c>
      <c r="W1329">
        <v>500</v>
      </c>
      <c r="X1329">
        <v>2.79</v>
      </c>
    </row>
    <row r="1330" spans="1:24" hidden="1" outlineLevel="2" x14ac:dyDescent="0.25">
      <c r="A1330" t="str">
        <f t="shared" si="207"/>
        <v>AK8 - 2011</v>
      </c>
      <c r="B1330" t="s">
        <v>37</v>
      </c>
      <c r="C1330">
        <v>6</v>
      </c>
      <c r="D1330">
        <v>26</v>
      </c>
      <c r="E1330">
        <v>2011</v>
      </c>
      <c r="F1330">
        <v>278.7</v>
      </c>
      <c r="G1330">
        <v>3.6</v>
      </c>
      <c r="H1330">
        <v>3.3</v>
      </c>
      <c r="I1330">
        <v>0.3</v>
      </c>
      <c r="J1330">
        <v>8</v>
      </c>
      <c r="K1330">
        <v>62.6</v>
      </c>
      <c r="L1330">
        <v>2440.1999999999998</v>
      </c>
      <c r="M1330">
        <v>436</v>
      </c>
      <c r="N1330">
        <v>423</v>
      </c>
      <c r="O1330">
        <v>583</v>
      </c>
      <c r="P1330">
        <v>160</v>
      </c>
      <c r="Q1330">
        <v>382</v>
      </c>
      <c r="R1330">
        <v>583</v>
      </c>
      <c r="S1330">
        <v>201</v>
      </c>
      <c r="T1330">
        <v>280.2</v>
      </c>
      <c r="U1330">
        <v>413</v>
      </c>
      <c r="V1330">
        <v>417</v>
      </c>
      <c r="W1330">
        <v>500</v>
      </c>
      <c r="X1330">
        <v>2.79</v>
      </c>
    </row>
    <row r="1331" spans="1:24" hidden="1" outlineLevel="2" x14ac:dyDescent="0.25">
      <c r="A1331" t="str">
        <f t="shared" si="207"/>
        <v>AK8 - 2011</v>
      </c>
      <c r="B1331" t="s">
        <v>37</v>
      </c>
      <c r="C1331">
        <v>7</v>
      </c>
      <c r="D1331">
        <v>26</v>
      </c>
      <c r="E1331">
        <v>2011</v>
      </c>
      <c r="F1331">
        <v>220.3</v>
      </c>
      <c r="G1331">
        <v>4.2</v>
      </c>
      <c r="H1331">
        <v>3.3</v>
      </c>
      <c r="I1331">
        <v>0.9</v>
      </c>
      <c r="J1331">
        <v>21</v>
      </c>
      <c r="K1331">
        <v>57.6</v>
      </c>
      <c r="L1331">
        <v>1524.7</v>
      </c>
      <c r="M1331">
        <v>426</v>
      </c>
      <c r="N1331">
        <v>390</v>
      </c>
      <c r="O1331">
        <v>560</v>
      </c>
      <c r="P1331">
        <v>170</v>
      </c>
      <c r="Q1331">
        <v>355</v>
      </c>
      <c r="R1331">
        <v>605</v>
      </c>
      <c r="S1331">
        <v>250</v>
      </c>
      <c r="T1331">
        <v>213.6</v>
      </c>
      <c r="U1331">
        <v>413</v>
      </c>
      <c r="V1331">
        <v>422</v>
      </c>
      <c r="W1331">
        <v>500</v>
      </c>
      <c r="X1331">
        <v>2.79</v>
      </c>
    </row>
    <row r="1332" spans="1:24" hidden="1" outlineLevel="2" x14ac:dyDescent="0.25">
      <c r="A1332" t="str">
        <f t="shared" si="207"/>
        <v>AK8 - 2011</v>
      </c>
      <c r="B1332" t="s">
        <v>37</v>
      </c>
      <c r="C1332">
        <v>8</v>
      </c>
      <c r="D1332">
        <v>26</v>
      </c>
      <c r="E1332">
        <v>2011</v>
      </c>
      <c r="F1332">
        <v>213.9</v>
      </c>
      <c r="G1332">
        <v>2.7</v>
      </c>
      <c r="H1332">
        <v>2.4</v>
      </c>
      <c r="I1332">
        <v>0.3</v>
      </c>
      <c r="J1332">
        <v>11</v>
      </c>
      <c r="K1332">
        <v>36.1</v>
      </c>
      <c r="L1332">
        <v>1437.4</v>
      </c>
      <c r="M1332">
        <v>425</v>
      </c>
      <c r="N1332">
        <v>412</v>
      </c>
      <c r="O1332">
        <v>527</v>
      </c>
      <c r="P1332">
        <v>115</v>
      </c>
      <c r="Q1332">
        <v>354</v>
      </c>
      <c r="R1332">
        <v>527</v>
      </c>
      <c r="S1332">
        <v>173</v>
      </c>
      <c r="T1332">
        <v>200.4</v>
      </c>
      <c r="U1332">
        <v>427</v>
      </c>
      <c r="V1332">
        <v>430</v>
      </c>
      <c r="W1332">
        <v>500</v>
      </c>
      <c r="X1332">
        <v>2.79</v>
      </c>
    </row>
    <row r="1333" spans="1:24" hidden="1" outlineLevel="2" x14ac:dyDescent="0.25">
      <c r="A1333" t="str">
        <f t="shared" si="207"/>
        <v>AK8 - 2011</v>
      </c>
      <c r="B1333" t="s">
        <v>37</v>
      </c>
      <c r="C1333">
        <v>9</v>
      </c>
      <c r="D1333">
        <v>25</v>
      </c>
      <c r="E1333">
        <v>2011</v>
      </c>
      <c r="F1333">
        <v>259.89999999999998</v>
      </c>
      <c r="G1333">
        <v>3.9</v>
      </c>
      <c r="H1333">
        <v>3</v>
      </c>
      <c r="I1333">
        <v>0.9</v>
      </c>
      <c r="J1333">
        <v>23</v>
      </c>
      <c r="K1333">
        <v>63.2</v>
      </c>
      <c r="L1333">
        <v>2122.1</v>
      </c>
      <c r="M1333">
        <v>470</v>
      </c>
      <c r="N1333">
        <v>432</v>
      </c>
      <c r="O1333">
        <v>596</v>
      </c>
      <c r="P1333">
        <v>164</v>
      </c>
      <c r="Q1333">
        <v>396</v>
      </c>
      <c r="R1333">
        <v>624</v>
      </c>
      <c r="S1333">
        <v>228</v>
      </c>
      <c r="T1333">
        <v>261.60000000000002</v>
      </c>
      <c r="U1333">
        <v>413</v>
      </c>
      <c r="V1333">
        <v>408</v>
      </c>
      <c r="W1333">
        <v>500</v>
      </c>
      <c r="X1333">
        <v>2.79</v>
      </c>
    </row>
    <row r="1334" spans="1:24" hidden="1" outlineLevel="2" x14ac:dyDescent="0.25">
      <c r="A1334" t="str">
        <f t="shared" si="207"/>
        <v>AK8 - 2011</v>
      </c>
      <c r="B1334" t="s">
        <v>37</v>
      </c>
      <c r="C1334">
        <v>10</v>
      </c>
      <c r="D1334">
        <v>26</v>
      </c>
      <c r="E1334">
        <v>2011</v>
      </c>
      <c r="F1334">
        <v>254.9</v>
      </c>
      <c r="G1334">
        <v>3</v>
      </c>
      <c r="H1334">
        <v>2.4</v>
      </c>
      <c r="I1334">
        <v>0.6</v>
      </c>
      <c r="J1334">
        <v>20</v>
      </c>
      <c r="K1334">
        <v>47.8</v>
      </c>
      <c r="L1334">
        <v>2041.2</v>
      </c>
      <c r="M1334">
        <v>436</v>
      </c>
      <c r="N1334">
        <v>413</v>
      </c>
      <c r="O1334">
        <v>530</v>
      </c>
      <c r="P1334">
        <v>117</v>
      </c>
      <c r="Q1334">
        <v>366</v>
      </c>
      <c r="R1334">
        <v>531</v>
      </c>
      <c r="S1334">
        <v>165</v>
      </c>
      <c r="T1334">
        <v>237.9</v>
      </c>
      <c r="U1334">
        <v>419</v>
      </c>
      <c r="V1334">
        <v>416</v>
      </c>
      <c r="W1334">
        <v>500</v>
      </c>
      <c r="X1334">
        <v>2.79</v>
      </c>
    </row>
    <row r="1335" spans="1:24" outlineLevel="1" collapsed="1" x14ac:dyDescent="0.25">
      <c r="A1335" s="8" t="s">
        <v>141</v>
      </c>
      <c r="D1335">
        <f t="shared" ref="D1335:V1335" si="208">SUBTOTAL(1,D1327:D1334)</f>
        <v>25.875</v>
      </c>
      <c r="E1335">
        <f t="shared" si="208"/>
        <v>2011</v>
      </c>
      <c r="F1335">
        <f t="shared" si="208"/>
        <v>244.85000000000002</v>
      </c>
      <c r="G1335">
        <f t="shared" si="208"/>
        <v>3.8999999999999995</v>
      </c>
      <c r="H1335">
        <f t="shared" si="208"/>
        <v>3.2249999999999996</v>
      </c>
      <c r="I1335">
        <f t="shared" si="208"/>
        <v>0.67499999999999993</v>
      </c>
      <c r="J1335">
        <f t="shared" si="208"/>
        <v>18</v>
      </c>
      <c r="K1335">
        <f t="shared" si="208"/>
        <v>60.775000000000006</v>
      </c>
      <c r="L1335">
        <f t="shared" si="208"/>
        <v>1908.4125000000001</v>
      </c>
      <c r="M1335">
        <f t="shared" si="208"/>
        <v>437.5</v>
      </c>
      <c r="N1335">
        <f t="shared" si="208"/>
        <v>412.25</v>
      </c>
      <c r="O1335">
        <f t="shared" si="208"/>
        <v>553.125</v>
      </c>
      <c r="P1335">
        <f t="shared" si="208"/>
        <v>140.875</v>
      </c>
      <c r="Q1335">
        <f t="shared" si="208"/>
        <v>367.625</v>
      </c>
      <c r="R1335">
        <f t="shared" si="208"/>
        <v>565.375</v>
      </c>
      <c r="S1335">
        <f t="shared" si="208"/>
        <v>197.75</v>
      </c>
      <c r="T1335">
        <f t="shared" si="208"/>
        <v>241.125</v>
      </c>
      <c r="U1335">
        <f t="shared" si="208"/>
        <v>415.625</v>
      </c>
      <c r="V1335">
        <f t="shared" si="208"/>
        <v>417.75</v>
      </c>
    </row>
    <row r="1336" spans="1:24" hidden="1" outlineLevel="2" x14ac:dyDescent="0.25">
      <c r="A1336" t="str">
        <f t="shared" ref="A1336:A1343" si="209">CONCATENATE(B1336," - ",E1336)</f>
        <v>AK8 - 2012</v>
      </c>
      <c r="B1336" t="s">
        <v>37</v>
      </c>
      <c r="C1336">
        <v>1</v>
      </c>
      <c r="D1336">
        <v>27</v>
      </c>
      <c r="E1336">
        <v>2012</v>
      </c>
      <c r="F1336">
        <v>271.3</v>
      </c>
      <c r="G1336">
        <v>2.1</v>
      </c>
      <c r="H1336">
        <v>1.5</v>
      </c>
      <c r="I1336">
        <v>0.6</v>
      </c>
      <c r="J1336">
        <v>28</v>
      </c>
      <c r="K1336">
        <v>35.700000000000003</v>
      </c>
      <c r="L1336">
        <v>2312.3000000000002</v>
      </c>
      <c r="M1336">
        <v>427</v>
      </c>
      <c r="N1336">
        <v>389</v>
      </c>
      <c r="O1336">
        <v>524</v>
      </c>
      <c r="P1336">
        <v>135</v>
      </c>
      <c r="Q1336">
        <v>341</v>
      </c>
      <c r="R1336">
        <v>534</v>
      </c>
      <c r="S1336">
        <v>193</v>
      </c>
      <c r="T1336">
        <v>267.3</v>
      </c>
      <c r="U1336">
        <v>392</v>
      </c>
      <c r="V1336">
        <v>395</v>
      </c>
      <c r="W1336">
        <v>500</v>
      </c>
      <c r="X1336">
        <v>2.79</v>
      </c>
    </row>
    <row r="1337" spans="1:24" hidden="1" outlineLevel="2" x14ac:dyDescent="0.25">
      <c r="A1337" t="str">
        <f t="shared" si="209"/>
        <v>AK8 - 2012</v>
      </c>
      <c r="B1337" t="s">
        <v>37</v>
      </c>
      <c r="C1337">
        <v>3</v>
      </c>
      <c r="D1337">
        <v>27</v>
      </c>
      <c r="E1337">
        <v>2012</v>
      </c>
      <c r="F1337">
        <v>271.2</v>
      </c>
      <c r="G1337">
        <v>6</v>
      </c>
      <c r="H1337">
        <v>5.7</v>
      </c>
      <c r="I1337">
        <v>0.3</v>
      </c>
      <c r="J1337">
        <v>5</v>
      </c>
      <c r="K1337">
        <v>101.1</v>
      </c>
      <c r="L1337">
        <v>2310.6</v>
      </c>
      <c r="M1337">
        <v>389</v>
      </c>
      <c r="N1337">
        <v>382</v>
      </c>
      <c r="O1337">
        <v>532</v>
      </c>
      <c r="P1337">
        <v>150</v>
      </c>
      <c r="Q1337">
        <v>308</v>
      </c>
      <c r="R1337">
        <v>532</v>
      </c>
      <c r="S1337">
        <v>224</v>
      </c>
      <c r="T1337">
        <v>271.2</v>
      </c>
      <c r="U1337">
        <v>404</v>
      </c>
      <c r="V1337">
        <v>409</v>
      </c>
      <c r="W1337">
        <v>500</v>
      </c>
      <c r="X1337">
        <v>2.79</v>
      </c>
    </row>
    <row r="1338" spans="1:24" hidden="1" outlineLevel="2" x14ac:dyDescent="0.25">
      <c r="A1338" t="str">
        <f t="shared" si="209"/>
        <v>AK8 - 2012</v>
      </c>
      <c r="B1338" t="s">
        <v>37</v>
      </c>
      <c r="C1338">
        <v>5</v>
      </c>
      <c r="D1338">
        <v>27</v>
      </c>
      <c r="E1338">
        <v>2012</v>
      </c>
      <c r="F1338">
        <v>198.8</v>
      </c>
      <c r="G1338">
        <v>2.1</v>
      </c>
      <c r="H1338">
        <v>1.2</v>
      </c>
      <c r="I1338">
        <v>0.9</v>
      </c>
      <c r="J1338">
        <v>42</v>
      </c>
      <c r="K1338">
        <v>26.1</v>
      </c>
      <c r="L1338">
        <v>1241.5999999999999</v>
      </c>
      <c r="M1338">
        <v>475</v>
      </c>
      <c r="N1338">
        <v>441</v>
      </c>
      <c r="O1338">
        <v>521</v>
      </c>
      <c r="P1338">
        <v>80</v>
      </c>
      <c r="Q1338">
        <v>418</v>
      </c>
      <c r="R1338">
        <v>531</v>
      </c>
      <c r="S1338">
        <v>113</v>
      </c>
      <c r="T1338">
        <v>196.8</v>
      </c>
      <c r="U1338">
        <v>444</v>
      </c>
      <c r="V1338">
        <v>445</v>
      </c>
      <c r="W1338">
        <v>500</v>
      </c>
      <c r="X1338">
        <v>2.79</v>
      </c>
    </row>
    <row r="1339" spans="1:24" hidden="1" outlineLevel="2" x14ac:dyDescent="0.25">
      <c r="A1339" t="str">
        <f t="shared" si="209"/>
        <v>AK8 - 2012</v>
      </c>
      <c r="B1339" t="s">
        <v>37</v>
      </c>
      <c r="C1339">
        <v>6</v>
      </c>
      <c r="D1339">
        <v>27</v>
      </c>
      <c r="E1339">
        <v>2012</v>
      </c>
      <c r="F1339">
        <v>283.2</v>
      </c>
      <c r="G1339">
        <v>4.5</v>
      </c>
      <c r="H1339">
        <v>4.2</v>
      </c>
      <c r="I1339">
        <v>0.3</v>
      </c>
      <c r="J1339">
        <v>6</v>
      </c>
      <c r="K1339">
        <v>79.400000000000006</v>
      </c>
      <c r="L1339">
        <v>2519.6</v>
      </c>
      <c r="M1339">
        <v>438</v>
      </c>
      <c r="N1339">
        <v>433</v>
      </c>
      <c r="O1339">
        <v>506</v>
      </c>
      <c r="P1339">
        <v>73</v>
      </c>
      <c r="Q1339">
        <v>382</v>
      </c>
      <c r="R1339">
        <v>506</v>
      </c>
      <c r="S1339">
        <v>124</v>
      </c>
      <c r="T1339">
        <v>280.2</v>
      </c>
      <c r="U1339">
        <v>413</v>
      </c>
      <c r="V1339">
        <v>417</v>
      </c>
      <c r="W1339">
        <v>500</v>
      </c>
      <c r="X1339">
        <v>2.79</v>
      </c>
    </row>
    <row r="1340" spans="1:24" hidden="1" outlineLevel="2" x14ac:dyDescent="0.25">
      <c r="A1340" t="str">
        <f t="shared" si="209"/>
        <v>AK8 - 2012</v>
      </c>
      <c r="B1340" t="s">
        <v>37</v>
      </c>
      <c r="C1340">
        <v>7</v>
      </c>
      <c r="D1340">
        <v>27</v>
      </c>
      <c r="E1340">
        <v>2012</v>
      </c>
      <c r="F1340">
        <v>223.6</v>
      </c>
      <c r="G1340">
        <v>3.3</v>
      </c>
      <c r="H1340">
        <v>2.7</v>
      </c>
      <c r="I1340">
        <v>0.6</v>
      </c>
      <c r="J1340">
        <v>18</v>
      </c>
      <c r="K1340">
        <v>46</v>
      </c>
      <c r="L1340">
        <v>1570.7</v>
      </c>
      <c r="M1340">
        <v>435</v>
      </c>
      <c r="N1340">
        <v>416</v>
      </c>
      <c r="O1340">
        <v>523</v>
      </c>
      <c r="P1340">
        <v>107</v>
      </c>
      <c r="Q1340">
        <v>366</v>
      </c>
      <c r="R1340">
        <v>531</v>
      </c>
      <c r="S1340">
        <v>165</v>
      </c>
      <c r="T1340">
        <v>213.6</v>
      </c>
      <c r="U1340">
        <v>413</v>
      </c>
      <c r="V1340">
        <v>422</v>
      </c>
      <c r="W1340">
        <v>500</v>
      </c>
      <c r="X1340">
        <v>2.79</v>
      </c>
    </row>
    <row r="1341" spans="1:24" hidden="1" outlineLevel="2" x14ac:dyDescent="0.25">
      <c r="A1341" t="str">
        <f t="shared" si="209"/>
        <v>AK8 - 2012</v>
      </c>
      <c r="B1341" t="s">
        <v>37</v>
      </c>
      <c r="C1341">
        <v>8</v>
      </c>
      <c r="D1341">
        <v>27</v>
      </c>
      <c r="E1341">
        <v>2012</v>
      </c>
      <c r="F1341">
        <v>215.4</v>
      </c>
      <c r="G1341">
        <v>1.5</v>
      </c>
      <c r="H1341">
        <v>1.5</v>
      </c>
      <c r="I1341">
        <v>0</v>
      </c>
      <c r="J1341">
        <v>0</v>
      </c>
      <c r="K1341">
        <v>20.2</v>
      </c>
      <c r="L1341">
        <v>1457.6</v>
      </c>
      <c r="M1341">
        <v>422</v>
      </c>
      <c r="N1341">
        <v>422</v>
      </c>
      <c r="Q1341">
        <v>390</v>
      </c>
      <c r="R1341">
        <v>446</v>
      </c>
      <c r="S1341">
        <v>56</v>
      </c>
      <c r="T1341">
        <v>200.4</v>
      </c>
      <c r="U1341">
        <v>427</v>
      </c>
      <c r="V1341">
        <v>430</v>
      </c>
      <c r="W1341">
        <v>500</v>
      </c>
      <c r="X1341">
        <v>2.79</v>
      </c>
    </row>
    <row r="1342" spans="1:24" hidden="1" outlineLevel="2" x14ac:dyDescent="0.25">
      <c r="A1342" t="str">
        <f t="shared" si="209"/>
        <v>AK8 - 2012</v>
      </c>
      <c r="B1342" t="s">
        <v>37</v>
      </c>
      <c r="C1342">
        <v>9</v>
      </c>
      <c r="D1342">
        <v>26</v>
      </c>
      <c r="E1342">
        <v>2012</v>
      </c>
      <c r="F1342">
        <v>262.60000000000002</v>
      </c>
      <c r="G1342">
        <v>2.7</v>
      </c>
      <c r="H1342">
        <v>1.8</v>
      </c>
      <c r="I1342">
        <v>0.9</v>
      </c>
      <c r="J1342">
        <v>33</v>
      </c>
      <c r="K1342">
        <v>44.3</v>
      </c>
      <c r="L1342">
        <v>2166.4</v>
      </c>
      <c r="M1342">
        <v>459</v>
      </c>
      <c r="N1342">
        <v>416</v>
      </c>
      <c r="O1342">
        <v>546</v>
      </c>
      <c r="P1342">
        <v>130</v>
      </c>
      <c r="Q1342">
        <v>377</v>
      </c>
      <c r="R1342">
        <v>588</v>
      </c>
      <c r="S1342">
        <v>211</v>
      </c>
      <c r="T1342">
        <v>261.60000000000002</v>
      </c>
      <c r="U1342">
        <v>413</v>
      </c>
      <c r="V1342">
        <v>408</v>
      </c>
      <c r="W1342">
        <v>500</v>
      </c>
      <c r="X1342">
        <v>2.79</v>
      </c>
    </row>
    <row r="1343" spans="1:24" hidden="1" outlineLevel="2" x14ac:dyDescent="0.25">
      <c r="A1343" t="str">
        <f t="shared" si="209"/>
        <v>AK8 - 2012</v>
      </c>
      <c r="B1343" t="s">
        <v>37</v>
      </c>
      <c r="C1343">
        <v>10</v>
      </c>
      <c r="D1343">
        <v>27</v>
      </c>
      <c r="E1343">
        <v>2012</v>
      </c>
      <c r="F1343">
        <v>257.89999999999998</v>
      </c>
      <c r="G1343">
        <v>3</v>
      </c>
      <c r="H1343">
        <v>3</v>
      </c>
      <c r="I1343">
        <v>0</v>
      </c>
      <c r="J1343">
        <v>0</v>
      </c>
      <c r="K1343">
        <v>48.3</v>
      </c>
      <c r="L1343">
        <v>2089.5</v>
      </c>
      <c r="M1343">
        <v>414</v>
      </c>
      <c r="N1343">
        <v>414</v>
      </c>
      <c r="Q1343">
        <v>338</v>
      </c>
      <c r="R1343">
        <v>473</v>
      </c>
      <c r="S1343">
        <v>135</v>
      </c>
      <c r="T1343">
        <v>237.9</v>
      </c>
      <c r="U1343">
        <v>419</v>
      </c>
      <c r="V1343">
        <v>416</v>
      </c>
      <c r="W1343">
        <v>500</v>
      </c>
      <c r="X1343">
        <v>2.79</v>
      </c>
    </row>
    <row r="1344" spans="1:24" outlineLevel="1" collapsed="1" x14ac:dyDescent="0.25">
      <c r="A1344" s="8" t="s">
        <v>142</v>
      </c>
      <c r="D1344">
        <f t="shared" ref="D1344:V1344" si="210">SUBTOTAL(1,D1336:D1343)</f>
        <v>26.875</v>
      </c>
      <c r="E1344">
        <f t="shared" si="210"/>
        <v>2012</v>
      </c>
      <c r="F1344">
        <f t="shared" si="210"/>
        <v>248</v>
      </c>
      <c r="G1344">
        <f t="shared" si="210"/>
        <v>3.15</v>
      </c>
      <c r="H1344">
        <f t="shared" si="210"/>
        <v>2.7</v>
      </c>
      <c r="I1344">
        <f t="shared" si="210"/>
        <v>0.44999999999999996</v>
      </c>
      <c r="J1344">
        <f t="shared" si="210"/>
        <v>16.5</v>
      </c>
      <c r="K1344">
        <f t="shared" si="210"/>
        <v>50.137500000000003</v>
      </c>
      <c r="L1344">
        <f t="shared" si="210"/>
        <v>1958.5375000000001</v>
      </c>
      <c r="M1344">
        <f t="shared" si="210"/>
        <v>432.375</v>
      </c>
      <c r="N1344">
        <f t="shared" si="210"/>
        <v>414.125</v>
      </c>
      <c r="O1344">
        <f t="shared" si="210"/>
        <v>525.33333333333337</v>
      </c>
      <c r="P1344">
        <f t="shared" si="210"/>
        <v>112.5</v>
      </c>
      <c r="Q1344">
        <f t="shared" si="210"/>
        <v>365</v>
      </c>
      <c r="R1344">
        <f t="shared" si="210"/>
        <v>517.625</v>
      </c>
      <c r="S1344">
        <f t="shared" si="210"/>
        <v>152.625</v>
      </c>
      <c r="T1344">
        <f t="shared" si="210"/>
        <v>241.125</v>
      </c>
      <c r="U1344">
        <f t="shared" si="210"/>
        <v>415.625</v>
      </c>
      <c r="V1344">
        <f t="shared" si="210"/>
        <v>417.75</v>
      </c>
    </row>
    <row r="1345" spans="1:24" hidden="1" outlineLevel="2" x14ac:dyDescent="0.25">
      <c r="A1345" t="str">
        <f>CONCATENATE(B1345," - ",E1345)</f>
        <v>AK9 - 1987</v>
      </c>
      <c r="B1345" t="s">
        <v>38</v>
      </c>
      <c r="C1345">
        <v>3</v>
      </c>
      <c r="D1345">
        <v>2</v>
      </c>
      <c r="E1345">
        <v>1987</v>
      </c>
      <c r="F1345">
        <v>12.5</v>
      </c>
      <c r="G1345">
        <v>12.5</v>
      </c>
      <c r="H1345">
        <v>7.5</v>
      </c>
      <c r="I1345">
        <v>0</v>
      </c>
      <c r="J1345">
        <v>0</v>
      </c>
      <c r="K1345">
        <v>4.9000000000000004</v>
      </c>
      <c r="L1345">
        <v>4.9000000000000004</v>
      </c>
      <c r="M1345">
        <v>380</v>
      </c>
      <c r="N1345">
        <v>380</v>
      </c>
      <c r="Q1345">
        <v>103</v>
      </c>
      <c r="R1345">
        <v>498</v>
      </c>
      <c r="S1345">
        <v>395</v>
      </c>
      <c r="T1345">
        <v>227.4</v>
      </c>
      <c r="U1345">
        <v>423</v>
      </c>
      <c r="V1345">
        <v>424</v>
      </c>
      <c r="W1345">
        <v>500</v>
      </c>
      <c r="X1345">
        <v>2.79</v>
      </c>
    </row>
    <row r="1346" spans="1:24" hidden="1" outlineLevel="2" x14ac:dyDescent="0.25">
      <c r="A1346" t="str">
        <f>CONCATENATE(B1346," - ",E1346)</f>
        <v>AK9 - 1987</v>
      </c>
      <c r="B1346" t="s">
        <v>38</v>
      </c>
      <c r="C1346">
        <v>7</v>
      </c>
      <c r="D1346">
        <v>2</v>
      </c>
      <c r="E1346">
        <v>1987</v>
      </c>
      <c r="F1346">
        <v>35.4</v>
      </c>
      <c r="G1346">
        <v>35.4</v>
      </c>
      <c r="H1346">
        <v>17.399999999999999</v>
      </c>
      <c r="I1346">
        <v>0</v>
      </c>
      <c r="J1346">
        <v>0</v>
      </c>
      <c r="K1346">
        <v>39.4</v>
      </c>
      <c r="L1346">
        <v>39.4</v>
      </c>
      <c r="M1346">
        <v>352</v>
      </c>
      <c r="N1346">
        <v>352</v>
      </c>
      <c r="Q1346">
        <v>286</v>
      </c>
      <c r="R1346">
        <v>457</v>
      </c>
      <c r="S1346">
        <v>171</v>
      </c>
      <c r="T1346">
        <v>245.7</v>
      </c>
      <c r="U1346">
        <v>401</v>
      </c>
      <c r="V1346">
        <v>390</v>
      </c>
      <c r="W1346">
        <v>500</v>
      </c>
      <c r="X1346">
        <v>2.79</v>
      </c>
    </row>
    <row r="1347" spans="1:24" hidden="1" outlineLevel="2" x14ac:dyDescent="0.25">
      <c r="A1347" t="str">
        <f>CONCATENATE(B1347," - ",E1347)</f>
        <v>AK9 - 1987</v>
      </c>
      <c r="B1347" t="s">
        <v>38</v>
      </c>
      <c r="C1347">
        <v>8</v>
      </c>
      <c r="D1347">
        <v>2</v>
      </c>
      <c r="E1347">
        <v>1987</v>
      </c>
      <c r="F1347">
        <v>23.9</v>
      </c>
      <c r="G1347">
        <v>23.9</v>
      </c>
      <c r="H1347">
        <v>18.899999999999999</v>
      </c>
      <c r="I1347">
        <v>0</v>
      </c>
      <c r="J1347">
        <v>0</v>
      </c>
      <c r="K1347">
        <v>17.899999999999999</v>
      </c>
      <c r="L1347">
        <v>17.899999999999999</v>
      </c>
      <c r="M1347">
        <v>341</v>
      </c>
      <c r="N1347">
        <v>341</v>
      </c>
      <c r="Q1347">
        <v>272</v>
      </c>
      <c r="R1347">
        <v>465</v>
      </c>
      <c r="S1347">
        <v>193</v>
      </c>
      <c r="T1347">
        <v>249</v>
      </c>
      <c r="U1347">
        <v>395</v>
      </c>
      <c r="V1347">
        <v>365</v>
      </c>
      <c r="W1347">
        <v>500</v>
      </c>
      <c r="X1347">
        <v>2.79</v>
      </c>
    </row>
    <row r="1348" spans="1:24" hidden="1" outlineLevel="2" x14ac:dyDescent="0.25">
      <c r="A1348" t="str">
        <f>CONCATENATE(B1348," - ",E1348)</f>
        <v>AK9 - 1987</v>
      </c>
      <c r="B1348" t="s">
        <v>38</v>
      </c>
      <c r="C1348">
        <v>11</v>
      </c>
      <c r="D1348">
        <v>2</v>
      </c>
      <c r="E1348">
        <v>1987</v>
      </c>
      <c r="F1348">
        <v>39.200000000000003</v>
      </c>
      <c r="G1348">
        <v>39.200000000000003</v>
      </c>
      <c r="H1348">
        <v>19.2</v>
      </c>
      <c r="I1348">
        <v>0</v>
      </c>
      <c r="J1348">
        <v>0</v>
      </c>
      <c r="K1348">
        <v>48.3</v>
      </c>
      <c r="L1348">
        <v>48.3</v>
      </c>
      <c r="M1348">
        <v>317</v>
      </c>
      <c r="N1348">
        <v>317</v>
      </c>
      <c r="Q1348">
        <v>256</v>
      </c>
      <c r="R1348">
        <v>437</v>
      </c>
      <c r="S1348">
        <v>181</v>
      </c>
      <c r="T1348">
        <v>331.8</v>
      </c>
      <c r="U1348">
        <v>389</v>
      </c>
      <c r="V1348">
        <v>385</v>
      </c>
      <c r="W1348">
        <v>500</v>
      </c>
      <c r="X1348">
        <v>2.79</v>
      </c>
    </row>
    <row r="1349" spans="1:24" hidden="1" outlineLevel="2" x14ac:dyDescent="0.25">
      <c r="A1349" t="str">
        <f>CONCATENATE(B1349," - ",E1349)</f>
        <v>AK9 - 1987</v>
      </c>
      <c r="B1349" t="s">
        <v>38</v>
      </c>
      <c r="C1349">
        <v>13</v>
      </c>
      <c r="D1349">
        <v>2</v>
      </c>
      <c r="E1349">
        <v>1987</v>
      </c>
      <c r="F1349">
        <v>32</v>
      </c>
      <c r="G1349">
        <v>32</v>
      </c>
      <c r="H1349">
        <v>12</v>
      </c>
      <c r="I1349">
        <v>0</v>
      </c>
      <c r="J1349">
        <v>0</v>
      </c>
      <c r="K1349">
        <v>32.200000000000003</v>
      </c>
      <c r="L1349">
        <v>32.200000000000003</v>
      </c>
      <c r="M1349">
        <v>356</v>
      </c>
      <c r="N1349">
        <v>356</v>
      </c>
      <c r="Q1349">
        <v>284</v>
      </c>
      <c r="R1349">
        <v>495</v>
      </c>
      <c r="S1349">
        <v>211</v>
      </c>
      <c r="T1349">
        <v>286.8</v>
      </c>
      <c r="U1349">
        <v>408</v>
      </c>
      <c r="V1349">
        <v>398</v>
      </c>
      <c r="W1349">
        <v>500</v>
      </c>
      <c r="X1349">
        <v>2.79</v>
      </c>
    </row>
    <row r="1350" spans="1:24" outlineLevel="1" collapsed="1" x14ac:dyDescent="0.25">
      <c r="A1350" s="8" t="s">
        <v>143</v>
      </c>
      <c r="D1350">
        <f t="shared" ref="D1350:V1350" si="211">SUBTOTAL(1,D1345:D1349)</f>
        <v>2</v>
      </c>
      <c r="E1350">
        <f t="shared" si="211"/>
        <v>1987</v>
      </c>
      <c r="F1350">
        <f t="shared" si="211"/>
        <v>28.6</v>
      </c>
      <c r="G1350">
        <f t="shared" si="211"/>
        <v>28.6</v>
      </c>
      <c r="H1350">
        <f t="shared" si="211"/>
        <v>15</v>
      </c>
      <c r="I1350">
        <f t="shared" si="211"/>
        <v>0</v>
      </c>
      <c r="J1350">
        <f t="shared" si="211"/>
        <v>0</v>
      </c>
      <c r="K1350">
        <f t="shared" si="211"/>
        <v>28.54</v>
      </c>
      <c r="L1350">
        <f t="shared" si="211"/>
        <v>28.54</v>
      </c>
      <c r="M1350">
        <f t="shared" si="211"/>
        <v>349.2</v>
      </c>
      <c r="N1350">
        <f t="shared" si="211"/>
        <v>349.2</v>
      </c>
      <c r="O1350" t="e">
        <f t="shared" si="211"/>
        <v>#DIV/0!</v>
      </c>
      <c r="P1350" t="e">
        <f t="shared" si="211"/>
        <v>#DIV/0!</v>
      </c>
      <c r="Q1350">
        <f t="shared" si="211"/>
        <v>240.2</v>
      </c>
      <c r="R1350">
        <f t="shared" si="211"/>
        <v>470.4</v>
      </c>
      <c r="S1350">
        <f t="shared" si="211"/>
        <v>230.2</v>
      </c>
      <c r="T1350">
        <f t="shared" si="211"/>
        <v>268.14</v>
      </c>
      <c r="U1350">
        <f t="shared" si="211"/>
        <v>403.2</v>
      </c>
      <c r="V1350">
        <f t="shared" si="211"/>
        <v>392.4</v>
      </c>
    </row>
    <row r="1351" spans="1:24" hidden="1" outlineLevel="2" x14ac:dyDescent="0.25">
      <c r="A1351" t="str">
        <f t="shared" ref="A1351:A1357" si="212">CONCATENATE(B1351," - ",E1351)</f>
        <v>AK9 - 1988</v>
      </c>
      <c r="B1351" t="s">
        <v>38</v>
      </c>
      <c r="C1351">
        <v>3</v>
      </c>
      <c r="D1351">
        <v>3</v>
      </c>
      <c r="E1351">
        <v>1988</v>
      </c>
      <c r="F1351">
        <v>31.4</v>
      </c>
      <c r="G1351">
        <v>18.899999999999999</v>
      </c>
      <c r="H1351">
        <v>17.7</v>
      </c>
      <c r="I1351">
        <v>1.2</v>
      </c>
      <c r="J1351">
        <v>6</v>
      </c>
      <c r="K1351">
        <v>26.1</v>
      </c>
      <c r="L1351">
        <v>31</v>
      </c>
      <c r="M1351">
        <v>355</v>
      </c>
      <c r="N1351">
        <v>344</v>
      </c>
      <c r="O1351">
        <v>512</v>
      </c>
      <c r="P1351">
        <v>168</v>
      </c>
      <c r="Q1351">
        <v>286</v>
      </c>
      <c r="R1351">
        <v>518</v>
      </c>
      <c r="S1351">
        <v>232</v>
      </c>
      <c r="T1351">
        <v>227.4</v>
      </c>
      <c r="U1351">
        <v>423</v>
      </c>
      <c r="V1351">
        <v>424</v>
      </c>
      <c r="W1351">
        <v>500</v>
      </c>
      <c r="X1351">
        <v>2.79</v>
      </c>
    </row>
    <row r="1352" spans="1:24" hidden="1" outlineLevel="2" x14ac:dyDescent="0.25">
      <c r="A1352" t="str">
        <f t="shared" si="212"/>
        <v>AK9 - 1988</v>
      </c>
      <c r="B1352" t="s">
        <v>38</v>
      </c>
      <c r="C1352">
        <v>6</v>
      </c>
      <c r="D1352">
        <v>2</v>
      </c>
      <c r="E1352">
        <v>1988</v>
      </c>
      <c r="F1352">
        <v>39.5</v>
      </c>
      <c r="G1352">
        <v>39.5</v>
      </c>
      <c r="H1352">
        <v>18.600000000000001</v>
      </c>
      <c r="I1352">
        <v>0.9</v>
      </c>
      <c r="J1352">
        <v>2</v>
      </c>
      <c r="K1352">
        <v>49</v>
      </c>
      <c r="L1352">
        <v>49</v>
      </c>
      <c r="M1352">
        <v>350</v>
      </c>
      <c r="N1352">
        <v>342</v>
      </c>
      <c r="O1352">
        <v>514</v>
      </c>
      <c r="P1352">
        <v>172</v>
      </c>
      <c r="Q1352">
        <v>269</v>
      </c>
      <c r="R1352">
        <v>516</v>
      </c>
      <c r="S1352">
        <v>247</v>
      </c>
      <c r="T1352">
        <v>256.8</v>
      </c>
      <c r="U1352">
        <v>400</v>
      </c>
      <c r="V1352">
        <v>395</v>
      </c>
      <c r="W1352">
        <v>500</v>
      </c>
      <c r="X1352">
        <v>2.79</v>
      </c>
    </row>
    <row r="1353" spans="1:24" hidden="1" outlineLevel="2" x14ac:dyDescent="0.25">
      <c r="A1353" t="str">
        <f t="shared" si="212"/>
        <v>AK9 - 1988</v>
      </c>
      <c r="B1353" t="s">
        <v>38</v>
      </c>
      <c r="C1353">
        <v>7</v>
      </c>
      <c r="D1353">
        <v>3</v>
      </c>
      <c r="E1353">
        <v>1988</v>
      </c>
      <c r="F1353">
        <v>57.3</v>
      </c>
      <c r="G1353">
        <v>21.9</v>
      </c>
      <c r="H1353">
        <v>21.9</v>
      </c>
      <c r="I1353">
        <v>0</v>
      </c>
      <c r="J1353">
        <v>0</v>
      </c>
      <c r="K1353">
        <v>63.8</v>
      </c>
      <c r="L1353">
        <v>103.1</v>
      </c>
      <c r="M1353">
        <v>345</v>
      </c>
      <c r="N1353">
        <v>345</v>
      </c>
      <c r="Q1353">
        <v>279</v>
      </c>
      <c r="R1353">
        <v>459</v>
      </c>
      <c r="S1353">
        <v>180</v>
      </c>
      <c r="T1353">
        <v>245.7</v>
      </c>
      <c r="U1353">
        <v>401</v>
      </c>
      <c r="V1353">
        <v>390</v>
      </c>
      <c r="W1353">
        <v>500</v>
      </c>
      <c r="X1353">
        <v>2.79</v>
      </c>
    </row>
    <row r="1354" spans="1:24" hidden="1" outlineLevel="2" x14ac:dyDescent="0.25">
      <c r="A1354" t="str">
        <f t="shared" si="212"/>
        <v>AK9 - 1988</v>
      </c>
      <c r="B1354" t="s">
        <v>38</v>
      </c>
      <c r="C1354">
        <v>8</v>
      </c>
      <c r="D1354">
        <v>3</v>
      </c>
      <c r="E1354">
        <v>1988</v>
      </c>
      <c r="F1354">
        <v>52.7</v>
      </c>
      <c r="G1354">
        <v>28.8</v>
      </c>
      <c r="H1354">
        <v>28.8</v>
      </c>
      <c r="I1354">
        <v>0</v>
      </c>
      <c r="J1354">
        <v>0</v>
      </c>
      <c r="K1354">
        <v>69.3</v>
      </c>
      <c r="L1354">
        <v>87.3</v>
      </c>
      <c r="M1354">
        <v>321</v>
      </c>
      <c r="N1354">
        <v>321</v>
      </c>
      <c r="Q1354">
        <v>247</v>
      </c>
      <c r="R1354">
        <v>429</v>
      </c>
      <c r="S1354">
        <v>182</v>
      </c>
      <c r="T1354">
        <v>249</v>
      </c>
      <c r="U1354">
        <v>395</v>
      </c>
      <c r="V1354">
        <v>365</v>
      </c>
      <c r="W1354">
        <v>500</v>
      </c>
      <c r="X1354">
        <v>2.79</v>
      </c>
    </row>
    <row r="1355" spans="1:24" hidden="1" outlineLevel="2" x14ac:dyDescent="0.25">
      <c r="A1355" t="str">
        <f t="shared" si="212"/>
        <v>AK9 - 1988</v>
      </c>
      <c r="B1355" t="s">
        <v>38</v>
      </c>
      <c r="C1355">
        <v>10</v>
      </c>
      <c r="D1355">
        <v>3</v>
      </c>
      <c r="E1355">
        <v>1988</v>
      </c>
      <c r="F1355">
        <v>34.5</v>
      </c>
      <c r="G1355">
        <v>34.5</v>
      </c>
      <c r="H1355">
        <v>19.5</v>
      </c>
      <c r="I1355">
        <v>0</v>
      </c>
      <c r="J1355">
        <v>0</v>
      </c>
      <c r="K1355">
        <v>37.4</v>
      </c>
      <c r="L1355">
        <v>37.4</v>
      </c>
      <c r="M1355">
        <v>369</v>
      </c>
      <c r="N1355">
        <v>369</v>
      </c>
      <c r="Q1355">
        <v>206</v>
      </c>
      <c r="R1355">
        <v>485</v>
      </c>
      <c r="S1355">
        <v>279</v>
      </c>
      <c r="T1355">
        <v>289.5</v>
      </c>
      <c r="U1355">
        <v>393</v>
      </c>
      <c r="V1355">
        <v>393</v>
      </c>
      <c r="W1355">
        <v>500</v>
      </c>
      <c r="X1355">
        <v>2.79</v>
      </c>
    </row>
    <row r="1356" spans="1:24" hidden="1" outlineLevel="2" x14ac:dyDescent="0.25">
      <c r="A1356" t="str">
        <f t="shared" si="212"/>
        <v>AK9 - 1988</v>
      </c>
      <c r="B1356" t="s">
        <v>38</v>
      </c>
      <c r="C1356">
        <v>11</v>
      </c>
      <c r="D1356">
        <v>3</v>
      </c>
      <c r="E1356">
        <v>1988</v>
      </c>
      <c r="F1356">
        <v>61.4</v>
      </c>
      <c r="G1356">
        <v>22.2</v>
      </c>
      <c r="H1356">
        <v>22.2</v>
      </c>
      <c r="I1356">
        <v>0</v>
      </c>
      <c r="J1356">
        <v>0</v>
      </c>
      <c r="K1356">
        <v>70.2</v>
      </c>
      <c r="L1356">
        <v>118.4</v>
      </c>
      <c r="M1356">
        <v>345</v>
      </c>
      <c r="N1356">
        <v>345</v>
      </c>
      <c r="Q1356">
        <v>276</v>
      </c>
      <c r="R1356">
        <v>458</v>
      </c>
      <c r="S1356">
        <v>182</v>
      </c>
      <c r="T1356">
        <v>331.8</v>
      </c>
      <c r="U1356">
        <v>389</v>
      </c>
      <c r="V1356">
        <v>385</v>
      </c>
      <c r="W1356">
        <v>500</v>
      </c>
      <c r="X1356">
        <v>2.79</v>
      </c>
    </row>
    <row r="1357" spans="1:24" hidden="1" outlineLevel="2" x14ac:dyDescent="0.25">
      <c r="A1357" t="str">
        <f t="shared" si="212"/>
        <v>AK9 - 1988</v>
      </c>
      <c r="B1357" t="s">
        <v>38</v>
      </c>
      <c r="C1357">
        <v>13</v>
      </c>
      <c r="D1357">
        <v>3</v>
      </c>
      <c r="E1357">
        <v>1988</v>
      </c>
      <c r="F1357">
        <v>52.7</v>
      </c>
      <c r="G1357">
        <v>20.7</v>
      </c>
      <c r="H1357">
        <v>20.7</v>
      </c>
      <c r="I1357">
        <v>0</v>
      </c>
      <c r="J1357">
        <v>0</v>
      </c>
      <c r="K1357">
        <v>55.1</v>
      </c>
      <c r="L1357">
        <v>87.3</v>
      </c>
      <c r="M1357">
        <v>354</v>
      </c>
      <c r="N1357">
        <v>354</v>
      </c>
      <c r="Q1357">
        <v>287</v>
      </c>
      <c r="R1357">
        <v>496</v>
      </c>
      <c r="S1357">
        <v>209</v>
      </c>
      <c r="T1357">
        <v>286.8</v>
      </c>
      <c r="U1357">
        <v>408</v>
      </c>
      <c r="V1357">
        <v>398</v>
      </c>
      <c r="W1357">
        <v>500</v>
      </c>
      <c r="X1357">
        <v>2.79</v>
      </c>
    </row>
    <row r="1358" spans="1:24" outlineLevel="1" collapsed="1" x14ac:dyDescent="0.25">
      <c r="A1358" s="8" t="s">
        <v>144</v>
      </c>
      <c r="D1358">
        <f t="shared" ref="D1358:V1358" si="213">SUBTOTAL(1,D1351:D1357)</f>
        <v>2.8571428571428572</v>
      </c>
      <c r="E1358">
        <f t="shared" si="213"/>
        <v>1988</v>
      </c>
      <c r="F1358">
        <f t="shared" si="213"/>
        <v>47.071428571428562</v>
      </c>
      <c r="G1358">
        <f t="shared" si="213"/>
        <v>26.642857142857139</v>
      </c>
      <c r="H1358">
        <f t="shared" si="213"/>
        <v>21.342857142857138</v>
      </c>
      <c r="I1358">
        <f t="shared" si="213"/>
        <v>0.3</v>
      </c>
      <c r="J1358">
        <f t="shared" si="213"/>
        <v>1.1428571428571428</v>
      </c>
      <c r="K1358">
        <f t="shared" si="213"/>
        <v>52.985714285714288</v>
      </c>
      <c r="L1358">
        <f t="shared" si="213"/>
        <v>73.357142857142847</v>
      </c>
      <c r="M1358">
        <f t="shared" si="213"/>
        <v>348.42857142857144</v>
      </c>
      <c r="N1358">
        <f t="shared" si="213"/>
        <v>345.71428571428572</v>
      </c>
      <c r="O1358">
        <f t="shared" si="213"/>
        <v>513</v>
      </c>
      <c r="P1358">
        <f t="shared" si="213"/>
        <v>170</v>
      </c>
      <c r="Q1358">
        <f t="shared" si="213"/>
        <v>264.28571428571428</v>
      </c>
      <c r="R1358">
        <f t="shared" si="213"/>
        <v>480.14285714285717</v>
      </c>
      <c r="S1358">
        <f t="shared" si="213"/>
        <v>215.85714285714286</v>
      </c>
      <c r="T1358">
        <f t="shared" si="213"/>
        <v>269.57142857142856</v>
      </c>
      <c r="U1358">
        <f t="shared" si="213"/>
        <v>401.28571428571428</v>
      </c>
      <c r="V1358">
        <f t="shared" si="213"/>
        <v>392.85714285714283</v>
      </c>
    </row>
    <row r="1359" spans="1:24" hidden="1" outlineLevel="2" x14ac:dyDescent="0.25">
      <c r="A1359" t="str">
        <f t="shared" ref="A1359:A1366" si="214">CONCATENATE(B1359," - ",E1359)</f>
        <v>AK9 - 1989</v>
      </c>
      <c r="B1359" t="s">
        <v>38</v>
      </c>
      <c r="C1359">
        <v>3</v>
      </c>
      <c r="D1359">
        <v>4</v>
      </c>
      <c r="E1359">
        <v>1989</v>
      </c>
      <c r="F1359">
        <v>43.1</v>
      </c>
      <c r="G1359">
        <v>11.7</v>
      </c>
      <c r="H1359">
        <v>10.8</v>
      </c>
      <c r="I1359">
        <v>0.9</v>
      </c>
      <c r="J1359">
        <v>7</v>
      </c>
      <c r="K1359">
        <v>27.4</v>
      </c>
      <c r="L1359">
        <v>58.4</v>
      </c>
      <c r="M1359">
        <v>396</v>
      </c>
      <c r="N1359">
        <v>386</v>
      </c>
      <c r="O1359">
        <v>514</v>
      </c>
      <c r="P1359">
        <v>128</v>
      </c>
      <c r="Q1359">
        <v>301</v>
      </c>
      <c r="R1359">
        <v>527</v>
      </c>
      <c r="S1359">
        <v>226</v>
      </c>
      <c r="T1359">
        <v>227.4</v>
      </c>
      <c r="U1359">
        <v>423</v>
      </c>
      <c r="V1359">
        <v>424</v>
      </c>
      <c r="W1359">
        <v>500</v>
      </c>
      <c r="X1359">
        <v>2.79</v>
      </c>
    </row>
    <row r="1360" spans="1:24" hidden="1" outlineLevel="2" x14ac:dyDescent="0.25">
      <c r="A1360" t="str">
        <f t="shared" si="214"/>
        <v>AK9 - 1989</v>
      </c>
      <c r="B1360" t="s">
        <v>38</v>
      </c>
      <c r="C1360">
        <v>5</v>
      </c>
      <c r="D1360">
        <v>4</v>
      </c>
      <c r="E1360">
        <v>1989</v>
      </c>
      <c r="F1360">
        <v>30.5</v>
      </c>
      <c r="G1360">
        <v>30.5</v>
      </c>
      <c r="H1360">
        <v>8.4</v>
      </c>
      <c r="I1360">
        <v>2.1</v>
      </c>
      <c r="J1360">
        <v>6</v>
      </c>
      <c r="K1360">
        <v>29.2</v>
      </c>
      <c r="L1360">
        <v>29.2</v>
      </c>
      <c r="M1360">
        <v>415</v>
      </c>
      <c r="N1360">
        <v>384</v>
      </c>
      <c r="O1360">
        <v>538</v>
      </c>
      <c r="P1360">
        <v>154</v>
      </c>
      <c r="Q1360">
        <v>285</v>
      </c>
      <c r="R1360">
        <v>558</v>
      </c>
      <c r="S1360">
        <v>273</v>
      </c>
      <c r="T1360">
        <v>244.5</v>
      </c>
      <c r="U1360">
        <v>434</v>
      </c>
      <c r="V1360">
        <v>429</v>
      </c>
      <c r="W1360">
        <v>500</v>
      </c>
      <c r="X1360">
        <v>2.79</v>
      </c>
    </row>
    <row r="1361" spans="1:24" hidden="1" outlineLevel="2" x14ac:dyDescent="0.25">
      <c r="A1361" t="str">
        <f t="shared" si="214"/>
        <v>AK9 - 1989</v>
      </c>
      <c r="B1361" t="s">
        <v>38</v>
      </c>
      <c r="C1361">
        <v>6</v>
      </c>
      <c r="D1361">
        <v>3</v>
      </c>
      <c r="E1361">
        <v>1989</v>
      </c>
      <c r="F1361">
        <v>57.5</v>
      </c>
      <c r="G1361">
        <v>18</v>
      </c>
      <c r="H1361">
        <v>17.100000000000001</v>
      </c>
      <c r="I1361">
        <v>0.9</v>
      </c>
      <c r="J1361">
        <v>5</v>
      </c>
      <c r="K1361">
        <v>54.9</v>
      </c>
      <c r="L1361">
        <v>103.9</v>
      </c>
      <c r="M1361">
        <v>398</v>
      </c>
      <c r="N1361">
        <v>392</v>
      </c>
      <c r="O1361">
        <v>504</v>
      </c>
      <c r="P1361">
        <v>112</v>
      </c>
      <c r="Q1361">
        <v>319</v>
      </c>
      <c r="R1361">
        <v>511</v>
      </c>
      <c r="S1361">
        <v>192</v>
      </c>
      <c r="T1361">
        <v>256.8</v>
      </c>
      <c r="U1361">
        <v>400</v>
      </c>
      <c r="V1361">
        <v>395</v>
      </c>
      <c r="W1361">
        <v>500</v>
      </c>
      <c r="X1361">
        <v>2.79</v>
      </c>
    </row>
    <row r="1362" spans="1:24" hidden="1" outlineLevel="2" x14ac:dyDescent="0.25">
      <c r="A1362" t="str">
        <f t="shared" si="214"/>
        <v>AK9 - 1989</v>
      </c>
      <c r="B1362" t="s">
        <v>38</v>
      </c>
      <c r="C1362">
        <v>7</v>
      </c>
      <c r="D1362">
        <v>4</v>
      </c>
      <c r="E1362">
        <v>1989</v>
      </c>
      <c r="F1362">
        <v>74.400000000000006</v>
      </c>
      <c r="G1362">
        <v>17.100000000000001</v>
      </c>
      <c r="H1362">
        <v>17.100000000000001</v>
      </c>
      <c r="I1362">
        <v>0</v>
      </c>
      <c r="J1362">
        <v>0</v>
      </c>
      <c r="K1362">
        <v>70.8</v>
      </c>
      <c r="L1362">
        <v>173.9</v>
      </c>
      <c r="M1362">
        <v>369</v>
      </c>
      <c r="N1362">
        <v>369</v>
      </c>
      <c r="Q1362">
        <v>296</v>
      </c>
      <c r="R1362">
        <v>499</v>
      </c>
      <c r="S1362">
        <v>203</v>
      </c>
      <c r="T1362">
        <v>245.7</v>
      </c>
      <c r="U1362">
        <v>401</v>
      </c>
      <c r="V1362">
        <v>390</v>
      </c>
      <c r="W1362">
        <v>500</v>
      </c>
      <c r="X1362">
        <v>2.79</v>
      </c>
    </row>
    <row r="1363" spans="1:24" hidden="1" outlineLevel="2" x14ac:dyDescent="0.25">
      <c r="A1363" t="str">
        <f t="shared" si="214"/>
        <v>AK9 - 1989</v>
      </c>
      <c r="B1363" t="s">
        <v>38</v>
      </c>
      <c r="C1363">
        <v>8</v>
      </c>
      <c r="D1363">
        <v>4</v>
      </c>
      <c r="E1363">
        <v>1989</v>
      </c>
      <c r="F1363">
        <v>82.7</v>
      </c>
      <c r="G1363">
        <v>30</v>
      </c>
      <c r="H1363">
        <v>30</v>
      </c>
      <c r="I1363">
        <v>0</v>
      </c>
      <c r="J1363">
        <v>0</v>
      </c>
      <c r="K1363">
        <v>127.6</v>
      </c>
      <c r="L1363">
        <v>214.9</v>
      </c>
      <c r="M1363">
        <v>317</v>
      </c>
      <c r="N1363">
        <v>317</v>
      </c>
      <c r="Q1363">
        <v>228</v>
      </c>
      <c r="R1363">
        <v>458</v>
      </c>
      <c r="S1363">
        <v>230</v>
      </c>
      <c r="T1363">
        <v>249</v>
      </c>
      <c r="U1363">
        <v>395</v>
      </c>
      <c r="V1363">
        <v>365</v>
      </c>
      <c r="W1363">
        <v>500</v>
      </c>
      <c r="X1363">
        <v>2.79</v>
      </c>
    </row>
    <row r="1364" spans="1:24" hidden="1" outlineLevel="2" x14ac:dyDescent="0.25">
      <c r="A1364" t="str">
        <f t="shared" si="214"/>
        <v>AK9 - 1989</v>
      </c>
      <c r="B1364" t="s">
        <v>38</v>
      </c>
      <c r="C1364">
        <v>10</v>
      </c>
      <c r="D1364">
        <v>4</v>
      </c>
      <c r="E1364">
        <v>1989</v>
      </c>
      <c r="F1364">
        <v>52.5</v>
      </c>
      <c r="G1364">
        <v>18</v>
      </c>
      <c r="H1364">
        <v>18</v>
      </c>
      <c r="I1364">
        <v>0</v>
      </c>
      <c r="J1364">
        <v>0</v>
      </c>
      <c r="K1364">
        <v>49.2</v>
      </c>
      <c r="L1364">
        <v>86.6</v>
      </c>
      <c r="M1364">
        <v>358</v>
      </c>
      <c r="N1364">
        <v>358</v>
      </c>
      <c r="Q1364">
        <v>301</v>
      </c>
      <c r="R1364">
        <v>460</v>
      </c>
      <c r="S1364">
        <v>159</v>
      </c>
      <c r="T1364">
        <v>289.5</v>
      </c>
      <c r="U1364">
        <v>393</v>
      </c>
      <c r="V1364">
        <v>393</v>
      </c>
      <c r="W1364">
        <v>500</v>
      </c>
      <c r="X1364">
        <v>2.79</v>
      </c>
    </row>
    <row r="1365" spans="1:24" hidden="1" outlineLevel="2" x14ac:dyDescent="0.25">
      <c r="A1365" t="str">
        <f t="shared" si="214"/>
        <v>AK9 - 1989</v>
      </c>
      <c r="B1365" t="s">
        <v>38</v>
      </c>
      <c r="C1365">
        <v>11</v>
      </c>
      <c r="D1365">
        <v>4</v>
      </c>
      <c r="E1365">
        <v>1989</v>
      </c>
      <c r="F1365">
        <v>83</v>
      </c>
      <c r="G1365">
        <v>21.6</v>
      </c>
      <c r="H1365">
        <v>21.6</v>
      </c>
      <c r="I1365">
        <v>0</v>
      </c>
      <c r="J1365">
        <v>0</v>
      </c>
      <c r="K1365">
        <v>98</v>
      </c>
      <c r="L1365">
        <v>216.4</v>
      </c>
      <c r="M1365">
        <v>351</v>
      </c>
      <c r="N1365">
        <v>351</v>
      </c>
      <c r="Q1365">
        <v>281</v>
      </c>
      <c r="R1365">
        <v>486</v>
      </c>
      <c r="S1365">
        <v>205</v>
      </c>
      <c r="T1365">
        <v>331.8</v>
      </c>
      <c r="U1365">
        <v>389</v>
      </c>
      <c r="V1365">
        <v>385</v>
      </c>
      <c r="W1365">
        <v>500</v>
      </c>
      <c r="X1365">
        <v>2.79</v>
      </c>
    </row>
    <row r="1366" spans="1:24" hidden="1" outlineLevel="2" x14ac:dyDescent="0.25">
      <c r="A1366" t="str">
        <f t="shared" si="214"/>
        <v>AK9 - 1989</v>
      </c>
      <c r="B1366" t="s">
        <v>38</v>
      </c>
      <c r="C1366">
        <v>13</v>
      </c>
      <c r="D1366">
        <v>4</v>
      </c>
      <c r="E1366">
        <v>1989</v>
      </c>
      <c r="F1366">
        <v>69.2</v>
      </c>
      <c r="G1366">
        <v>16.5</v>
      </c>
      <c r="H1366">
        <v>15.9</v>
      </c>
      <c r="I1366">
        <v>0.6</v>
      </c>
      <c r="J1366">
        <v>3</v>
      </c>
      <c r="K1366">
        <v>63.2</v>
      </c>
      <c r="L1366">
        <v>150.4</v>
      </c>
      <c r="M1366">
        <v>373</v>
      </c>
      <c r="N1366">
        <v>368</v>
      </c>
      <c r="O1366">
        <v>520</v>
      </c>
      <c r="P1366">
        <v>152</v>
      </c>
      <c r="Q1366">
        <v>291</v>
      </c>
      <c r="R1366">
        <v>537</v>
      </c>
      <c r="S1366">
        <v>246</v>
      </c>
      <c r="T1366">
        <v>286.8</v>
      </c>
      <c r="U1366">
        <v>408</v>
      </c>
      <c r="V1366">
        <v>398</v>
      </c>
      <c r="W1366">
        <v>500</v>
      </c>
      <c r="X1366">
        <v>2.79</v>
      </c>
    </row>
    <row r="1367" spans="1:24" outlineLevel="1" collapsed="1" x14ac:dyDescent="0.25">
      <c r="A1367" s="8" t="s">
        <v>145</v>
      </c>
      <c r="D1367">
        <f t="shared" ref="D1367:V1367" si="215">SUBTOTAL(1,D1359:D1366)</f>
        <v>3.875</v>
      </c>
      <c r="E1367">
        <f t="shared" si="215"/>
        <v>1989</v>
      </c>
      <c r="F1367">
        <f t="shared" si="215"/>
        <v>61.612499999999997</v>
      </c>
      <c r="G1367">
        <f t="shared" si="215"/>
        <v>20.425000000000001</v>
      </c>
      <c r="H1367">
        <f t="shared" si="215"/>
        <v>17.362500000000001</v>
      </c>
      <c r="I1367">
        <f t="shared" si="215"/>
        <v>0.5625</v>
      </c>
      <c r="J1367">
        <f t="shared" si="215"/>
        <v>2.625</v>
      </c>
      <c r="K1367">
        <f t="shared" si="215"/>
        <v>65.037499999999994</v>
      </c>
      <c r="L1367">
        <f t="shared" si="215"/>
        <v>129.21250000000001</v>
      </c>
      <c r="M1367">
        <f t="shared" si="215"/>
        <v>372.125</v>
      </c>
      <c r="N1367">
        <f t="shared" si="215"/>
        <v>365.625</v>
      </c>
      <c r="O1367">
        <f t="shared" si="215"/>
        <v>519</v>
      </c>
      <c r="P1367">
        <f t="shared" si="215"/>
        <v>136.5</v>
      </c>
      <c r="Q1367">
        <f t="shared" si="215"/>
        <v>287.75</v>
      </c>
      <c r="R1367">
        <f t="shared" si="215"/>
        <v>504.5</v>
      </c>
      <c r="S1367">
        <f t="shared" si="215"/>
        <v>216.75</v>
      </c>
      <c r="T1367">
        <f t="shared" si="215"/>
        <v>266.4375</v>
      </c>
      <c r="U1367">
        <f t="shared" si="215"/>
        <v>405.375</v>
      </c>
      <c r="V1367">
        <f t="shared" si="215"/>
        <v>397.375</v>
      </c>
    </row>
    <row r="1368" spans="1:24" hidden="1" outlineLevel="2" x14ac:dyDescent="0.25">
      <c r="A1368" t="str">
        <f t="shared" ref="A1368:A1377" si="216">CONCATENATE(B1368," - ",E1368)</f>
        <v>AK9 - 1990</v>
      </c>
      <c r="B1368" t="s">
        <v>38</v>
      </c>
      <c r="C1368">
        <v>1</v>
      </c>
      <c r="D1368">
        <v>5</v>
      </c>
      <c r="E1368">
        <v>1990</v>
      </c>
      <c r="F1368">
        <v>40.799999999999997</v>
      </c>
      <c r="G1368">
        <v>40.799999999999997</v>
      </c>
      <c r="H1368">
        <v>25.8</v>
      </c>
      <c r="I1368">
        <v>0</v>
      </c>
      <c r="J1368">
        <v>0</v>
      </c>
      <c r="K1368">
        <v>52.3</v>
      </c>
      <c r="L1368">
        <v>52.3</v>
      </c>
      <c r="M1368">
        <v>350</v>
      </c>
      <c r="N1368">
        <v>350</v>
      </c>
      <c r="Q1368">
        <v>169</v>
      </c>
      <c r="R1368">
        <v>490</v>
      </c>
      <c r="S1368">
        <v>321</v>
      </c>
      <c r="T1368">
        <v>170.1</v>
      </c>
      <c r="U1368">
        <v>401</v>
      </c>
      <c r="V1368">
        <v>383</v>
      </c>
      <c r="W1368">
        <v>500</v>
      </c>
      <c r="X1368">
        <v>2.79</v>
      </c>
    </row>
    <row r="1369" spans="1:24" hidden="1" outlineLevel="2" x14ac:dyDescent="0.25">
      <c r="A1369" t="str">
        <f t="shared" si="216"/>
        <v>AK9 - 1990</v>
      </c>
      <c r="B1369" t="s">
        <v>38</v>
      </c>
      <c r="C1369">
        <v>3</v>
      </c>
      <c r="D1369">
        <v>5</v>
      </c>
      <c r="E1369">
        <v>1990</v>
      </c>
      <c r="F1369">
        <v>52.1</v>
      </c>
      <c r="G1369">
        <v>9</v>
      </c>
      <c r="H1369">
        <v>8.4</v>
      </c>
      <c r="I1369">
        <v>0.6</v>
      </c>
      <c r="J1369">
        <v>6</v>
      </c>
      <c r="K1369">
        <v>26.9</v>
      </c>
      <c r="L1369">
        <v>85.3</v>
      </c>
      <c r="M1369">
        <v>401</v>
      </c>
      <c r="N1369">
        <v>391</v>
      </c>
      <c r="O1369">
        <v>533</v>
      </c>
      <c r="P1369">
        <v>142</v>
      </c>
      <c r="Q1369">
        <v>328</v>
      </c>
      <c r="R1369">
        <v>542</v>
      </c>
      <c r="S1369">
        <v>214</v>
      </c>
      <c r="T1369">
        <v>227.4</v>
      </c>
      <c r="U1369">
        <v>423</v>
      </c>
      <c r="V1369">
        <v>424</v>
      </c>
      <c r="W1369">
        <v>500</v>
      </c>
      <c r="X1369">
        <v>2.79</v>
      </c>
    </row>
    <row r="1370" spans="1:24" hidden="1" outlineLevel="2" x14ac:dyDescent="0.25">
      <c r="A1370" t="str">
        <f t="shared" si="216"/>
        <v>AK9 - 1990</v>
      </c>
      <c r="B1370" t="s">
        <v>38</v>
      </c>
      <c r="C1370">
        <v>5</v>
      </c>
      <c r="D1370">
        <v>5</v>
      </c>
      <c r="E1370">
        <v>1990</v>
      </c>
      <c r="F1370">
        <v>40.4</v>
      </c>
      <c r="G1370">
        <v>9.9</v>
      </c>
      <c r="H1370">
        <v>7.8</v>
      </c>
      <c r="I1370">
        <v>2.1</v>
      </c>
      <c r="J1370">
        <v>21</v>
      </c>
      <c r="K1370">
        <v>22.1</v>
      </c>
      <c r="L1370">
        <v>51.3</v>
      </c>
      <c r="M1370">
        <v>460</v>
      </c>
      <c r="N1370">
        <v>436</v>
      </c>
      <c r="O1370">
        <v>549</v>
      </c>
      <c r="P1370">
        <v>113</v>
      </c>
      <c r="Q1370">
        <v>388</v>
      </c>
      <c r="R1370">
        <v>605</v>
      </c>
      <c r="S1370">
        <v>217</v>
      </c>
      <c r="T1370">
        <v>244.5</v>
      </c>
      <c r="U1370">
        <v>434</v>
      </c>
      <c r="V1370">
        <v>429</v>
      </c>
      <c r="W1370">
        <v>500</v>
      </c>
      <c r="X1370">
        <v>2.79</v>
      </c>
    </row>
    <row r="1371" spans="1:24" hidden="1" outlineLevel="2" x14ac:dyDescent="0.25">
      <c r="A1371" t="str">
        <f t="shared" si="216"/>
        <v>AK9 - 1990</v>
      </c>
      <c r="B1371" t="s">
        <v>38</v>
      </c>
      <c r="C1371">
        <v>6</v>
      </c>
      <c r="D1371">
        <v>4</v>
      </c>
      <c r="E1371">
        <v>1990</v>
      </c>
      <c r="F1371">
        <v>69.2</v>
      </c>
      <c r="G1371">
        <v>11.7</v>
      </c>
      <c r="H1371">
        <v>9.6</v>
      </c>
      <c r="I1371">
        <v>2.1</v>
      </c>
      <c r="J1371">
        <v>17</v>
      </c>
      <c r="K1371">
        <v>46.6</v>
      </c>
      <c r="L1371">
        <v>150.4</v>
      </c>
      <c r="M1371">
        <v>396</v>
      </c>
      <c r="N1371">
        <v>363</v>
      </c>
      <c r="O1371">
        <v>545</v>
      </c>
      <c r="P1371">
        <v>182</v>
      </c>
      <c r="Q1371">
        <v>278</v>
      </c>
      <c r="R1371">
        <v>576</v>
      </c>
      <c r="S1371">
        <v>298</v>
      </c>
      <c r="T1371">
        <v>256.8</v>
      </c>
      <c r="U1371">
        <v>400</v>
      </c>
      <c r="V1371">
        <v>395</v>
      </c>
      <c r="W1371">
        <v>500</v>
      </c>
      <c r="X1371">
        <v>2.79</v>
      </c>
    </row>
    <row r="1372" spans="1:24" hidden="1" outlineLevel="2" x14ac:dyDescent="0.25">
      <c r="A1372" t="str">
        <f t="shared" si="216"/>
        <v>AK9 - 1990</v>
      </c>
      <c r="B1372" t="s">
        <v>38</v>
      </c>
      <c r="C1372">
        <v>7</v>
      </c>
      <c r="D1372">
        <v>5</v>
      </c>
      <c r="E1372">
        <v>1990</v>
      </c>
      <c r="F1372">
        <v>81.900000000000006</v>
      </c>
      <c r="G1372">
        <v>7.5</v>
      </c>
      <c r="H1372">
        <v>6.6</v>
      </c>
      <c r="I1372">
        <v>0.9</v>
      </c>
      <c r="J1372">
        <v>12</v>
      </c>
      <c r="K1372">
        <v>36.799999999999997</v>
      </c>
      <c r="L1372">
        <v>210.7</v>
      </c>
      <c r="M1372">
        <v>383</v>
      </c>
      <c r="N1372">
        <v>361</v>
      </c>
      <c r="O1372">
        <v>548</v>
      </c>
      <c r="P1372">
        <v>187</v>
      </c>
      <c r="Q1372">
        <v>314</v>
      </c>
      <c r="R1372">
        <v>556</v>
      </c>
      <c r="S1372">
        <v>242</v>
      </c>
      <c r="T1372">
        <v>245.7</v>
      </c>
      <c r="U1372">
        <v>401</v>
      </c>
      <c r="V1372">
        <v>390</v>
      </c>
      <c r="W1372">
        <v>500</v>
      </c>
      <c r="X1372">
        <v>2.79</v>
      </c>
    </row>
    <row r="1373" spans="1:24" hidden="1" outlineLevel="2" x14ac:dyDescent="0.25">
      <c r="A1373" t="str">
        <f t="shared" si="216"/>
        <v>AK9 - 1990</v>
      </c>
      <c r="B1373" t="s">
        <v>38</v>
      </c>
      <c r="C1373">
        <v>8</v>
      </c>
      <c r="D1373">
        <v>5</v>
      </c>
      <c r="E1373">
        <v>1990</v>
      </c>
      <c r="F1373">
        <v>105.2</v>
      </c>
      <c r="G1373">
        <v>22.5</v>
      </c>
      <c r="H1373">
        <v>22.5</v>
      </c>
      <c r="I1373">
        <v>0</v>
      </c>
      <c r="J1373">
        <v>0</v>
      </c>
      <c r="K1373">
        <v>132.80000000000001</v>
      </c>
      <c r="L1373">
        <v>347.7</v>
      </c>
      <c r="M1373">
        <v>321</v>
      </c>
      <c r="N1373">
        <v>321</v>
      </c>
      <c r="Q1373">
        <v>244</v>
      </c>
      <c r="R1373">
        <v>461</v>
      </c>
      <c r="S1373">
        <v>217</v>
      </c>
      <c r="T1373">
        <v>249</v>
      </c>
      <c r="U1373">
        <v>395</v>
      </c>
      <c r="V1373">
        <v>365</v>
      </c>
      <c r="W1373">
        <v>500</v>
      </c>
      <c r="X1373">
        <v>2.79</v>
      </c>
    </row>
    <row r="1374" spans="1:24" hidden="1" outlineLevel="2" x14ac:dyDescent="0.25">
      <c r="A1374" t="str">
        <f t="shared" si="216"/>
        <v>AK9 - 1990</v>
      </c>
      <c r="B1374" t="s">
        <v>38</v>
      </c>
      <c r="C1374">
        <v>10</v>
      </c>
      <c r="D1374">
        <v>5</v>
      </c>
      <c r="E1374">
        <v>1990</v>
      </c>
      <c r="F1374">
        <v>66.900000000000006</v>
      </c>
      <c r="G1374">
        <v>14.4</v>
      </c>
      <c r="H1374">
        <v>13.2</v>
      </c>
      <c r="I1374">
        <v>1.2</v>
      </c>
      <c r="J1374">
        <v>8</v>
      </c>
      <c r="K1374">
        <v>54</v>
      </c>
      <c r="L1374">
        <v>140.6</v>
      </c>
      <c r="M1374">
        <v>360</v>
      </c>
      <c r="N1374">
        <v>347</v>
      </c>
      <c r="O1374">
        <v>507</v>
      </c>
      <c r="P1374">
        <v>160</v>
      </c>
      <c r="Q1374">
        <v>271</v>
      </c>
      <c r="R1374">
        <v>515</v>
      </c>
      <c r="S1374">
        <v>244</v>
      </c>
      <c r="T1374">
        <v>289.5</v>
      </c>
      <c r="U1374">
        <v>393</v>
      </c>
      <c r="V1374">
        <v>393</v>
      </c>
      <c r="W1374">
        <v>500</v>
      </c>
      <c r="X1374">
        <v>2.79</v>
      </c>
    </row>
    <row r="1375" spans="1:24" hidden="1" outlineLevel="2" x14ac:dyDescent="0.25">
      <c r="A1375" t="str">
        <f t="shared" si="216"/>
        <v>AK9 - 1990</v>
      </c>
      <c r="B1375" t="s">
        <v>38</v>
      </c>
      <c r="C1375">
        <v>11</v>
      </c>
      <c r="D1375">
        <v>5</v>
      </c>
      <c r="E1375">
        <v>1990</v>
      </c>
      <c r="F1375">
        <v>94.7</v>
      </c>
      <c r="G1375">
        <v>11.7</v>
      </c>
      <c r="H1375">
        <v>10.8</v>
      </c>
      <c r="I1375">
        <v>0.9</v>
      </c>
      <c r="J1375">
        <v>7</v>
      </c>
      <c r="K1375">
        <v>65.3</v>
      </c>
      <c r="L1375">
        <v>281.7</v>
      </c>
      <c r="M1375">
        <v>354</v>
      </c>
      <c r="N1375">
        <v>340</v>
      </c>
      <c r="O1375">
        <v>520</v>
      </c>
      <c r="P1375">
        <v>180</v>
      </c>
      <c r="Q1375">
        <v>294</v>
      </c>
      <c r="R1375">
        <v>533</v>
      </c>
      <c r="S1375">
        <v>239</v>
      </c>
      <c r="T1375">
        <v>331.8</v>
      </c>
      <c r="U1375">
        <v>389</v>
      </c>
      <c r="V1375">
        <v>385</v>
      </c>
      <c r="W1375">
        <v>500</v>
      </c>
      <c r="X1375">
        <v>2.79</v>
      </c>
    </row>
    <row r="1376" spans="1:24" hidden="1" outlineLevel="2" x14ac:dyDescent="0.25">
      <c r="A1376" t="str">
        <f t="shared" si="216"/>
        <v>AK9 - 1990</v>
      </c>
      <c r="B1376" t="s">
        <v>38</v>
      </c>
      <c r="C1376">
        <v>13</v>
      </c>
      <c r="D1376">
        <v>5</v>
      </c>
      <c r="E1376">
        <v>1990</v>
      </c>
      <c r="F1376">
        <v>79.7</v>
      </c>
      <c r="G1376">
        <v>10.5</v>
      </c>
      <c r="H1376">
        <v>8.4</v>
      </c>
      <c r="I1376">
        <v>2.1</v>
      </c>
      <c r="J1376">
        <v>20</v>
      </c>
      <c r="K1376">
        <v>49.1</v>
      </c>
      <c r="L1376">
        <v>199.6</v>
      </c>
      <c r="M1376">
        <v>410</v>
      </c>
      <c r="N1376">
        <v>381</v>
      </c>
      <c r="O1376">
        <v>526</v>
      </c>
      <c r="P1376">
        <v>145</v>
      </c>
      <c r="Q1376">
        <v>310</v>
      </c>
      <c r="R1376">
        <v>550</v>
      </c>
      <c r="S1376">
        <v>240</v>
      </c>
      <c r="T1376">
        <v>286.8</v>
      </c>
      <c r="U1376">
        <v>408</v>
      </c>
      <c r="V1376">
        <v>398</v>
      </c>
      <c r="W1376">
        <v>500</v>
      </c>
      <c r="X1376">
        <v>2.79</v>
      </c>
    </row>
    <row r="1377" spans="1:24" hidden="1" outlineLevel="2" x14ac:dyDescent="0.25">
      <c r="A1377" t="str">
        <f t="shared" si="216"/>
        <v>AK9 - 1990</v>
      </c>
      <c r="B1377" t="s">
        <v>38</v>
      </c>
      <c r="C1377">
        <v>14</v>
      </c>
      <c r="D1377">
        <v>5</v>
      </c>
      <c r="E1377">
        <v>1990</v>
      </c>
      <c r="F1377">
        <v>41.5</v>
      </c>
      <c r="G1377">
        <v>41.5</v>
      </c>
      <c r="H1377">
        <v>16.5</v>
      </c>
      <c r="I1377">
        <v>0</v>
      </c>
      <c r="J1377">
        <v>0</v>
      </c>
      <c r="K1377">
        <v>54.1</v>
      </c>
      <c r="L1377">
        <v>54.1</v>
      </c>
      <c r="M1377">
        <v>356</v>
      </c>
      <c r="N1377">
        <v>356</v>
      </c>
      <c r="Q1377">
        <v>265</v>
      </c>
      <c r="R1377">
        <v>465</v>
      </c>
      <c r="S1377">
        <v>200</v>
      </c>
      <c r="T1377">
        <v>173.4</v>
      </c>
      <c r="U1377">
        <v>385</v>
      </c>
      <c r="V1377">
        <v>377</v>
      </c>
      <c r="W1377">
        <v>500</v>
      </c>
      <c r="X1377">
        <v>2.79</v>
      </c>
    </row>
    <row r="1378" spans="1:24" outlineLevel="1" collapsed="1" x14ac:dyDescent="0.25">
      <c r="A1378" s="8" t="s">
        <v>146</v>
      </c>
      <c r="D1378">
        <f t="shared" ref="D1378:V1378" si="217">SUBTOTAL(1,D1368:D1377)</f>
        <v>4.9000000000000004</v>
      </c>
      <c r="E1378">
        <f t="shared" si="217"/>
        <v>1990</v>
      </c>
      <c r="F1378">
        <f t="shared" si="217"/>
        <v>67.240000000000009</v>
      </c>
      <c r="G1378">
        <f t="shared" si="217"/>
        <v>17.95</v>
      </c>
      <c r="H1378">
        <f t="shared" si="217"/>
        <v>12.960000000000003</v>
      </c>
      <c r="I1378">
        <f t="shared" si="217"/>
        <v>0.99000000000000021</v>
      </c>
      <c r="J1378">
        <f t="shared" si="217"/>
        <v>9.1</v>
      </c>
      <c r="K1378">
        <f t="shared" si="217"/>
        <v>54</v>
      </c>
      <c r="L1378">
        <f t="shared" si="217"/>
        <v>157.36999999999998</v>
      </c>
      <c r="M1378">
        <f t="shared" si="217"/>
        <v>379.1</v>
      </c>
      <c r="N1378">
        <f t="shared" si="217"/>
        <v>364.6</v>
      </c>
      <c r="O1378">
        <f t="shared" si="217"/>
        <v>532.57142857142856</v>
      </c>
      <c r="P1378">
        <f t="shared" si="217"/>
        <v>158.42857142857142</v>
      </c>
      <c r="Q1378">
        <f t="shared" si="217"/>
        <v>286.10000000000002</v>
      </c>
      <c r="R1378">
        <f t="shared" si="217"/>
        <v>529.29999999999995</v>
      </c>
      <c r="S1378">
        <f t="shared" si="217"/>
        <v>243.2</v>
      </c>
      <c r="T1378">
        <f t="shared" si="217"/>
        <v>247.5</v>
      </c>
      <c r="U1378">
        <f t="shared" si="217"/>
        <v>402.9</v>
      </c>
      <c r="V1378">
        <f t="shared" si="217"/>
        <v>393.9</v>
      </c>
    </row>
    <row r="1379" spans="1:24" hidden="1" outlineLevel="2" x14ac:dyDescent="0.25">
      <c r="A1379" t="str">
        <f t="shared" ref="A1379:A1389" si="218">CONCATENATE(B1379," - ",E1379)</f>
        <v>AK9 - 1991</v>
      </c>
      <c r="B1379" t="s">
        <v>38</v>
      </c>
      <c r="C1379">
        <v>1</v>
      </c>
      <c r="D1379">
        <v>6</v>
      </c>
      <c r="E1379">
        <v>1991</v>
      </c>
      <c r="F1379">
        <v>67.2</v>
      </c>
      <c r="G1379">
        <v>26.4</v>
      </c>
      <c r="H1379">
        <v>26.4</v>
      </c>
      <c r="I1379">
        <v>0</v>
      </c>
      <c r="J1379">
        <v>0</v>
      </c>
      <c r="K1379">
        <v>89.6</v>
      </c>
      <c r="L1379">
        <v>141.9</v>
      </c>
      <c r="M1379">
        <v>331</v>
      </c>
      <c r="N1379">
        <v>331</v>
      </c>
      <c r="Q1379">
        <v>253</v>
      </c>
      <c r="R1379">
        <v>497</v>
      </c>
      <c r="S1379">
        <v>244</v>
      </c>
      <c r="T1379">
        <v>170.1</v>
      </c>
      <c r="U1379">
        <v>401</v>
      </c>
      <c r="V1379">
        <v>383</v>
      </c>
      <c r="W1379">
        <v>500</v>
      </c>
      <c r="X1379">
        <v>2.79</v>
      </c>
    </row>
    <row r="1380" spans="1:24" hidden="1" outlineLevel="2" x14ac:dyDescent="0.25">
      <c r="A1380" t="str">
        <f t="shared" si="218"/>
        <v>AK9 - 1991</v>
      </c>
      <c r="B1380" t="s">
        <v>38</v>
      </c>
      <c r="C1380">
        <v>3</v>
      </c>
      <c r="D1380">
        <v>6</v>
      </c>
      <c r="E1380">
        <v>1991</v>
      </c>
      <c r="F1380">
        <v>64.099999999999994</v>
      </c>
      <c r="G1380">
        <v>12</v>
      </c>
      <c r="H1380">
        <v>10.8</v>
      </c>
      <c r="I1380">
        <v>1.2</v>
      </c>
      <c r="J1380">
        <v>9</v>
      </c>
      <c r="K1380">
        <v>43.8</v>
      </c>
      <c r="L1380">
        <v>129.1</v>
      </c>
      <c r="M1380">
        <v>413</v>
      </c>
      <c r="N1380">
        <v>403</v>
      </c>
      <c r="O1380">
        <v>504</v>
      </c>
      <c r="P1380">
        <v>101</v>
      </c>
      <c r="Q1380">
        <v>328</v>
      </c>
      <c r="R1380">
        <v>507</v>
      </c>
      <c r="S1380">
        <v>179</v>
      </c>
      <c r="T1380">
        <v>227.4</v>
      </c>
      <c r="U1380">
        <v>423</v>
      </c>
      <c r="V1380">
        <v>424</v>
      </c>
      <c r="W1380">
        <v>500</v>
      </c>
      <c r="X1380">
        <v>2.79</v>
      </c>
    </row>
    <row r="1381" spans="1:24" hidden="1" outlineLevel="2" x14ac:dyDescent="0.25">
      <c r="A1381" t="str">
        <f t="shared" si="218"/>
        <v>AK9 - 1991</v>
      </c>
      <c r="B1381" t="s">
        <v>38</v>
      </c>
      <c r="C1381">
        <v>4</v>
      </c>
      <c r="D1381">
        <v>6</v>
      </c>
      <c r="E1381">
        <v>1991</v>
      </c>
      <c r="F1381">
        <v>28.7</v>
      </c>
      <c r="G1381">
        <v>28.7</v>
      </c>
      <c r="H1381">
        <v>8.1</v>
      </c>
      <c r="I1381">
        <v>0.6</v>
      </c>
      <c r="J1381">
        <v>2</v>
      </c>
      <c r="K1381">
        <v>25.9</v>
      </c>
      <c r="L1381">
        <v>25.9</v>
      </c>
      <c r="M1381">
        <v>400</v>
      </c>
      <c r="N1381">
        <v>392</v>
      </c>
      <c r="O1381">
        <v>511</v>
      </c>
      <c r="P1381">
        <v>119</v>
      </c>
      <c r="Q1381">
        <v>178</v>
      </c>
      <c r="R1381">
        <v>516</v>
      </c>
      <c r="S1381">
        <v>338</v>
      </c>
      <c r="T1381">
        <v>244.8</v>
      </c>
      <c r="U1381">
        <v>388</v>
      </c>
      <c r="V1381">
        <v>385</v>
      </c>
      <c r="W1381">
        <v>500</v>
      </c>
      <c r="X1381">
        <v>2.79</v>
      </c>
    </row>
    <row r="1382" spans="1:24" hidden="1" outlineLevel="2" x14ac:dyDescent="0.25">
      <c r="A1382" t="str">
        <f t="shared" si="218"/>
        <v>AK9 - 1991</v>
      </c>
      <c r="B1382" t="s">
        <v>38</v>
      </c>
      <c r="C1382">
        <v>5</v>
      </c>
      <c r="D1382">
        <v>6</v>
      </c>
      <c r="E1382">
        <v>1991</v>
      </c>
      <c r="F1382">
        <v>55.7</v>
      </c>
      <c r="G1382">
        <v>15.3</v>
      </c>
      <c r="H1382">
        <v>10.8</v>
      </c>
      <c r="I1382">
        <v>4.5</v>
      </c>
      <c r="J1382">
        <v>29</v>
      </c>
      <c r="K1382">
        <v>46.2</v>
      </c>
      <c r="L1382">
        <v>97.5</v>
      </c>
      <c r="M1382">
        <v>482</v>
      </c>
      <c r="N1382">
        <v>455</v>
      </c>
      <c r="O1382">
        <v>545</v>
      </c>
      <c r="P1382">
        <v>90</v>
      </c>
      <c r="Q1382">
        <v>413</v>
      </c>
      <c r="R1382">
        <v>583</v>
      </c>
      <c r="S1382">
        <v>170</v>
      </c>
      <c r="T1382">
        <v>244.5</v>
      </c>
      <c r="U1382">
        <v>434</v>
      </c>
      <c r="V1382">
        <v>429</v>
      </c>
      <c r="W1382">
        <v>500</v>
      </c>
      <c r="X1382">
        <v>2.79</v>
      </c>
    </row>
    <row r="1383" spans="1:24" hidden="1" outlineLevel="2" x14ac:dyDescent="0.25">
      <c r="A1383" t="str">
        <f t="shared" si="218"/>
        <v>AK9 - 1991</v>
      </c>
      <c r="B1383" t="s">
        <v>38</v>
      </c>
      <c r="C1383">
        <v>6</v>
      </c>
      <c r="D1383">
        <v>5</v>
      </c>
      <c r="E1383">
        <v>1991</v>
      </c>
      <c r="F1383">
        <v>88.1</v>
      </c>
      <c r="G1383">
        <v>18.899999999999999</v>
      </c>
      <c r="H1383">
        <v>16.8</v>
      </c>
      <c r="I1383">
        <v>2.1</v>
      </c>
      <c r="J1383">
        <v>11</v>
      </c>
      <c r="K1383">
        <v>93.4</v>
      </c>
      <c r="L1383">
        <v>243.8</v>
      </c>
      <c r="M1383">
        <v>393</v>
      </c>
      <c r="N1383">
        <v>378</v>
      </c>
      <c r="O1383">
        <v>509</v>
      </c>
      <c r="P1383">
        <v>131</v>
      </c>
      <c r="Q1383">
        <v>323</v>
      </c>
      <c r="R1383">
        <v>518</v>
      </c>
      <c r="S1383">
        <v>195</v>
      </c>
      <c r="T1383">
        <v>256.8</v>
      </c>
      <c r="U1383">
        <v>400</v>
      </c>
      <c r="V1383">
        <v>395</v>
      </c>
      <c r="W1383">
        <v>500</v>
      </c>
      <c r="X1383">
        <v>2.79</v>
      </c>
    </row>
    <row r="1384" spans="1:24" hidden="1" outlineLevel="2" x14ac:dyDescent="0.25">
      <c r="A1384" t="str">
        <f t="shared" si="218"/>
        <v>AK9 - 1991</v>
      </c>
      <c r="B1384" t="s">
        <v>38</v>
      </c>
      <c r="C1384">
        <v>7</v>
      </c>
      <c r="D1384">
        <v>6</v>
      </c>
      <c r="E1384">
        <v>1991</v>
      </c>
      <c r="F1384">
        <v>101.4</v>
      </c>
      <c r="G1384">
        <v>19.5</v>
      </c>
      <c r="H1384">
        <v>18.899999999999999</v>
      </c>
      <c r="I1384">
        <v>0.6</v>
      </c>
      <c r="J1384">
        <v>3</v>
      </c>
      <c r="K1384">
        <v>112.3</v>
      </c>
      <c r="L1384">
        <v>323</v>
      </c>
      <c r="M1384">
        <v>373</v>
      </c>
      <c r="N1384">
        <v>369</v>
      </c>
      <c r="O1384">
        <v>503</v>
      </c>
      <c r="P1384">
        <v>134</v>
      </c>
      <c r="Q1384">
        <v>302</v>
      </c>
      <c r="R1384">
        <v>505</v>
      </c>
      <c r="S1384">
        <v>203</v>
      </c>
      <c r="T1384">
        <v>245.7</v>
      </c>
      <c r="U1384">
        <v>401</v>
      </c>
      <c r="V1384">
        <v>390</v>
      </c>
      <c r="W1384">
        <v>500</v>
      </c>
      <c r="X1384">
        <v>2.79</v>
      </c>
    </row>
    <row r="1385" spans="1:24" hidden="1" outlineLevel="2" x14ac:dyDescent="0.25">
      <c r="A1385" t="str">
        <f t="shared" si="218"/>
        <v>AK9 - 1991</v>
      </c>
      <c r="B1385" t="s">
        <v>38</v>
      </c>
      <c r="C1385">
        <v>8</v>
      </c>
      <c r="D1385">
        <v>6</v>
      </c>
      <c r="E1385">
        <v>1991</v>
      </c>
      <c r="F1385">
        <v>114.2</v>
      </c>
      <c r="G1385">
        <v>9</v>
      </c>
      <c r="H1385">
        <v>8.6999999999999993</v>
      </c>
      <c r="I1385">
        <v>0.3</v>
      </c>
      <c r="J1385">
        <v>3</v>
      </c>
      <c r="K1385">
        <v>62</v>
      </c>
      <c r="L1385">
        <v>409.7</v>
      </c>
      <c r="M1385">
        <v>355</v>
      </c>
      <c r="N1385">
        <v>349</v>
      </c>
      <c r="O1385">
        <v>511</v>
      </c>
      <c r="P1385">
        <v>162</v>
      </c>
      <c r="Q1385">
        <v>270</v>
      </c>
      <c r="R1385">
        <v>511</v>
      </c>
      <c r="S1385">
        <v>241</v>
      </c>
      <c r="T1385">
        <v>249</v>
      </c>
      <c r="U1385">
        <v>395</v>
      </c>
      <c r="V1385">
        <v>365</v>
      </c>
      <c r="W1385">
        <v>500</v>
      </c>
      <c r="X1385">
        <v>2.79</v>
      </c>
    </row>
    <row r="1386" spans="1:24" hidden="1" outlineLevel="2" x14ac:dyDescent="0.25">
      <c r="A1386" t="str">
        <f t="shared" si="218"/>
        <v>AK9 - 1991</v>
      </c>
      <c r="B1386" t="s">
        <v>38</v>
      </c>
      <c r="C1386">
        <v>10</v>
      </c>
      <c r="D1386">
        <v>6</v>
      </c>
      <c r="E1386">
        <v>1991</v>
      </c>
      <c r="F1386">
        <v>88.5</v>
      </c>
      <c r="G1386">
        <v>21.6</v>
      </c>
      <c r="H1386">
        <v>20.399999999999999</v>
      </c>
      <c r="I1386">
        <v>1.2</v>
      </c>
      <c r="J1386">
        <v>5</v>
      </c>
      <c r="K1386">
        <v>105.5</v>
      </c>
      <c r="L1386">
        <v>246.1</v>
      </c>
      <c r="M1386">
        <v>391</v>
      </c>
      <c r="N1386">
        <v>384</v>
      </c>
      <c r="O1386">
        <v>516</v>
      </c>
      <c r="P1386">
        <v>132</v>
      </c>
      <c r="Q1386">
        <v>313</v>
      </c>
      <c r="R1386">
        <v>520</v>
      </c>
      <c r="S1386">
        <v>207</v>
      </c>
      <c r="T1386">
        <v>289.5</v>
      </c>
      <c r="U1386">
        <v>393</v>
      </c>
      <c r="V1386">
        <v>393</v>
      </c>
      <c r="W1386">
        <v>500</v>
      </c>
      <c r="X1386">
        <v>2.79</v>
      </c>
    </row>
    <row r="1387" spans="1:24" hidden="1" outlineLevel="2" x14ac:dyDescent="0.25">
      <c r="A1387" t="str">
        <f t="shared" si="218"/>
        <v>AK9 - 1991</v>
      </c>
      <c r="B1387" t="s">
        <v>38</v>
      </c>
      <c r="C1387">
        <v>11</v>
      </c>
      <c r="D1387">
        <v>6</v>
      </c>
      <c r="E1387">
        <v>1991</v>
      </c>
      <c r="F1387">
        <v>117.8</v>
      </c>
      <c r="G1387">
        <v>23.1</v>
      </c>
      <c r="H1387">
        <v>23.1</v>
      </c>
      <c r="I1387">
        <v>0</v>
      </c>
      <c r="J1387">
        <v>0</v>
      </c>
      <c r="K1387">
        <v>154.19999999999999</v>
      </c>
      <c r="L1387">
        <v>436</v>
      </c>
      <c r="M1387">
        <v>354</v>
      </c>
      <c r="N1387">
        <v>354</v>
      </c>
      <c r="Q1387">
        <v>281</v>
      </c>
      <c r="R1387">
        <v>483</v>
      </c>
      <c r="S1387">
        <v>202</v>
      </c>
      <c r="T1387">
        <v>331.8</v>
      </c>
      <c r="U1387">
        <v>389</v>
      </c>
      <c r="V1387">
        <v>385</v>
      </c>
      <c r="W1387">
        <v>500</v>
      </c>
      <c r="X1387">
        <v>2.79</v>
      </c>
    </row>
    <row r="1388" spans="1:24" hidden="1" outlineLevel="2" x14ac:dyDescent="0.25">
      <c r="A1388" t="str">
        <f t="shared" si="218"/>
        <v>AK9 - 1991</v>
      </c>
      <c r="B1388" t="s">
        <v>38</v>
      </c>
      <c r="C1388">
        <v>13</v>
      </c>
      <c r="D1388">
        <v>6</v>
      </c>
      <c r="E1388">
        <v>1991</v>
      </c>
      <c r="F1388">
        <v>97.7</v>
      </c>
      <c r="G1388">
        <v>18</v>
      </c>
      <c r="H1388">
        <v>17.399999999999999</v>
      </c>
      <c r="I1388">
        <v>0.6</v>
      </c>
      <c r="J1388">
        <v>3</v>
      </c>
      <c r="K1388">
        <v>100.3</v>
      </c>
      <c r="L1388">
        <v>299.89999999999998</v>
      </c>
      <c r="M1388">
        <v>372</v>
      </c>
      <c r="N1388">
        <v>368</v>
      </c>
      <c r="O1388">
        <v>506</v>
      </c>
      <c r="P1388">
        <v>138</v>
      </c>
      <c r="Q1388">
        <v>290</v>
      </c>
      <c r="R1388">
        <v>510</v>
      </c>
      <c r="S1388">
        <v>220</v>
      </c>
      <c r="T1388">
        <v>286.8</v>
      </c>
      <c r="U1388">
        <v>408</v>
      </c>
      <c r="V1388">
        <v>398</v>
      </c>
      <c r="W1388">
        <v>500</v>
      </c>
      <c r="X1388">
        <v>2.79</v>
      </c>
    </row>
    <row r="1389" spans="1:24" hidden="1" outlineLevel="2" x14ac:dyDescent="0.25">
      <c r="A1389" t="str">
        <f t="shared" si="218"/>
        <v>AK9 - 1991</v>
      </c>
      <c r="B1389" t="s">
        <v>38</v>
      </c>
      <c r="C1389">
        <v>14</v>
      </c>
      <c r="D1389">
        <v>6</v>
      </c>
      <c r="E1389">
        <v>1991</v>
      </c>
      <c r="F1389">
        <v>58.9</v>
      </c>
      <c r="G1389">
        <v>17.399999999999999</v>
      </c>
      <c r="H1389">
        <v>16.8</v>
      </c>
      <c r="I1389">
        <v>0.6</v>
      </c>
      <c r="J1389">
        <v>3</v>
      </c>
      <c r="K1389">
        <v>54.9</v>
      </c>
      <c r="L1389">
        <v>109</v>
      </c>
      <c r="M1389">
        <v>370</v>
      </c>
      <c r="N1389">
        <v>364</v>
      </c>
      <c r="O1389">
        <v>515</v>
      </c>
      <c r="P1389">
        <v>151</v>
      </c>
      <c r="Q1389">
        <v>267</v>
      </c>
      <c r="R1389">
        <v>520</v>
      </c>
      <c r="S1389">
        <v>253</v>
      </c>
      <c r="T1389">
        <v>173.4</v>
      </c>
      <c r="U1389">
        <v>385</v>
      </c>
      <c r="V1389">
        <v>377</v>
      </c>
      <c r="W1389">
        <v>500</v>
      </c>
      <c r="X1389">
        <v>2.79</v>
      </c>
    </row>
    <row r="1390" spans="1:24" outlineLevel="1" collapsed="1" x14ac:dyDescent="0.25">
      <c r="A1390" s="8" t="s">
        <v>147</v>
      </c>
      <c r="D1390">
        <f t="shared" ref="D1390:V1390" si="219">SUBTOTAL(1,D1379:D1389)</f>
        <v>5.9090909090909092</v>
      </c>
      <c r="E1390">
        <f t="shared" si="219"/>
        <v>1991</v>
      </c>
      <c r="F1390">
        <f t="shared" si="219"/>
        <v>80.209090909090904</v>
      </c>
      <c r="G1390">
        <f t="shared" si="219"/>
        <v>19.081818181818178</v>
      </c>
      <c r="H1390">
        <f t="shared" si="219"/>
        <v>16.200000000000003</v>
      </c>
      <c r="I1390">
        <f t="shared" si="219"/>
        <v>1.0636363636363635</v>
      </c>
      <c r="J1390">
        <f t="shared" si="219"/>
        <v>6.1818181818181817</v>
      </c>
      <c r="K1390">
        <f t="shared" si="219"/>
        <v>80.736363636363635</v>
      </c>
      <c r="L1390">
        <f t="shared" si="219"/>
        <v>223.80909090909091</v>
      </c>
      <c r="M1390">
        <f t="shared" si="219"/>
        <v>384.90909090909093</v>
      </c>
      <c r="N1390">
        <f t="shared" si="219"/>
        <v>377</v>
      </c>
      <c r="O1390">
        <f t="shared" si="219"/>
        <v>513.33333333333337</v>
      </c>
      <c r="P1390">
        <f t="shared" si="219"/>
        <v>128.66666666666666</v>
      </c>
      <c r="Q1390">
        <f t="shared" si="219"/>
        <v>292.54545454545456</v>
      </c>
      <c r="R1390">
        <f t="shared" si="219"/>
        <v>515.4545454545455</v>
      </c>
      <c r="S1390">
        <f t="shared" si="219"/>
        <v>222.90909090909091</v>
      </c>
      <c r="T1390">
        <f t="shared" si="219"/>
        <v>247.25454545454548</v>
      </c>
      <c r="U1390">
        <f t="shared" si="219"/>
        <v>401.54545454545456</v>
      </c>
      <c r="V1390">
        <f t="shared" si="219"/>
        <v>393.09090909090907</v>
      </c>
    </row>
    <row r="1391" spans="1:24" hidden="1" outlineLevel="2" x14ac:dyDescent="0.25">
      <c r="A1391" t="str">
        <f t="shared" ref="A1391:A1401" si="220">CONCATENATE(B1391," - ",E1391)</f>
        <v>AK9 - 1992</v>
      </c>
      <c r="B1391" t="s">
        <v>38</v>
      </c>
      <c r="C1391">
        <v>1</v>
      </c>
      <c r="D1391">
        <v>7</v>
      </c>
      <c r="E1391">
        <v>1992</v>
      </c>
      <c r="F1391">
        <v>84.9</v>
      </c>
      <c r="G1391">
        <v>17.7</v>
      </c>
      <c r="H1391">
        <v>17.7</v>
      </c>
      <c r="I1391">
        <v>0</v>
      </c>
      <c r="J1391">
        <v>0</v>
      </c>
      <c r="K1391">
        <v>84.6</v>
      </c>
      <c r="L1391">
        <v>226.4</v>
      </c>
      <c r="M1391">
        <v>357</v>
      </c>
      <c r="N1391">
        <v>357</v>
      </c>
      <c r="Q1391">
        <v>272</v>
      </c>
      <c r="R1391">
        <v>479</v>
      </c>
      <c r="S1391">
        <v>207</v>
      </c>
      <c r="T1391">
        <v>170.1</v>
      </c>
      <c r="U1391">
        <v>401</v>
      </c>
      <c r="V1391">
        <v>383</v>
      </c>
      <c r="W1391">
        <v>500</v>
      </c>
      <c r="X1391">
        <v>2.79</v>
      </c>
    </row>
    <row r="1392" spans="1:24" hidden="1" outlineLevel="2" x14ac:dyDescent="0.25">
      <c r="A1392" t="str">
        <f t="shared" si="220"/>
        <v>AK9 - 1992</v>
      </c>
      <c r="B1392" t="s">
        <v>38</v>
      </c>
      <c r="C1392">
        <v>3</v>
      </c>
      <c r="D1392">
        <v>7</v>
      </c>
      <c r="E1392">
        <v>1992</v>
      </c>
      <c r="F1392">
        <v>78.8</v>
      </c>
      <c r="G1392">
        <v>14.7</v>
      </c>
      <c r="H1392">
        <v>13.2</v>
      </c>
      <c r="I1392">
        <v>1.5</v>
      </c>
      <c r="J1392">
        <v>10</v>
      </c>
      <c r="K1392">
        <v>66</v>
      </c>
      <c r="L1392">
        <v>195.1</v>
      </c>
      <c r="M1392">
        <v>398</v>
      </c>
      <c r="N1392">
        <v>385</v>
      </c>
      <c r="O1392">
        <v>515</v>
      </c>
      <c r="P1392">
        <v>130</v>
      </c>
      <c r="Q1392">
        <v>340</v>
      </c>
      <c r="R1392">
        <v>528</v>
      </c>
      <c r="S1392">
        <v>188</v>
      </c>
      <c r="T1392">
        <v>227.4</v>
      </c>
      <c r="U1392">
        <v>423</v>
      </c>
      <c r="V1392">
        <v>424</v>
      </c>
      <c r="W1392">
        <v>500</v>
      </c>
      <c r="X1392">
        <v>2.79</v>
      </c>
    </row>
    <row r="1393" spans="1:24" hidden="1" outlineLevel="2" x14ac:dyDescent="0.25">
      <c r="A1393" t="str">
        <f t="shared" si="220"/>
        <v>AK9 - 1992</v>
      </c>
      <c r="B1393" t="s">
        <v>38</v>
      </c>
      <c r="C1393">
        <v>4</v>
      </c>
      <c r="D1393">
        <v>7</v>
      </c>
      <c r="E1393">
        <v>1992</v>
      </c>
      <c r="F1393">
        <v>58.4</v>
      </c>
      <c r="G1393">
        <v>29.7</v>
      </c>
      <c r="H1393">
        <v>27.9</v>
      </c>
      <c r="I1393">
        <v>1.8</v>
      </c>
      <c r="J1393">
        <v>6</v>
      </c>
      <c r="K1393">
        <v>81.3</v>
      </c>
      <c r="L1393">
        <v>107.1</v>
      </c>
      <c r="M1393">
        <v>392</v>
      </c>
      <c r="N1393">
        <v>384</v>
      </c>
      <c r="O1393">
        <v>521</v>
      </c>
      <c r="P1393">
        <v>137</v>
      </c>
      <c r="Q1393">
        <v>313</v>
      </c>
      <c r="R1393">
        <v>531</v>
      </c>
      <c r="S1393">
        <v>218</v>
      </c>
      <c r="T1393">
        <v>244.8</v>
      </c>
      <c r="U1393">
        <v>388</v>
      </c>
      <c r="V1393">
        <v>385</v>
      </c>
      <c r="W1393">
        <v>500</v>
      </c>
      <c r="X1393">
        <v>2.79</v>
      </c>
    </row>
    <row r="1394" spans="1:24" hidden="1" outlineLevel="2" x14ac:dyDescent="0.25">
      <c r="A1394" t="str">
        <f t="shared" si="220"/>
        <v>AK9 - 1992</v>
      </c>
      <c r="B1394" t="s">
        <v>38</v>
      </c>
      <c r="C1394">
        <v>5</v>
      </c>
      <c r="D1394">
        <v>7</v>
      </c>
      <c r="E1394">
        <v>1992</v>
      </c>
      <c r="F1394">
        <v>72.8</v>
      </c>
      <c r="G1394">
        <v>17.100000000000001</v>
      </c>
      <c r="H1394">
        <v>14.7</v>
      </c>
      <c r="I1394">
        <v>2.4</v>
      </c>
      <c r="J1394">
        <v>14</v>
      </c>
      <c r="K1394">
        <v>69</v>
      </c>
      <c r="L1394">
        <v>166.5</v>
      </c>
      <c r="M1394">
        <v>421</v>
      </c>
      <c r="N1394">
        <v>399</v>
      </c>
      <c r="O1394">
        <v>552</v>
      </c>
      <c r="P1394">
        <v>153</v>
      </c>
      <c r="Q1394">
        <v>349</v>
      </c>
      <c r="R1394">
        <v>571</v>
      </c>
      <c r="S1394">
        <v>222</v>
      </c>
      <c r="T1394">
        <v>244.5</v>
      </c>
      <c r="U1394">
        <v>434</v>
      </c>
      <c r="V1394">
        <v>429</v>
      </c>
      <c r="W1394">
        <v>500</v>
      </c>
      <c r="X1394">
        <v>2.79</v>
      </c>
    </row>
    <row r="1395" spans="1:24" hidden="1" outlineLevel="2" x14ac:dyDescent="0.25">
      <c r="A1395" t="str">
        <f t="shared" si="220"/>
        <v>AK9 - 1992</v>
      </c>
      <c r="B1395" t="s">
        <v>38</v>
      </c>
      <c r="C1395">
        <v>6</v>
      </c>
      <c r="D1395">
        <v>6</v>
      </c>
      <c r="E1395">
        <v>1992</v>
      </c>
      <c r="F1395">
        <v>111.5</v>
      </c>
      <c r="G1395">
        <v>23.4</v>
      </c>
      <c r="H1395">
        <v>20.7</v>
      </c>
      <c r="I1395">
        <v>2.7</v>
      </c>
      <c r="J1395">
        <v>11</v>
      </c>
      <c r="K1395">
        <v>146.69999999999999</v>
      </c>
      <c r="L1395">
        <v>390.6</v>
      </c>
      <c r="M1395">
        <v>386</v>
      </c>
      <c r="N1395">
        <v>366</v>
      </c>
      <c r="O1395">
        <v>536</v>
      </c>
      <c r="P1395">
        <v>170</v>
      </c>
      <c r="Q1395">
        <v>301</v>
      </c>
      <c r="R1395">
        <v>570</v>
      </c>
      <c r="S1395">
        <v>269</v>
      </c>
      <c r="T1395">
        <v>256.8</v>
      </c>
      <c r="U1395">
        <v>400</v>
      </c>
      <c r="V1395">
        <v>395</v>
      </c>
      <c r="W1395">
        <v>500</v>
      </c>
      <c r="X1395">
        <v>2.79</v>
      </c>
    </row>
    <row r="1396" spans="1:24" hidden="1" outlineLevel="2" x14ac:dyDescent="0.25">
      <c r="A1396" t="str">
        <f t="shared" si="220"/>
        <v>AK9 - 1992</v>
      </c>
      <c r="B1396" t="s">
        <v>38</v>
      </c>
      <c r="C1396">
        <v>7</v>
      </c>
      <c r="D1396">
        <v>7</v>
      </c>
      <c r="E1396">
        <v>1992</v>
      </c>
      <c r="F1396">
        <v>123</v>
      </c>
      <c r="G1396">
        <v>21.6</v>
      </c>
      <c r="H1396">
        <v>18.600000000000001</v>
      </c>
      <c r="I1396">
        <v>3</v>
      </c>
      <c r="J1396">
        <v>13</v>
      </c>
      <c r="K1396">
        <v>152.30000000000001</v>
      </c>
      <c r="L1396">
        <v>475.3</v>
      </c>
      <c r="M1396">
        <v>390</v>
      </c>
      <c r="N1396">
        <v>369</v>
      </c>
      <c r="O1396">
        <v>518</v>
      </c>
      <c r="P1396">
        <v>149</v>
      </c>
      <c r="Q1396">
        <v>315</v>
      </c>
      <c r="R1396">
        <v>530</v>
      </c>
      <c r="S1396">
        <v>215</v>
      </c>
      <c r="T1396">
        <v>245.7</v>
      </c>
      <c r="U1396">
        <v>401</v>
      </c>
      <c r="V1396">
        <v>390</v>
      </c>
      <c r="W1396">
        <v>500</v>
      </c>
      <c r="X1396">
        <v>2.79</v>
      </c>
    </row>
    <row r="1397" spans="1:24" hidden="1" outlineLevel="2" x14ac:dyDescent="0.25">
      <c r="A1397" t="str">
        <f t="shared" si="220"/>
        <v>AK9 - 1992</v>
      </c>
      <c r="B1397" t="s">
        <v>38</v>
      </c>
      <c r="C1397">
        <v>8</v>
      </c>
      <c r="D1397">
        <v>7</v>
      </c>
      <c r="E1397">
        <v>1992</v>
      </c>
      <c r="F1397">
        <v>140.30000000000001</v>
      </c>
      <c r="G1397">
        <v>26.1</v>
      </c>
      <c r="H1397">
        <v>26.1</v>
      </c>
      <c r="I1397">
        <v>0</v>
      </c>
      <c r="J1397">
        <v>0</v>
      </c>
      <c r="K1397">
        <v>208.7</v>
      </c>
      <c r="L1397">
        <v>618.4</v>
      </c>
      <c r="M1397">
        <v>344</v>
      </c>
      <c r="N1397">
        <v>344</v>
      </c>
      <c r="Q1397">
        <v>276</v>
      </c>
      <c r="R1397">
        <v>478</v>
      </c>
      <c r="S1397">
        <v>202</v>
      </c>
      <c r="T1397">
        <v>249</v>
      </c>
      <c r="U1397">
        <v>395</v>
      </c>
      <c r="V1397">
        <v>365</v>
      </c>
      <c r="W1397">
        <v>500</v>
      </c>
      <c r="X1397">
        <v>2.79</v>
      </c>
    </row>
    <row r="1398" spans="1:24" hidden="1" outlineLevel="2" x14ac:dyDescent="0.25">
      <c r="A1398" t="str">
        <f t="shared" si="220"/>
        <v>AK9 - 1992</v>
      </c>
      <c r="B1398" t="s">
        <v>38</v>
      </c>
      <c r="C1398">
        <v>10</v>
      </c>
      <c r="D1398">
        <v>7</v>
      </c>
      <c r="E1398">
        <v>1992</v>
      </c>
      <c r="F1398">
        <v>111.3</v>
      </c>
      <c r="G1398">
        <v>22.8</v>
      </c>
      <c r="H1398">
        <v>21.3</v>
      </c>
      <c r="I1398">
        <v>1.5</v>
      </c>
      <c r="J1398">
        <v>6</v>
      </c>
      <c r="K1398">
        <v>143.1</v>
      </c>
      <c r="L1398">
        <v>389.2</v>
      </c>
      <c r="M1398">
        <v>390</v>
      </c>
      <c r="N1398">
        <v>381</v>
      </c>
      <c r="O1398">
        <v>511</v>
      </c>
      <c r="P1398">
        <v>130</v>
      </c>
      <c r="Q1398">
        <v>335</v>
      </c>
      <c r="R1398">
        <v>526</v>
      </c>
      <c r="S1398">
        <v>191</v>
      </c>
      <c r="T1398">
        <v>289.5</v>
      </c>
      <c r="U1398">
        <v>393</v>
      </c>
      <c r="V1398">
        <v>393</v>
      </c>
      <c r="W1398">
        <v>500</v>
      </c>
      <c r="X1398">
        <v>2.79</v>
      </c>
    </row>
    <row r="1399" spans="1:24" hidden="1" outlineLevel="2" x14ac:dyDescent="0.25">
      <c r="A1399" t="str">
        <f t="shared" si="220"/>
        <v>AK9 - 1992</v>
      </c>
      <c r="B1399" t="s">
        <v>38</v>
      </c>
      <c r="C1399">
        <v>11</v>
      </c>
      <c r="D1399">
        <v>7</v>
      </c>
      <c r="E1399">
        <v>1992</v>
      </c>
      <c r="F1399">
        <v>144.19999999999999</v>
      </c>
      <c r="G1399">
        <v>26.4</v>
      </c>
      <c r="H1399">
        <v>26.4</v>
      </c>
      <c r="I1399">
        <v>0</v>
      </c>
      <c r="J1399">
        <v>0</v>
      </c>
      <c r="K1399">
        <v>217.3</v>
      </c>
      <c r="L1399">
        <v>653.29999999999995</v>
      </c>
      <c r="M1399">
        <v>371</v>
      </c>
      <c r="N1399">
        <v>371</v>
      </c>
      <c r="Q1399">
        <v>288</v>
      </c>
      <c r="R1399">
        <v>471</v>
      </c>
      <c r="S1399">
        <v>183</v>
      </c>
      <c r="T1399">
        <v>331.8</v>
      </c>
      <c r="U1399">
        <v>389</v>
      </c>
      <c r="V1399">
        <v>385</v>
      </c>
      <c r="W1399">
        <v>500</v>
      </c>
      <c r="X1399">
        <v>2.79</v>
      </c>
    </row>
    <row r="1400" spans="1:24" hidden="1" outlineLevel="2" x14ac:dyDescent="0.25">
      <c r="A1400" t="str">
        <f t="shared" si="220"/>
        <v>AK9 - 1992</v>
      </c>
      <c r="B1400" t="s">
        <v>38</v>
      </c>
      <c r="C1400">
        <v>13</v>
      </c>
      <c r="D1400">
        <v>7</v>
      </c>
      <c r="E1400">
        <v>1992</v>
      </c>
      <c r="F1400">
        <v>115.4</v>
      </c>
      <c r="G1400">
        <v>17.7</v>
      </c>
      <c r="H1400">
        <v>15.9</v>
      </c>
      <c r="I1400">
        <v>1.8</v>
      </c>
      <c r="J1400">
        <v>10</v>
      </c>
      <c r="K1400">
        <v>118.5</v>
      </c>
      <c r="L1400">
        <v>418.4</v>
      </c>
      <c r="M1400">
        <v>392</v>
      </c>
      <c r="N1400">
        <v>378</v>
      </c>
      <c r="O1400">
        <v>524</v>
      </c>
      <c r="P1400">
        <v>146</v>
      </c>
      <c r="Q1400">
        <v>316</v>
      </c>
      <c r="R1400">
        <v>538</v>
      </c>
      <c r="S1400">
        <v>222</v>
      </c>
      <c r="T1400">
        <v>286.8</v>
      </c>
      <c r="U1400">
        <v>408</v>
      </c>
      <c r="V1400">
        <v>398</v>
      </c>
      <c r="W1400">
        <v>500</v>
      </c>
      <c r="X1400">
        <v>2.79</v>
      </c>
    </row>
    <row r="1401" spans="1:24" hidden="1" outlineLevel="2" x14ac:dyDescent="0.25">
      <c r="A1401" t="str">
        <f t="shared" si="220"/>
        <v>AK9 - 1992</v>
      </c>
      <c r="B1401" t="s">
        <v>38</v>
      </c>
      <c r="C1401">
        <v>14</v>
      </c>
      <c r="D1401">
        <v>7</v>
      </c>
      <c r="E1401">
        <v>1992</v>
      </c>
      <c r="F1401">
        <v>79</v>
      </c>
      <c r="G1401">
        <v>20.100000000000001</v>
      </c>
      <c r="H1401">
        <v>18.899999999999999</v>
      </c>
      <c r="I1401">
        <v>1.2</v>
      </c>
      <c r="J1401">
        <v>5</v>
      </c>
      <c r="K1401">
        <v>87.1</v>
      </c>
      <c r="L1401">
        <v>196.1</v>
      </c>
      <c r="M1401">
        <v>379</v>
      </c>
      <c r="N1401">
        <v>370</v>
      </c>
      <c r="O1401">
        <v>511</v>
      </c>
      <c r="P1401">
        <v>141</v>
      </c>
      <c r="Q1401">
        <v>305</v>
      </c>
      <c r="R1401">
        <v>517</v>
      </c>
      <c r="S1401">
        <v>212</v>
      </c>
      <c r="T1401">
        <v>173.4</v>
      </c>
      <c r="U1401">
        <v>385</v>
      </c>
      <c r="V1401">
        <v>377</v>
      </c>
      <c r="W1401">
        <v>500</v>
      </c>
      <c r="X1401">
        <v>2.79</v>
      </c>
    </row>
    <row r="1402" spans="1:24" outlineLevel="1" collapsed="1" x14ac:dyDescent="0.25">
      <c r="A1402" s="8" t="s">
        <v>148</v>
      </c>
      <c r="D1402">
        <f t="shared" ref="D1402:V1402" si="221">SUBTOTAL(1,D1391:D1401)</f>
        <v>6.9090909090909092</v>
      </c>
      <c r="E1402">
        <f t="shared" si="221"/>
        <v>1992</v>
      </c>
      <c r="F1402">
        <f t="shared" si="221"/>
        <v>101.7818181818182</v>
      </c>
      <c r="G1402">
        <f t="shared" si="221"/>
        <v>21.572727272727271</v>
      </c>
      <c r="H1402">
        <f t="shared" si="221"/>
        <v>20.127272727272729</v>
      </c>
      <c r="I1402">
        <f t="shared" si="221"/>
        <v>1.4454545454545453</v>
      </c>
      <c r="J1402">
        <f t="shared" si="221"/>
        <v>6.8181818181818183</v>
      </c>
      <c r="K1402">
        <f t="shared" si="221"/>
        <v>124.96363636363635</v>
      </c>
      <c r="L1402">
        <f t="shared" si="221"/>
        <v>348.76363636363635</v>
      </c>
      <c r="M1402">
        <f t="shared" si="221"/>
        <v>383.63636363636363</v>
      </c>
      <c r="N1402">
        <f t="shared" si="221"/>
        <v>373.09090909090907</v>
      </c>
      <c r="O1402">
        <f t="shared" si="221"/>
        <v>523.5</v>
      </c>
      <c r="P1402">
        <f t="shared" si="221"/>
        <v>144.5</v>
      </c>
      <c r="Q1402">
        <f t="shared" si="221"/>
        <v>310</v>
      </c>
      <c r="R1402">
        <f t="shared" si="221"/>
        <v>521.72727272727275</v>
      </c>
      <c r="S1402">
        <f t="shared" si="221"/>
        <v>211.72727272727272</v>
      </c>
      <c r="T1402">
        <f t="shared" si="221"/>
        <v>247.25454545454548</v>
      </c>
      <c r="U1402">
        <f t="shared" si="221"/>
        <v>401.54545454545456</v>
      </c>
      <c r="V1402">
        <f t="shared" si="221"/>
        <v>393.09090909090907</v>
      </c>
    </row>
    <row r="1403" spans="1:24" hidden="1" outlineLevel="2" x14ac:dyDescent="0.25">
      <c r="A1403" t="str">
        <f t="shared" ref="A1403:A1413" si="222">CONCATENATE(B1403," - ",E1403)</f>
        <v>AK9 - 1993</v>
      </c>
      <c r="B1403" t="s">
        <v>38</v>
      </c>
      <c r="C1403">
        <v>1</v>
      </c>
      <c r="D1403">
        <v>8</v>
      </c>
      <c r="E1403">
        <v>1993</v>
      </c>
      <c r="F1403">
        <v>96.3</v>
      </c>
      <c r="G1403">
        <v>11.4</v>
      </c>
      <c r="H1403">
        <v>11.1</v>
      </c>
      <c r="I1403">
        <v>0.3</v>
      </c>
      <c r="J1403">
        <v>2</v>
      </c>
      <c r="K1403">
        <v>64.900000000000006</v>
      </c>
      <c r="L1403">
        <v>291.3</v>
      </c>
      <c r="M1403">
        <v>323</v>
      </c>
      <c r="N1403">
        <v>318</v>
      </c>
      <c r="O1403">
        <v>502</v>
      </c>
      <c r="P1403">
        <v>184</v>
      </c>
      <c r="Q1403">
        <v>269</v>
      </c>
      <c r="R1403">
        <v>502</v>
      </c>
      <c r="S1403">
        <v>233</v>
      </c>
      <c r="T1403">
        <v>170.1</v>
      </c>
      <c r="U1403">
        <v>401</v>
      </c>
      <c r="V1403">
        <v>383</v>
      </c>
      <c r="W1403">
        <v>500</v>
      </c>
      <c r="X1403">
        <v>2.79</v>
      </c>
    </row>
    <row r="1404" spans="1:24" hidden="1" outlineLevel="2" x14ac:dyDescent="0.25">
      <c r="A1404" t="str">
        <f t="shared" si="222"/>
        <v>AK9 - 1993</v>
      </c>
      <c r="B1404" t="s">
        <v>38</v>
      </c>
      <c r="C1404">
        <v>3</v>
      </c>
      <c r="D1404">
        <v>8</v>
      </c>
      <c r="E1404">
        <v>1993</v>
      </c>
      <c r="F1404">
        <v>93.5</v>
      </c>
      <c r="G1404">
        <v>14.7</v>
      </c>
      <c r="H1404">
        <v>14.1</v>
      </c>
      <c r="I1404">
        <v>0.6</v>
      </c>
      <c r="J1404">
        <v>4</v>
      </c>
      <c r="K1404">
        <v>79.599999999999994</v>
      </c>
      <c r="L1404">
        <v>274.60000000000002</v>
      </c>
      <c r="M1404">
        <v>387</v>
      </c>
      <c r="N1404">
        <v>382</v>
      </c>
      <c r="O1404">
        <v>501</v>
      </c>
      <c r="P1404">
        <v>119</v>
      </c>
      <c r="Q1404">
        <v>300</v>
      </c>
      <c r="R1404">
        <v>502</v>
      </c>
      <c r="S1404">
        <v>202</v>
      </c>
      <c r="T1404">
        <v>227.4</v>
      </c>
      <c r="U1404">
        <v>423</v>
      </c>
      <c r="V1404">
        <v>424</v>
      </c>
      <c r="W1404">
        <v>500</v>
      </c>
      <c r="X1404">
        <v>2.79</v>
      </c>
    </row>
    <row r="1405" spans="1:24" hidden="1" outlineLevel="2" x14ac:dyDescent="0.25">
      <c r="A1405" t="str">
        <f t="shared" si="222"/>
        <v>AK9 - 1993</v>
      </c>
      <c r="B1405" t="s">
        <v>38</v>
      </c>
      <c r="C1405">
        <v>4</v>
      </c>
      <c r="D1405">
        <v>8</v>
      </c>
      <c r="E1405">
        <v>1993</v>
      </c>
      <c r="F1405">
        <v>78.5</v>
      </c>
      <c r="G1405">
        <v>20.100000000000001</v>
      </c>
      <c r="H1405">
        <v>18.899999999999999</v>
      </c>
      <c r="I1405">
        <v>1.2</v>
      </c>
      <c r="J1405">
        <v>5</v>
      </c>
      <c r="K1405">
        <v>86.4</v>
      </c>
      <c r="L1405">
        <v>193.6</v>
      </c>
      <c r="M1405">
        <v>383</v>
      </c>
      <c r="N1405">
        <v>374</v>
      </c>
      <c r="O1405">
        <v>518</v>
      </c>
      <c r="P1405">
        <v>144</v>
      </c>
      <c r="Q1405">
        <v>305</v>
      </c>
      <c r="R1405">
        <v>544</v>
      </c>
      <c r="S1405">
        <v>239</v>
      </c>
      <c r="T1405">
        <v>244.8</v>
      </c>
      <c r="U1405">
        <v>388</v>
      </c>
      <c r="V1405">
        <v>385</v>
      </c>
      <c r="W1405">
        <v>500</v>
      </c>
      <c r="X1405">
        <v>2.79</v>
      </c>
    </row>
    <row r="1406" spans="1:24" hidden="1" outlineLevel="2" x14ac:dyDescent="0.25">
      <c r="A1406" t="str">
        <f t="shared" si="222"/>
        <v>AK9 - 1993</v>
      </c>
      <c r="B1406" t="s">
        <v>38</v>
      </c>
      <c r="C1406">
        <v>5</v>
      </c>
      <c r="D1406">
        <v>8</v>
      </c>
      <c r="E1406">
        <v>1993</v>
      </c>
      <c r="F1406">
        <v>94.1</v>
      </c>
      <c r="G1406">
        <v>21.3</v>
      </c>
      <c r="H1406">
        <v>17.7</v>
      </c>
      <c r="I1406">
        <v>3.6</v>
      </c>
      <c r="J1406">
        <v>16</v>
      </c>
      <c r="K1406">
        <v>111.7</v>
      </c>
      <c r="L1406">
        <v>278.2</v>
      </c>
      <c r="M1406">
        <v>403</v>
      </c>
      <c r="N1406">
        <v>378</v>
      </c>
      <c r="O1406">
        <v>526</v>
      </c>
      <c r="P1406">
        <v>148</v>
      </c>
      <c r="Q1406">
        <v>316</v>
      </c>
      <c r="R1406">
        <v>553</v>
      </c>
      <c r="S1406">
        <v>237</v>
      </c>
      <c r="T1406">
        <v>244.5</v>
      </c>
      <c r="U1406">
        <v>434</v>
      </c>
      <c r="V1406">
        <v>429</v>
      </c>
      <c r="W1406">
        <v>500</v>
      </c>
      <c r="X1406">
        <v>2.79</v>
      </c>
    </row>
    <row r="1407" spans="1:24" hidden="1" outlineLevel="2" x14ac:dyDescent="0.25">
      <c r="A1407" t="str">
        <f t="shared" si="222"/>
        <v>AK9 - 1993</v>
      </c>
      <c r="B1407" t="s">
        <v>38</v>
      </c>
      <c r="C1407">
        <v>6</v>
      </c>
      <c r="D1407">
        <v>7</v>
      </c>
      <c r="E1407">
        <v>1993</v>
      </c>
      <c r="F1407">
        <v>131</v>
      </c>
      <c r="G1407">
        <v>19.5</v>
      </c>
      <c r="H1407">
        <v>18</v>
      </c>
      <c r="I1407">
        <v>1.5</v>
      </c>
      <c r="J1407">
        <v>7</v>
      </c>
      <c r="K1407">
        <v>148.6</v>
      </c>
      <c r="L1407">
        <v>539.1</v>
      </c>
      <c r="M1407">
        <v>375</v>
      </c>
      <c r="N1407">
        <v>363</v>
      </c>
      <c r="O1407">
        <v>512</v>
      </c>
      <c r="P1407">
        <v>149</v>
      </c>
      <c r="Q1407">
        <v>289</v>
      </c>
      <c r="R1407">
        <v>524</v>
      </c>
      <c r="S1407">
        <v>235</v>
      </c>
      <c r="T1407">
        <v>256.8</v>
      </c>
      <c r="U1407">
        <v>400</v>
      </c>
      <c r="V1407">
        <v>395</v>
      </c>
      <c r="W1407">
        <v>500</v>
      </c>
      <c r="X1407">
        <v>2.79</v>
      </c>
    </row>
    <row r="1408" spans="1:24" hidden="1" outlineLevel="2" x14ac:dyDescent="0.25">
      <c r="A1408" t="str">
        <f t="shared" si="222"/>
        <v>AK9 - 1993</v>
      </c>
      <c r="B1408" t="s">
        <v>38</v>
      </c>
      <c r="C1408">
        <v>7</v>
      </c>
      <c r="D1408">
        <v>8</v>
      </c>
      <c r="E1408">
        <v>1993</v>
      </c>
      <c r="F1408">
        <v>140.1</v>
      </c>
      <c r="G1408">
        <v>17.100000000000001</v>
      </c>
      <c r="H1408">
        <v>15</v>
      </c>
      <c r="I1408">
        <v>2.1</v>
      </c>
      <c r="J1408">
        <v>12</v>
      </c>
      <c r="K1408">
        <v>141.30000000000001</v>
      </c>
      <c r="L1408">
        <v>616.6</v>
      </c>
      <c r="M1408">
        <v>378</v>
      </c>
      <c r="N1408">
        <v>359</v>
      </c>
      <c r="O1408">
        <v>514</v>
      </c>
      <c r="P1408">
        <v>155</v>
      </c>
      <c r="Q1408">
        <v>303</v>
      </c>
      <c r="R1408">
        <v>533</v>
      </c>
      <c r="S1408">
        <v>230</v>
      </c>
      <c r="T1408">
        <v>245.7</v>
      </c>
      <c r="U1408">
        <v>401</v>
      </c>
      <c r="V1408">
        <v>390</v>
      </c>
      <c r="W1408">
        <v>500</v>
      </c>
      <c r="X1408">
        <v>2.79</v>
      </c>
    </row>
    <row r="1409" spans="1:24" hidden="1" outlineLevel="2" x14ac:dyDescent="0.25">
      <c r="A1409" t="str">
        <f t="shared" si="222"/>
        <v>AK9 - 1993</v>
      </c>
      <c r="B1409" t="s">
        <v>38</v>
      </c>
      <c r="C1409">
        <v>8</v>
      </c>
      <c r="D1409">
        <v>8</v>
      </c>
      <c r="E1409">
        <v>1993</v>
      </c>
      <c r="F1409">
        <v>166.4</v>
      </c>
      <c r="G1409">
        <v>26.1</v>
      </c>
      <c r="H1409">
        <v>26.1</v>
      </c>
      <c r="I1409">
        <v>0</v>
      </c>
      <c r="J1409">
        <v>0</v>
      </c>
      <c r="K1409">
        <v>251.5</v>
      </c>
      <c r="L1409">
        <v>869.9</v>
      </c>
      <c r="M1409">
        <v>354</v>
      </c>
      <c r="N1409">
        <v>354</v>
      </c>
      <c r="Q1409">
        <v>274</v>
      </c>
      <c r="R1409">
        <v>487</v>
      </c>
      <c r="S1409">
        <v>213</v>
      </c>
      <c r="T1409">
        <v>249</v>
      </c>
      <c r="U1409">
        <v>395</v>
      </c>
      <c r="V1409">
        <v>365</v>
      </c>
      <c r="W1409">
        <v>500</v>
      </c>
      <c r="X1409">
        <v>2.79</v>
      </c>
    </row>
    <row r="1410" spans="1:24" hidden="1" outlineLevel="2" x14ac:dyDescent="0.25">
      <c r="A1410" t="str">
        <f t="shared" si="222"/>
        <v>AK9 - 1993</v>
      </c>
      <c r="B1410" t="s">
        <v>38</v>
      </c>
      <c r="C1410">
        <v>10</v>
      </c>
      <c r="D1410">
        <v>8</v>
      </c>
      <c r="E1410">
        <v>1993</v>
      </c>
      <c r="F1410">
        <v>129.9</v>
      </c>
      <c r="G1410">
        <v>18.600000000000001</v>
      </c>
      <c r="H1410">
        <v>17.7</v>
      </c>
      <c r="I1410">
        <v>0.9</v>
      </c>
      <c r="J1410">
        <v>4</v>
      </c>
      <c r="K1410">
        <v>140.9</v>
      </c>
      <c r="L1410">
        <v>530.1</v>
      </c>
      <c r="M1410">
        <v>390</v>
      </c>
      <c r="N1410">
        <v>384</v>
      </c>
      <c r="O1410">
        <v>505</v>
      </c>
      <c r="P1410">
        <v>121</v>
      </c>
      <c r="Q1410">
        <v>338</v>
      </c>
      <c r="R1410">
        <v>508</v>
      </c>
      <c r="S1410">
        <v>170</v>
      </c>
      <c r="T1410">
        <v>289.5</v>
      </c>
      <c r="U1410">
        <v>393</v>
      </c>
      <c r="V1410">
        <v>393</v>
      </c>
      <c r="W1410">
        <v>500</v>
      </c>
      <c r="X1410">
        <v>2.79</v>
      </c>
    </row>
    <row r="1411" spans="1:24" hidden="1" outlineLevel="2" x14ac:dyDescent="0.25">
      <c r="A1411" t="str">
        <f t="shared" si="222"/>
        <v>AK9 - 1993</v>
      </c>
      <c r="B1411" t="s">
        <v>38</v>
      </c>
      <c r="C1411">
        <v>11</v>
      </c>
      <c r="D1411">
        <v>8</v>
      </c>
      <c r="E1411">
        <v>1993</v>
      </c>
      <c r="F1411">
        <v>165.5</v>
      </c>
      <c r="G1411">
        <v>21.3</v>
      </c>
      <c r="H1411">
        <v>21</v>
      </c>
      <c r="I1411">
        <v>0.3</v>
      </c>
      <c r="J1411">
        <v>1</v>
      </c>
      <c r="K1411">
        <v>207.2</v>
      </c>
      <c r="L1411">
        <v>860.5</v>
      </c>
      <c r="M1411">
        <v>362</v>
      </c>
      <c r="N1411">
        <v>360</v>
      </c>
      <c r="O1411">
        <v>502</v>
      </c>
      <c r="P1411">
        <v>142</v>
      </c>
      <c r="Q1411">
        <v>295</v>
      </c>
      <c r="R1411">
        <v>502</v>
      </c>
      <c r="S1411">
        <v>207</v>
      </c>
      <c r="T1411">
        <v>331.8</v>
      </c>
      <c r="U1411">
        <v>389</v>
      </c>
      <c r="V1411">
        <v>385</v>
      </c>
      <c r="W1411">
        <v>500</v>
      </c>
      <c r="X1411">
        <v>2.79</v>
      </c>
    </row>
    <row r="1412" spans="1:24" hidden="1" outlineLevel="2" x14ac:dyDescent="0.25">
      <c r="A1412" t="str">
        <f t="shared" si="222"/>
        <v>AK9 - 1993</v>
      </c>
      <c r="B1412" t="s">
        <v>38</v>
      </c>
      <c r="C1412">
        <v>13</v>
      </c>
      <c r="D1412">
        <v>8</v>
      </c>
      <c r="E1412">
        <v>1993</v>
      </c>
      <c r="F1412">
        <v>135.19999999999999</v>
      </c>
      <c r="G1412">
        <v>19.8</v>
      </c>
      <c r="H1412">
        <v>18.899999999999999</v>
      </c>
      <c r="I1412">
        <v>0.9</v>
      </c>
      <c r="J1412">
        <v>4</v>
      </c>
      <c r="K1412">
        <v>155.9</v>
      </c>
      <c r="L1412">
        <v>574.29999999999995</v>
      </c>
      <c r="M1412">
        <v>376</v>
      </c>
      <c r="N1412">
        <v>369</v>
      </c>
      <c r="O1412">
        <v>519</v>
      </c>
      <c r="P1412">
        <v>150</v>
      </c>
      <c r="Q1412">
        <v>285</v>
      </c>
      <c r="R1412">
        <v>528</v>
      </c>
      <c r="S1412">
        <v>243</v>
      </c>
      <c r="T1412">
        <v>286.8</v>
      </c>
      <c r="U1412">
        <v>408</v>
      </c>
      <c r="V1412">
        <v>398</v>
      </c>
      <c r="W1412">
        <v>500</v>
      </c>
      <c r="X1412">
        <v>2.79</v>
      </c>
    </row>
    <row r="1413" spans="1:24" hidden="1" outlineLevel="2" x14ac:dyDescent="0.25">
      <c r="A1413" t="str">
        <f t="shared" si="222"/>
        <v>AK9 - 1993</v>
      </c>
      <c r="B1413" t="s">
        <v>38</v>
      </c>
      <c r="C1413">
        <v>14</v>
      </c>
      <c r="D1413">
        <v>8</v>
      </c>
      <c r="E1413">
        <v>1993</v>
      </c>
      <c r="F1413">
        <v>102.7</v>
      </c>
      <c r="G1413">
        <v>23.7</v>
      </c>
      <c r="H1413">
        <v>22.2</v>
      </c>
      <c r="I1413">
        <v>1.5</v>
      </c>
      <c r="J1413">
        <v>6</v>
      </c>
      <c r="K1413">
        <v>135.30000000000001</v>
      </c>
      <c r="L1413">
        <v>331.4</v>
      </c>
      <c r="M1413">
        <v>374</v>
      </c>
      <c r="N1413">
        <v>365</v>
      </c>
      <c r="O1413">
        <v>511</v>
      </c>
      <c r="P1413">
        <v>146</v>
      </c>
      <c r="Q1413">
        <v>295</v>
      </c>
      <c r="R1413">
        <v>524</v>
      </c>
      <c r="S1413">
        <v>229</v>
      </c>
      <c r="T1413">
        <v>173.4</v>
      </c>
      <c r="U1413">
        <v>385</v>
      </c>
      <c r="V1413">
        <v>377</v>
      </c>
      <c r="W1413">
        <v>500</v>
      </c>
      <c r="X1413">
        <v>2.79</v>
      </c>
    </row>
    <row r="1414" spans="1:24" outlineLevel="1" collapsed="1" x14ac:dyDescent="0.25">
      <c r="A1414" s="8" t="s">
        <v>149</v>
      </c>
      <c r="D1414">
        <f t="shared" ref="D1414:V1414" si="223">SUBTOTAL(1,D1403:D1413)</f>
        <v>7.9090909090909092</v>
      </c>
      <c r="E1414">
        <f t="shared" si="223"/>
        <v>1993</v>
      </c>
      <c r="F1414">
        <f t="shared" si="223"/>
        <v>121.2</v>
      </c>
      <c r="G1414">
        <f t="shared" si="223"/>
        <v>19.418181818181818</v>
      </c>
      <c r="H1414">
        <f t="shared" si="223"/>
        <v>18.245454545454546</v>
      </c>
      <c r="I1414">
        <f t="shared" si="223"/>
        <v>1.1727272727272728</v>
      </c>
      <c r="J1414">
        <f t="shared" si="223"/>
        <v>5.5454545454545459</v>
      </c>
      <c r="K1414">
        <f t="shared" si="223"/>
        <v>138.4818181818182</v>
      </c>
      <c r="L1414">
        <f t="shared" si="223"/>
        <v>487.23636363636359</v>
      </c>
      <c r="M1414">
        <f t="shared" si="223"/>
        <v>373.18181818181819</v>
      </c>
      <c r="N1414">
        <f t="shared" si="223"/>
        <v>364.18181818181819</v>
      </c>
      <c r="O1414">
        <f t="shared" si="223"/>
        <v>511</v>
      </c>
      <c r="P1414">
        <f t="shared" si="223"/>
        <v>145.80000000000001</v>
      </c>
      <c r="Q1414">
        <f t="shared" si="223"/>
        <v>297.18181818181819</v>
      </c>
      <c r="R1414">
        <f t="shared" si="223"/>
        <v>518.81818181818187</v>
      </c>
      <c r="S1414">
        <f t="shared" si="223"/>
        <v>221.63636363636363</v>
      </c>
      <c r="T1414">
        <f t="shared" si="223"/>
        <v>247.25454545454548</v>
      </c>
      <c r="U1414">
        <f t="shared" si="223"/>
        <v>401.54545454545456</v>
      </c>
      <c r="V1414">
        <f t="shared" si="223"/>
        <v>393.09090909090907</v>
      </c>
    </row>
    <row r="1415" spans="1:24" hidden="1" outlineLevel="2" x14ac:dyDescent="0.25">
      <c r="A1415" t="str">
        <f t="shared" ref="A1415:A1425" si="224">CONCATENATE(B1415," - ",E1415)</f>
        <v>AK9 - 1994</v>
      </c>
      <c r="B1415" t="s">
        <v>38</v>
      </c>
      <c r="C1415">
        <v>1</v>
      </c>
      <c r="D1415">
        <v>9</v>
      </c>
      <c r="E1415">
        <v>1994</v>
      </c>
      <c r="F1415">
        <v>104.7</v>
      </c>
      <c r="G1415">
        <v>8.4</v>
      </c>
      <c r="H1415">
        <v>7.5</v>
      </c>
      <c r="I1415">
        <v>0.9</v>
      </c>
      <c r="J1415">
        <v>10</v>
      </c>
      <c r="K1415">
        <v>53</v>
      </c>
      <c r="L1415">
        <v>344.4</v>
      </c>
      <c r="M1415">
        <v>382</v>
      </c>
      <c r="N1415">
        <v>366</v>
      </c>
      <c r="O1415">
        <v>521</v>
      </c>
      <c r="P1415">
        <v>155</v>
      </c>
      <c r="Q1415">
        <v>286</v>
      </c>
      <c r="R1415">
        <v>538</v>
      </c>
      <c r="S1415">
        <v>252</v>
      </c>
      <c r="T1415">
        <v>170.1</v>
      </c>
      <c r="U1415">
        <v>401</v>
      </c>
      <c r="V1415">
        <v>383</v>
      </c>
      <c r="W1415">
        <v>500</v>
      </c>
      <c r="X1415">
        <v>2.79</v>
      </c>
    </row>
    <row r="1416" spans="1:24" hidden="1" outlineLevel="2" x14ac:dyDescent="0.25">
      <c r="A1416" t="str">
        <f t="shared" si="224"/>
        <v>AK9 - 1994</v>
      </c>
      <c r="B1416" t="s">
        <v>38</v>
      </c>
      <c r="C1416">
        <v>3</v>
      </c>
      <c r="D1416">
        <v>9</v>
      </c>
      <c r="E1416">
        <v>1994</v>
      </c>
      <c r="F1416">
        <v>108.2</v>
      </c>
      <c r="G1416">
        <v>14.7</v>
      </c>
      <c r="H1416">
        <v>14.1</v>
      </c>
      <c r="I1416">
        <v>0.6</v>
      </c>
      <c r="J1416">
        <v>4</v>
      </c>
      <c r="K1416">
        <v>93.1</v>
      </c>
      <c r="L1416">
        <v>367.8</v>
      </c>
      <c r="M1416">
        <v>398</v>
      </c>
      <c r="N1416">
        <v>393</v>
      </c>
      <c r="O1416">
        <v>516</v>
      </c>
      <c r="P1416">
        <v>123</v>
      </c>
      <c r="Q1416">
        <v>316</v>
      </c>
      <c r="R1416">
        <v>533</v>
      </c>
      <c r="S1416">
        <v>217</v>
      </c>
      <c r="T1416">
        <v>227.4</v>
      </c>
      <c r="U1416">
        <v>423</v>
      </c>
      <c r="V1416">
        <v>424</v>
      </c>
      <c r="W1416">
        <v>500</v>
      </c>
      <c r="X1416">
        <v>2.79</v>
      </c>
    </row>
    <row r="1417" spans="1:24" hidden="1" outlineLevel="2" x14ac:dyDescent="0.25">
      <c r="A1417" t="str">
        <f t="shared" si="224"/>
        <v>AK9 - 1994</v>
      </c>
      <c r="B1417" t="s">
        <v>38</v>
      </c>
      <c r="C1417">
        <v>4</v>
      </c>
      <c r="D1417">
        <v>9</v>
      </c>
      <c r="E1417">
        <v>1994</v>
      </c>
      <c r="F1417">
        <v>98</v>
      </c>
      <c r="G1417">
        <v>19.5</v>
      </c>
      <c r="H1417">
        <v>18.600000000000001</v>
      </c>
      <c r="I1417">
        <v>0.9</v>
      </c>
      <c r="J1417">
        <v>4</v>
      </c>
      <c r="K1417">
        <v>108.1</v>
      </c>
      <c r="L1417">
        <v>301.7</v>
      </c>
      <c r="M1417">
        <v>378</v>
      </c>
      <c r="N1417">
        <v>371</v>
      </c>
      <c r="O1417">
        <v>516</v>
      </c>
      <c r="P1417">
        <v>145</v>
      </c>
      <c r="Q1417">
        <v>303</v>
      </c>
      <c r="R1417">
        <v>526</v>
      </c>
      <c r="S1417">
        <v>223</v>
      </c>
      <c r="T1417">
        <v>244.8</v>
      </c>
      <c r="U1417">
        <v>388</v>
      </c>
      <c r="V1417">
        <v>385</v>
      </c>
      <c r="W1417">
        <v>500</v>
      </c>
      <c r="X1417">
        <v>2.79</v>
      </c>
    </row>
    <row r="1418" spans="1:24" hidden="1" outlineLevel="2" x14ac:dyDescent="0.25">
      <c r="A1418" t="str">
        <f t="shared" si="224"/>
        <v>AK9 - 1994</v>
      </c>
      <c r="B1418" t="s">
        <v>38</v>
      </c>
      <c r="C1418">
        <v>5</v>
      </c>
      <c r="D1418">
        <v>9</v>
      </c>
      <c r="E1418">
        <v>1994</v>
      </c>
      <c r="F1418">
        <v>113</v>
      </c>
      <c r="G1418">
        <v>18.899999999999999</v>
      </c>
      <c r="H1418">
        <v>16.2</v>
      </c>
      <c r="I1418">
        <v>2.7</v>
      </c>
      <c r="J1418">
        <v>14</v>
      </c>
      <c r="K1418">
        <v>123</v>
      </c>
      <c r="L1418">
        <v>401.1</v>
      </c>
      <c r="M1418">
        <v>393</v>
      </c>
      <c r="N1418">
        <v>372</v>
      </c>
      <c r="O1418">
        <v>514</v>
      </c>
      <c r="P1418">
        <v>142</v>
      </c>
      <c r="Q1418">
        <v>312</v>
      </c>
      <c r="R1418">
        <v>537</v>
      </c>
      <c r="S1418">
        <v>225</v>
      </c>
      <c r="T1418">
        <v>244.5</v>
      </c>
      <c r="U1418">
        <v>434</v>
      </c>
      <c r="V1418">
        <v>429</v>
      </c>
      <c r="W1418">
        <v>500</v>
      </c>
      <c r="X1418">
        <v>2.79</v>
      </c>
    </row>
    <row r="1419" spans="1:24" hidden="1" outlineLevel="2" x14ac:dyDescent="0.25">
      <c r="A1419" t="str">
        <f t="shared" si="224"/>
        <v>AK9 - 1994</v>
      </c>
      <c r="B1419" t="s">
        <v>38</v>
      </c>
      <c r="C1419">
        <v>6</v>
      </c>
      <c r="D1419">
        <v>8</v>
      </c>
      <c r="E1419">
        <v>1994</v>
      </c>
      <c r="F1419">
        <v>150.80000000000001</v>
      </c>
      <c r="G1419">
        <v>19.8</v>
      </c>
      <c r="H1419">
        <v>18.600000000000001</v>
      </c>
      <c r="I1419">
        <v>1.2</v>
      </c>
      <c r="J1419">
        <v>6</v>
      </c>
      <c r="K1419">
        <v>175.3</v>
      </c>
      <c r="L1419">
        <v>714.4</v>
      </c>
      <c r="M1419">
        <v>382</v>
      </c>
      <c r="N1419">
        <v>373</v>
      </c>
      <c r="O1419">
        <v>518</v>
      </c>
      <c r="P1419">
        <v>145</v>
      </c>
      <c r="Q1419">
        <v>301</v>
      </c>
      <c r="R1419">
        <v>528</v>
      </c>
      <c r="S1419">
        <v>227</v>
      </c>
      <c r="T1419">
        <v>256.8</v>
      </c>
      <c r="U1419">
        <v>400</v>
      </c>
      <c r="V1419">
        <v>395</v>
      </c>
      <c r="W1419">
        <v>500</v>
      </c>
      <c r="X1419">
        <v>2.79</v>
      </c>
    </row>
    <row r="1420" spans="1:24" hidden="1" outlineLevel="2" x14ac:dyDescent="0.25">
      <c r="A1420" t="str">
        <f t="shared" si="224"/>
        <v>AK9 - 1994</v>
      </c>
      <c r="B1420" t="s">
        <v>38</v>
      </c>
      <c r="C1420">
        <v>7</v>
      </c>
      <c r="D1420">
        <v>9</v>
      </c>
      <c r="E1420">
        <v>1994</v>
      </c>
      <c r="F1420">
        <v>156</v>
      </c>
      <c r="G1420">
        <v>15.9</v>
      </c>
      <c r="H1420">
        <v>14.4</v>
      </c>
      <c r="I1420">
        <v>1.5</v>
      </c>
      <c r="J1420">
        <v>9</v>
      </c>
      <c r="K1420">
        <v>147.9</v>
      </c>
      <c r="L1420">
        <v>764.5</v>
      </c>
      <c r="M1420">
        <v>396</v>
      </c>
      <c r="N1420">
        <v>383</v>
      </c>
      <c r="O1420">
        <v>520</v>
      </c>
      <c r="P1420">
        <v>137</v>
      </c>
      <c r="Q1420">
        <v>316</v>
      </c>
      <c r="R1420">
        <v>538</v>
      </c>
      <c r="S1420">
        <v>222</v>
      </c>
      <c r="T1420">
        <v>245.7</v>
      </c>
      <c r="U1420">
        <v>401</v>
      </c>
      <c r="V1420">
        <v>390</v>
      </c>
      <c r="W1420">
        <v>500</v>
      </c>
      <c r="X1420">
        <v>2.79</v>
      </c>
    </row>
    <row r="1421" spans="1:24" hidden="1" outlineLevel="2" x14ac:dyDescent="0.25">
      <c r="A1421" t="str">
        <f t="shared" si="224"/>
        <v>AK9 - 1994</v>
      </c>
      <c r="B1421" t="s">
        <v>38</v>
      </c>
      <c r="C1421">
        <v>8</v>
      </c>
      <c r="D1421">
        <v>9</v>
      </c>
      <c r="E1421">
        <v>1994</v>
      </c>
      <c r="F1421">
        <v>188.6</v>
      </c>
      <c r="G1421">
        <v>22.2</v>
      </c>
      <c r="H1421">
        <v>21.3</v>
      </c>
      <c r="I1421">
        <v>0.9</v>
      </c>
      <c r="J1421">
        <v>4</v>
      </c>
      <c r="K1421">
        <v>247.6</v>
      </c>
      <c r="L1421">
        <v>1117.5</v>
      </c>
      <c r="M1421">
        <v>342</v>
      </c>
      <c r="N1421">
        <v>335</v>
      </c>
      <c r="O1421">
        <v>513</v>
      </c>
      <c r="P1421">
        <v>178</v>
      </c>
      <c r="Q1421">
        <v>255</v>
      </c>
      <c r="R1421">
        <v>522</v>
      </c>
      <c r="S1421">
        <v>267</v>
      </c>
      <c r="T1421">
        <v>249</v>
      </c>
      <c r="U1421">
        <v>395</v>
      </c>
      <c r="V1421">
        <v>365</v>
      </c>
      <c r="W1421">
        <v>500</v>
      </c>
      <c r="X1421">
        <v>2.79</v>
      </c>
    </row>
    <row r="1422" spans="1:24" hidden="1" outlineLevel="2" x14ac:dyDescent="0.25">
      <c r="A1422" t="str">
        <f t="shared" si="224"/>
        <v>AK9 - 1994</v>
      </c>
      <c r="B1422" t="s">
        <v>38</v>
      </c>
      <c r="C1422">
        <v>10</v>
      </c>
      <c r="D1422">
        <v>9</v>
      </c>
      <c r="E1422">
        <v>1994</v>
      </c>
      <c r="F1422">
        <v>147</v>
      </c>
      <c r="G1422">
        <v>17.100000000000001</v>
      </c>
      <c r="H1422">
        <v>16.5</v>
      </c>
      <c r="I1422">
        <v>0.6</v>
      </c>
      <c r="J1422">
        <v>3</v>
      </c>
      <c r="K1422">
        <v>148.80000000000001</v>
      </c>
      <c r="L1422">
        <v>678.9</v>
      </c>
      <c r="M1422">
        <v>391</v>
      </c>
      <c r="N1422">
        <v>387</v>
      </c>
      <c r="O1422">
        <v>509</v>
      </c>
      <c r="P1422">
        <v>122</v>
      </c>
      <c r="Q1422">
        <v>322</v>
      </c>
      <c r="R1422">
        <v>518</v>
      </c>
      <c r="S1422">
        <v>196</v>
      </c>
      <c r="T1422">
        <v>289.5</v>
      </c>
      <c r="U1422">
        <v>393</v>
      </c>
      <c r="V1422">
        <v>393</v>
      </c>
      <c r="W1422">
        <v>500</v>
      </c>
      <c r="X1422">
        <v>2.79</v>
      </c>
    </row>
    <row r="1423" spans="1:24" hidden="1" outlineLevel="2" x14ac:dyDescent="0.25">
      <c r="A1423" t="str">
        <f t="shared" si="224"/>
        <v>AK9 - 1994</v>
      </c>
      <c r="B1423" t="s">
        <v>38</v>
      </c>
      <c r="C1423">
        <v>11</v>
      </c>
      <c r="D1423">
        <v>9</v>
      </c>
      <c r="E1423">
        <v>1994</v>
      </c>
      <c r="F1423">
        <v>188.6</v>
      </c>
      <c r="G1423">
        <v>23.1</v>
      </c>
      <c r="H1423">
        <v>22.8</v>
      </c>
      <c r="I1423">
        <v>0.3</v>
      </c>
      <c r="J1423">
        <v>1</v>
      </c>
      <c r="K1423">
        <v>257</v>
      </c>
      <c r="L1423">
        <v>1117.5</v>
      </c>
      <c r="M1423">
        <v>377</v>
      </c>
      <c r="N1423">
        <v>375</v>
      </c>
      <c r="O1423">
        <v>509</v>
      </c>
      <c r="P1423">
        <v>134</v>
      </c>
      <c r="Q1423">
        <v>271</v>
      </c>
      <c r="R1423">
        <v>509</v>
      </c>
      <c r="S1423">
        <v>238</v>
      </c>
      <c r="T1423">
        <v>331.8</v>
      </c>
      <c r="U1423">
        <v>389</v>
      </c>
      <c r="V1423">
        <v>385</v>
      </c>
      <c r="W1423">
        <v>500</v>
      </c>
      <c r="X1423">
        <v>2.79</v>
      </c>
    </row>
    <row r="1424" spans="1:24" hidden="1" outlineLevel="2" x14ac:dyDescent="0.25">
      <c r="A1424" t="str">
        <f t="shared" si="224"/>
        <v>AK9 - 1994</v>
      </c>
      <c r="B1424" t="s">
        <v>38</v>
      </c>
      <c r="C1424">
        <v>13</v>
      </c>
      <c r="D1424">
        <v>9</v>
      </c>
      <c r="E1424">
        <v>1994</v>
      </c>
      <c r="F1424">
        <v>157.1</v>
      </c>
      <c r="G1424">
        <v>21.9</v>
      </c>
      <c r="H1424">
        <v>21.6</v>
      </c>
      <c r="I1424">
        <v>0.3</v>
      </c>
      <c r="J1424">
        <v>1</v>
      </c>
      <c r="K1424">
        <v>201.1</v>
      </c>
      <c r="L1424">
        <v>775.4</v>
      </c>
      <c r="M1424">
        <v>390</v>
      </c>
      <c r="N1424">
        <v>388</v>
      </c>
      <c r="O1424">
        <v>512</v>
      </c>
      <c r="P1424">
        <v>124</v>
      </c>
      <c r="Q1424">
        <v>301</v>
      </c>
      <c r="R1424">
        <v>512</v>
      </c>
      <c r="S1424">
        <v>211</v>
      </c>
      <c r="T1424">
        <v>286.8</v>
      </c>
      <c r="U1424">
        <v>408</v>
      </c>
      <c r="V1424">
        <v>398</v>
      </c>
      <c r="W1424">
        <v>500</v>
      </c>
      <c r="X1424">
        <v>2.79</v>
      </c>
    </row>
    <row r="1425" spans="1:24" hidden="1" outlineLevel="2" x14ac:dyDescent="0.25">
      <c r="A1425" t="str">
        <f t="shared" si="224"/>
        <v>AK9 - 1994</v>
      </c>
      <c r="B1425" t="s">
        <v>38</v>
      </c>
      <c r="C1425">
        <v>14</v>
      </c>
      <c r="D1425">
        <v>9</v>
      </c>
      <c r="E1425">
        <v>1994</v>
      </c>
      <c r="F1425">
        <v>122.2</v>
      </c>
      <c r="G1425">
        <v>19.5</v>
      </c>
      <c r="H1425">
        <v>19.5</v>
      </c>
      <c r="I1425">
        <v>0</v>
      </c>
      <c r="J1425">
        <v>0</v>
      </c>
      <c r="K1425">
        <v>137.80000000000001</v>
      </c>
      <c r="L1425">
        <v>469.1</v>
      </c>
      <c r="M1425">
        <v>304</v>
      </c>
      <c r="N1425">
        <v>304</v>
      </c>
      <c r="Q1425">
        <v>241</v>
      </c>
      <c r="R1425">
        <v>440</v>
      </c>
      <c r="S1425">
        <v>199</v>
      </c>
      <c r="T1425">
        <v>173.4</v>
      </c>
      <c r="U1425">
        <v>385</v>
      </c>
      <c r="V1425">
        <v>377</v>
      </c>
      <c r="W1425">
        <v>500</v>
      </c>
      <c r="X1425">
        <v>2.79</v>
      </c>
    </row>
    <row r="1426" spans="1:24" outlineLevel="1" collapsed="1" x14ac:dyDescent="0.25">
      <c r="A1426" s="8" t="s">
        <v>150</v>
      </c>
      <c r="D1426">
        <f t="shared" ref="D1426:V1426" si="225">SUBTOTAL(1,D1415:D1425)</f>
        <v>8.9090909090909083</v>
      </c>
      <c r="E1426">
        <f t="shared" si="225"/>
        <v>1994</v>
      </c>
      <c r="F1426">
        <f t="shared" si="225"/>
        <v>139.47272727272727</v>
      </c>
      <c r="G1426">
        <f t="shared" si="225"/>
        <v>18.272727272727273</v>
      </c>
      <c r="H1426">
        <f t="shared" si="225"/>
        <v>17.372727272727271</v>
      </c>
      <c r="I1426">
        <f t="shared" si="225"/>
        <v>0.9</v>
      </c>
      <c r="J1426">
        <f t="shared" si="225"/>
        <v>5.0909090909090908</v>
      </c>
      <c r="K1426">
        <f t="shared" si="225"/>
        <v>153.88181818181818</v>
      </c>
      <c r="L1426">
        <f t="shared" si="225"/>
        <v>641.11818181818182</v>
      </c>
      <c r="M1426">
        <f t="shared" si="225"/>
        <v>375.72727272727275</v>
      </c>
      <c r="N1426">
        <f t="shared" si="225"/>
        <v>367.90909090909093</v>
      </c>
      <c r="O1426">
        <f t="shared" si="225"/>
        <v>514.79999999999995</v>
      </c>
      <c r="P1426">
        <f t="shared" si="225"/>
        <v>140.5</v>
      </c>
      <c r="Q1426">
        <f t="shared" si="225"/>
        <v>293.09090909090907</v>
      </c>
      <c r="R1426">
        <f t="shared" si="225"/>
        <v>518.27272727272725</v>
      </c>
      <c r="S1426">
        <f t="shared" si="225"/>
        <v>225.18181818181819</v>
      </c>
      <c r="T1426">
        <f t="shared" si="225"/>
        <v>247.25454545454548</v>
      </c>
      <c r="U1426">
        <f t="shared" si="225"/>
        <v>401.54545454545456</v>
      </c>
      <c r="V1426">
        <f t="shared" si="225"/>
        <v>393.09090909090907</v>
      </c>
    </row>
    <row r="1427" spans="1:24" hidden="1" outlineLevel="2" x14ac:dyDescent="0.25">
      <c r="A1427" t="str">
        <f t="shared" ref="A1427:A1437" si="226">CONCATENATE(B1427," - ",E1427)</f>
        <v>AK9 - 1995</v>
      </c>
      <c r="B1427" t="s">
        <v>38</v>
      </c>
      <c r="C1427">
        <v>1</v>
      </c>
      <c r="D1427">
        <v>10</v>
      </c>
      <c r="E1427">
        <v>1995</v>
      </c>
      <c r="F1427">
        <v>112.8</v>
      </c>
      <c r="G1427">
        <v>8.1</v>
      </c>
      <c r="H1427">
        <v>6.3</v>
      </c>
      <c r="I1427">
        <v>1.8</v>
      </c>
      <c r="J1427">
        <v>22</v>
      </c>
      <c r="K1427">
        <v>55.3</v>
      </c>
      <c r="L1427">
        <v>399.7</v>
      </c>
      <c r="M1427">
        <v>404</v>
      </c>
      <c r="N1427">
        <v>371</v>
      </c>
      <c r="O1427">
        <v>518</v>
      </c>
      <c r="P1427">
        <v>147</v>
      </c>
      <c r="Q1427">
        <v>314</v>
      </c>
      <c r="R1427">
        <v>552</v>
      </c>
      <c r="S1427">
        <v>238</v>
      </c>
      <c r="T1427">
        <v>170.1</v>
      </c>
      <c r="U1427">
        <v>401</v>
      </c>
      <c r="V1427">
        <v>383</v>
      </c>
      <c r="W1427">
        <v>500</v>
      </c>
      <c r="X1427">
        <v>2.79</v>
      </c>
    </row>
    <row r="1428" spans="1:24" hidden="1" outlineLevel="2" x14ac:dyDescent="0.25">
      <c r="A1428" t="str">
        <f t="shared" si="226"/>
        <v>AK9 - 1995</v>
      </c>
      <c r="B1428" t="s">
        <v>38</v>
      </c>
      <c r="C1428">
        <v>3</v>
      </c>
      <c r="D1428">
        <v>10</v>
      </c>
      <c r="E1428">
        <v>1995</v>
      </c>
      <c r="F1428">
        <v>126.8</v>
      </c>
      <c r="G1428">
        <v>18.600000000000001</v>
      </c>
      <c r="H1428">
        <v>17.100000000000001</v>
      </c>
      <c r="I1428">
        <v>1.5</v>
      </c>
      <c r="J1428">
        <v>8</v>
      </c>
      <c r="K1428">
        <v>137.30000000000001</v>
      </c>
      <c r="L1428">
        <v>505.1</v>
      </c>
      <c r="M1428">
        <v>394</v>
      </c>
      <c r="N1428">
        <v>382</v>
      </c>
      <c r="O1428">
        <v>525</v>
      </c>
      <c r="P1428">
        <v>143</v>
      </c>
      <c r="Q1428">
        <v>290</v>
      </c>
      <c r="R1428">
        <v>541</v>
      </c>
      <c r="S1428">
        <v>251</v>
      </c>
      <c r="T1428">
        <v>227.4</v>
      </c>
      <c r="U1428">
        <v>423</v>
      </c>
      <c r="V1428">
        <v>424</v>
      </c>
      <c r="W1428">
        <v>500</v>
      </c>
      <c r="X1428">
        <v>2.79</v>
      </c>
    </row>
    <row r="1429" spans="1:24" hidden="1" outlineLevel="2" x14ac:dyDescent="0.25">
      <c r="A1429" t="str">
        <f t="shared" si="226"/>
        <v>AK9 - 1995</v>
      </c>
      <c r="B1429" t="s">
        <v>38</v>
      </c>
      <c r="C1429">
        <v>4</v>
      </c>
      <c r="D1429">
        <v>10</v>
      </c>
      <c r="E1429">
        <v>1995</v>
      </c>
      <c r="F1429">
        <v>119.9</v>
      </c>
      <c r="G1429">
        <v>21.9</v>
      </c>
      <c r="H1429">
        <v>21</v>
      </c>
      <c r="I1429">
        <v>0.9</v>
      </c>
      <c r="J1429">
        <v>4</v>
      </c>
      <c r="K1429">
        <v>149.9</v>
      </c>
      <c r="L1429">
        <v>451.6</v>
      </c>
      <c r="M1429">
        <v>366</v>
      </c>
      <c r="N1429">
        <v>358</v>
      </c>
      <c r="O1429">
        <v>533</v>
      </c>
      <c r="P1429">
        <v>175</v>
      </c>
      <c r="Q1429">
        <v>293</v>
      </c>
      <c r="R1429">
        <v>552</v>
      </c>
      <c r="S1429">
        <v>259</v>
      </c>
      <c r="T1429">
        <v>244.8</v>
      </c>
      <c r="U1429">
        <v>388</v>
      </c>
      <c r="V1429">
        <v>385</v>
      </c>
      <c r="W1429">
        <v>500</v>
      </c>
      <c r="X1429">
        <v>2.79</v>
      </c>
    </row>
    <row r="1430" spans="1:24" hidden="1" outlineLevel="2" x14ac:dyDescent="0.25">
      <c r="A1430" t="str">
        <f t="shared" si="226"/>
        <v>AK9 - 1995</v>
      </c>
      <c r="B1430" t="s">
        <v>38</v>
      </c>
      <c r="C1430">
        <v>5</v>
      </c>
      <c r="D1430">
        <v>10</v>
      </c>
      <c r="E1430">
        <v>1995</v>
      </c>
      <c r="F1430">
        <v>131.30000000000001</v>
      </c>
      <c r="G1430">
        <v>18.3</v>
      </c>
      <c r="H1430">
        <v>17.399999999999999</v>
      </c>
      <c r="I1430">
        <v>0.9</v>
      </c>
      <c r="J1430">
        <v>4</v>
      </c>
      <c r="K1430">
        <v>140.5</v>
      </c>
      <c r="L1430">
        <v>541.6</v>
      </c>
      <c r="M1430">
        <v>394</v>
      </c>
      <c r="N1430">
        <v>387</v>
      </c>
      <c r="O1430">
        <v>516</v>
      </c>
      <c r="P1430">
        <v>129</v>
      </c>
      <c r="Q1430">
        <v>325</v>
      </c>
      <c r="R1430">
        <v>522</v>
      </c>
      <c r="S1430">
        <v>197</v>
      </c>
      <c r="T1430">
        <v>244.5</v>
      </c>
      <c r="U1430">
        <v>434</v>
      </c>
      <c r="V1430">
        <v>429</v>
      </c>
      <c r="W1430">
        <v>500</v>
      </c>
      <c r="X1430">
        <v>2.79</v>
      </c>
    </row>
    <row r="1431" spans="1:24" hidden="1" outlineLevel="2" x14ac:dyDescent="0.25">
      <c r="A1431" t="str">
        <f t="shared" si="226"/>
        <v>AK9 - 1995</v>
      </c>
      <c r="B1431" t="s">
        <v>38</v>
      </c>
      <c r="C1431">
        <v>6</v>
      </c>
      <c r="D1431">
        <v>9</v>
      </c>
      <c r="E1431">
        <v>1995</v>
      </c>
      <c r="F1431">
        <v>169.7</v>
      </c>
      <c r="G1431">
        <v>18.899999999999999</v>
      </c>
      <c r="H1431">
        <v>18</v>
      </c>
      <c r="I1431">
        <v>0.9</v>
      </c>
      <c r="J1431">
        <v>4</v>
      </c>
      <c r="K1431">
        <v>190.3</v>
      </c>
      <c r="L1431">
        <v>904.7</v>
      </c>
      <c r="M1431">
        <v>381</v>
      </c>
      <c r="N1431">
        <v>374</v>
      </c>
      <c r="O1431">
        <v>527</v>
      </c>
      <c r="P1431">
        <v>153</v>
      </c>
      <c r="Q1431">
        <v>297</v>
      </c>
      <c r="R1431">
        <v>545</v>
      </c>
      <c r="S1431">
        <v>248</v>
      </c>
      <c r="T1431">
        <v>256.8</v>
      </c>
      <c r="U1431">
        <v>400</v>
      </c>
      <c r="V1431">
        <v>395</v>
      </c>
      <c r="W1431">
        <v>500</v>
      </c>
      <c r="X1431">
        <v>2.79</v>
      </c>
    </row>
    <row r="1432" spans="1:24" hidden="1" outlineLevel="2" x14ac:dyDescent="0.25">
      <c r="A1432" t="str">
        <f t="shared" si="226"/>
        <v>AK9 - 1995</v>
      </c>
      <c r="B1432" t="s">
        <v>38</v>
      </c>
      <c r="C1432">
        <v>7</v>
      </c>
      <c r="D1432">
        <v>10</v>
      </c>
      <c r="E1432">
        <v>1995</v>
      </c>
      <c r="F1432">
        <v>174</v>
      </c>
      <c r="G1432">
        <v>18</v>
      </c>
      <c r="H1432">
        <v>17.399999999999999</v>
      </c>
      <c r="I1432">
        <v>0.6</v>
      </c>
      <c r="J1432">
        <v>3</v>
      </c>
      <c r="K1432">
        <v>186.6</v>
      </c>
      <c r="L1432">
        <v>951.1</v>
      </c>
      <c r="M1432">
        <v>375</v>
      </c>
      <c r="N1432">
        <v>370</v>
      </c>
      <c r="O1432">
        <v>511</v>
      </c>
      <c r="P1432">
        <v>141</v>
      </c>
      <c r="Q1432">
        <v>299</v>
      </c>
      <c r="R1432">
        <v>514</v>
      </c>
      <c r="S1432">
        <v>215</v>
      </c>
      <c r="T1432">
        <v>245.7</v>
      </c>
      <c r="U1432">
        <v>401</v>
      </c>
      <c r="V1432">
        <v>390</v>
      </c>
      <c r="W1432">
        <v>500</v>
      </c>
      <c r="X1432">
        <v>2.79</v>
      </c>
    </row>
    <row r="1433" spans="1:24" hidden="1" outlineLevel="2" x14ac:dyDescent="0.25">
      <c r="A1433" t="str">
        <f t="shared" si="226"/>
        <v>AK9 - 1995</v>
      </c>
      <c r="B1433" t="s">
        <v>38</v>
      </c>
      <c r="C1433">
        <v>8</v>
      </c>
      <c r="D1433">
        <v>10</v>
      </c>
      <c r="E1433">
        <v>1995</v>
      </c>
      <c r="F1433">
        <v>202.4</v>
      </c>
      <c r="G1433">
        <v>13.8</v>
      </c>
      <c r="H1433">
        <v>12.6</v>
      </c>
      <c r="I1433">
        <v>1.2</v>
      </c>
      <c r="J1433">
        <v>8</v>
      </c>
      <c r="K1433">
        <v>169.5</v>
      </c>
      <c r="L1433">
        <v>1287</v>
      </c>
      <c r="M1433">
        <v>371</v>
      </c>
      <c r="N1433">
        <v>358</v>
      </c>
      <c r="O1433">
        <v>516</v>
      </c>
      <c r="P1433">
        <v>158</v>
      </c>
      <c r="Q1433">
        <v>260</v>
      </c>
      <c r="R1433">
        <v>534</v>
      </c>
      <c r="S1433">
        <v>274</v>
      </c>
      <c r="T1433">
        <v>249</v>
      </c>
      <c r="U1433">
        <v>395</v>
      </c>
      <c r="V1433">
        <v>365</v>
      </c>
      <c r="W1433">
        <v>500</v>
      </c>
      <c r="X1433">
        <v>2.79</v>
      </c>
    </row>
    <row r="1434" spans="1:24" hidden="1" outlineLevel="2" x14ac:dyDescent="0.25">
      <c r="A1434" t="str">
        <f t="shared" si="226"/>
        <v>AK9 - 1995</v>
      </c>
      <c r="B1434" t="s">
        <v>38</v>
      </c>
      <c r="C1434">
        <v>10</v>
      </c>
      <c r="D1434">
        <v>10</v>
      </c>
      <c r="E1434">
        <v>1995</v>
      </c>
      <c r="F1434">
        <v>166.2</v>
      </c>
      <c r="G1434">
        <v>19.2</v>
      </c>
      <c r="H1434">
        <v>18.899999999999999</v>
      </c>
      <c r="I1434">
        <v>0.3</v>
      </c>
      <c r="J1434">
        <v>1</v>
      </c>
      <c r="K1434">
        <v>188.9</v>
      </c>
      <c r="L1434">
        <v>867.8</v>
      </c>
      <c r="M1434">
        <v>372</v>
      </c>
      <c r="N1434">
        <v>369</v>
      </c>
      <c r="O1434">
        <v>521</v>
      </c>
      <c r="P1434">
        <v>152</v>
      </c>
      <c r="Q1434">
        <v>319</v>
      </c>
      <c r="R1434">
        <v>521</v>
      </c>
      <c r="S1434">
        <v>202</v>
      </c>
      <c r="T1434">
        <v>289.5</v>
      </c>
      <c r="U1434">
        <v>393</v>
      </c>
      <c r="V1434">
        <v>393</v>
      </c>
      <c r="W1434">
        <v>500</v>
      </c>
      <c r="X1434">
        <v>2.79</v>
      </c>
    </row>
    <row r="1435" spans="1:24" hidden="1" outlineLevel="2" x14ac:dyDescent="0.25">
      <c r="A1435" t="str">
        <f t="shared" si="226"/>
        <v>AK9 - 1995</v>
      </c>
      <c r="B1435" t="s">
        <v>38</v>
      </c>
      <c r="C1435">
        <v>11</v>
      </c>
      <c r="D1435">
        <v>10</v>
      </c>
      <c r="E1435">
        <v>1995</v>
      </c>
      <c r="F1435">
        <v>213.8</v>
      </c>
      <c r="G1435">
        <v>25.2</v>
      </c>
      <c r="H1435">
        <v>24</v>
      </c>
      <c r="I1435">
        <v>1.2</v>
      </c>
      <c r="J1435">
        <v>4</v>
      </c>
      <c r="K1435">
        <v>318.60000000000002</v>
      </c>
      <c r="L1435">
        <v>1436</v>
      </c>
      <c r="M1435">
        <v>384</v>
      </c>
      <c r="N1435">
        <v>377</v>
      </c>
      <c r="O1435">
        <v>518</v>
      </c>
      <c r="P1435">
        <v>141</v>
      </c>
      <c r="Q1435">
        <v>294</v>
      </c>
      <c r="R1435">
        <v>526</v>
      </c>
      <c r="S1435">
        <v>232</v>
      </c>
      <c r="T1435">
        <v>331.8</v>
      </c>
      <c r="U1435">
        <v>389</v>
      </c>
      <c r="V1435">
        <v>385</v>
      </c>
      <c r="W1435">
        <v>500</v>
      </c>
      <c r="X1435">
        <v>2.79</v>
      </c>
    </row>
    <row r="1436" spans="1:24" hidden="1" outlineLevel="2" x14ac:dyDescent="0.25">
      <c r="A1436" t="str">
        <f t="shared" si="226"/>
        <v>AK9 - 1995</v>
      </c>
      <c r="B1436" t="s">
        <v>38</v>
      </c>
      <c r="C1436">
        <v>13</v>
      </c>
      <c r="D1436">
        <v>10</v>
      </c>
      <c r="E1436">
        <v>1995</v>
      </c>
      <c r="F1436">
        <v>180.8</v>
      </c>
      <c r="G1436">
        <v>23.7</v>
      </c>
      <c r="H1436">
        <v>21.3</v>
      </c>
      <c r="I1436">
        <v>2.4</v>
      </c>
      <c r="J1436">
        <v>10</v>
      </c>
      <c r="K1436">
        <v>251.6</v>
      </c>
      <c r="L1436">
        <v>1026.9000000000001</v>
      </c>
      <c r="M1436">
        <v>389</v>
      </c>
      <c r="N1436">
        <v>375</v>
      </c>
      <c r="O1436">
        <v>513</v>
      </c>
      <c r="P1436">
        <v>138</v>
      </c>
      <c r="Q1436">
        <v>286</v>
      </c>
      <c r="R1436">
        <v>532</v>
      </c>
      <c r="S1436">
        <v>246</v>
      </c>
      <c r="T1436">
        <v>286.8</v>
      </c>
      <c r="U1436">
        <v>408</v>
      </c>
      <c r="V1436">
        <v>398</v>
      </c>
      <c r="W1436">
        <v>500</v>
      </c>
      <c r="X1436">
        <v>2.79</v>
      </c>
    </row>
    <row r="1437" spans="1:24" hidden="1" outlineLevel="2" x14ac:dyDescent="0.25">
      <c r="A1437" t="str">
        <f t="shared" si="226"/>
        <v>AK9 - 1995</v>
      </c>
      <c r="B1437" t="s">
        <v>38</v>
      </c>
      <c r="C1437">
        <v>14</v>
      </c>
      <c r="D1437">
        <v>10</v>
      </c>
      <c r="E1437">
        <v>1995</v>
      </c>
      <c r="F1437">
        <v>128.80000000000001</v>
      </c>
      <c r="G1437">
        <v>6.6</v>
      </c>
      <c r="H1437">
        <v>6.6</v>
      </c>
      <c r="I1437">
        <v>0</v>
      </c>
      <c r="J1437">
        <v>0</v>
      </c>
      <c r="K1437">
        <v>52</v>
      </c>
      <c r="L1437">
        <v>521.20000000000005</v>
      </c>
      <c r="M1437">
        <v>332</v>
      </c>
      <c r="N1437">
        <v>332</v>
      </c>
      <c r="Q1437">
        <v>257</v>
      </c>
      <c r="R1437">
        <v>432</v>
      </c>
      <c r="S1437">
        <v>175</v>
      </c>
      <c r="T1437">
        <v>173.4</v>
      </c>
      <c r="U1437">
        <v>385</v>
      </c>
      <c r="V1437">
        <v>377</v>
      </c>
      <c r="W1437">
        <v>500</v>
      </c>
      <c r="X1437">
        <v>2.79</v>
      </c>
    </row>
    <row r="1438" spans="1:24" outlineLevel="1" collapsed="1" x14ac:dyDescent="0.25">
      <c r="A1438" s="8" t="s">
        <v>151</v>
      </c>
      <c r="D1438">
        <f t="shared" ref="D1438:V1438" si="227">SUBTOTAL(1,D1427:D1437)</f>
        <v>9.9090909090909083</v>
      </c>
      <c r="E1438">
        <f t="shared" si="227"/>
        <v>1995</v>
      </c>
      <c r="F1438">
        <f t="shared" si="227"/>
        <v>156.95454545454547</v>
      </c>
      <c r="G1438">
        <f t="shared" si="227"/>
        <v>17.481818181818181</v>
      </c>
      <c r="H1438">
        <f t="shared" si="227"/>
        <v>16.418181818181822</v>
      </c>
      <c r="I1438">
        <f t="shared" si="227"/>
        <v>1.0636363636363637</v>
      </c>
      <c r="J1438">
        <f t="shared" si="227"/>
        <v>6.1818181818181817</v>
      </c>
      <c r="K1438">
        <f t="shared" si="227"/>
        <v>167.31818181818181</v>
      </c>
      <c r="L1438">
        <f t="shared" si="227"/>
        <v>808.42727272727279</v>
      </c>
      <c r="M1438">
        <f t="shared" si="227"/>
        <v>378.36363636363637</v>
      </c>
      <c r="N1438">
        <f t="shared" si="227"/>
        <v>368.45454545454544</v>
      </c>
      <c r="O1438">
        <f t="shared" si="227"/>
        <v>519.79999999999995</v>
      </c>
      <c r="P1438">
        <f t="shared" si="227"/>
        <v>147.69999999999999</v>
      </c>
      <c r="Q1438">
        <f t="shared" si="227"/>
        <v>294</v>
      </c>
      <c r="R1438">
        <f t="shared" si="227"/>
        <v>524.63636363636363</v>
      </c>
      <c r="S1438">
        <f t="shared" si="227"/>
        <v>230.63636363636363</v>
      </c>
      <c r="T1438">
        <f t="shared" si="227"/>
        <v>247.25454545454548</v>
      </c>
      <c r="U1438">
        <f t="shared" si="227"/>
        <v>401.54545454545456</v>
      </c>
      <c r="V1438">
        <f t="shared" si="227"/>
        <v>393.09090909090907</v>
      </c>
    </row>
    <row r="1439" spans="1:24" hidden="1" outlineLevel="2" x14ac:dyDescent="0.25">
      <c r="A1439" t="str">
        <f t="shared" ref="A1439:A1449" si="228">CONCATENATE(B1439," - ",E1439)</f>
        <v>AK9 - 1996</v>
      </c>
      <c r="B1439" t="s">
        <v>38</v>
      </c>
      <c r="C1439">
        <v>1</v>
      </c>
      <c r="D1439">
        <v>11</v>
      </c>
      <c r="E1439">
        <v>1996</v>
      </c>
      <c r="F1439">
        <v>123.9</v>
      </c>
      <c r="G1439">
        <v>11.1</v>
      </c>
      <c r="H1439">
        <v>9.9</v>
      </c>
      <c r="I1439">
        <v>1.2</v>
      </c>
      <c r="J1439">
        <v>10</v>
      </c>
      <c r="K1439">
        <v>82.5</v>
      </c>
      <c r="L1439">
        <v>482.3</v>
      </c>
      <c r="M1439">
        <v>370</v>
      </c>
      <c r="N1439">
        <v>351</v>
      </c>
      <c r="O1439">
        <v>527</v>
      </c>
      <c r="P1439">
        <v>176</v>
      </c>
      <c r="Q1439">
        <v>291</v>
      </c>
      <c r="R1439">
        <v>531</v>
      </c>
      <c r="S1439">
        <v>240</v>
      </c>
      <c r="T1439">
        <v>170.1</v>
      </c>
      <c r="U1439">
        <v>401</v>
      </c>
      <c r="V1439">
        <v>383</v>
      </c>
      <c r="W1439">
        <v>500</v>
      </c>
      <c r="X1439">
        <v>2.79</v>
      </c>
    </row>
    <row r="1440" spans="1:24" hidden="1" outlineLevel="2" x14ac:dyDescent="0.25">
      <c r="A1440" t="str">
        <f t="shared" si="228"/>
        <v>AK9 - 1996</v>
      </c>
      <c r="B1440" t="s">
        <v>38</v>
      </c>
      <c r="C1440">
        <v>3</v>
      </c>
      <c r="D1440">
        <v>11</v>
      </c>
      <c r="E1440">
        <v>1996</v>
      </c>
      <c r="F1440">
        <v>141.80000000000001</v>
      </c>
      <c r="G1440">
        <v>15</v>
      </c>
      <c r="H1440">
        <v>13.8</v>
      </c>
      <c r="I1440">
        <v>1.2</v>
      </c>
      <c r="J1440">
        <v>8</v>
      </c>
      <c r="K1440">
        <v>126.6</v>
      </c>
      <c r="L1440">
        <v>631.70000000000005</v>
      </c>
      <c r="M1440">
        <v>396</v>
      </c>
      <c r="N1440">
        <v>385</v>
      </c>
      <c r="O1440">
        <v>518</v>
      </c>
      <c r="P1440">
        <v>133</v>
      </c>
      <c r="Q1440">
        <v>331</v>
      </c>
      <c r="R1440">
        <v>529</v>
      </c>
      <c r="S1440">
        <v>198</v>
      </c>
      <c r="T1440">
        <v>227.4</v>
      </c>
      <c r="U1440">
        <v>423</v>
      </c>
      <c r="V1440">
        <v>424</v>
      </c>
      <c r="W1440">
        <v>500</v>
      </c>
      <c r="X1440">
        <v>2.79</v>
      </c>
    </row>
    <row r="1441" spans="1:24" hidden="1" outlineLevel="2" x14ac:dyDescent="0.25">
      <c r="A1441" t="str">
        <f t="shared" si="228"/>
        <v>AK9 - 1996</v>
      </c>
      <c r="B1441" t="s">
        <v>38</v>
      </c>
      <c r="C1441">
        <v>4</v>
      </c>
      <c r="D1441">
        <v>11</v>
      </c>
      <c r="E1441">
        <v>1996</v>
      </c>
      <c r="F1441">
        <v>138.80000000000001</v>
      </c>
      <c r="G1441">
        <v>18.899999999999999</v>
      </c>
      <c r="H1441">
        <v>18</v>
      </c>
      <c r="I1441">
        <v>0.9</v>
      </c>
      <c r="J1441">
        <v>4</v>
      </c>
      <c r="K1441">
        <v>153.6</v>
      </c>
      <c r="L1441">
        <v>605.20000000000005</v>
      </c>
      <c r="M1441">
        <v>366</v>
      </c>
      <c r="N1441">
        <v>358</v>
      </c>
      <c r="O1441">
        <v>519</v>
      </c>
      <c r="P1441">
        <v>161</v>
      </c>
      <c r="Q1441">
        <v>290</v>
      </c>
      <c r="R1441">
        <v>529</v>
      </c>
      <c r="S1441">
        <v>239</v>
      </c>
      <c r="T1441">
        <v>244.8</v>
      </c>
      <c r="U1441">
        <v>388</v>
      </c>
      <c r="V1441">
        <v>385</v>
      </c>
      <c r="W1441">
        <v>500</v>
      </c>
      <c r="X1441">
        <v>2.79</v>
      </c>
    </row>
    <row r="1442" spans="1:24" hidden="1" outlineLevel="2" x14ac:dyDescent="0.25">
      <c r="A1442" t="str">
        <f t="shared" si="228"/>
        <v>AK9 - 1996</v>
      </c>
      <c r="B1442" t="s">
        <v>38</v>
      </c>
      <c r="C1442">
        <v>5</v>
      </c>
      <c r="D1442">
        <v>11</v>
      </c>
      <c r="E1442">
        <v>1996</v>
      </c>
      <c r="F1442">
        <v>147.19999999999999</v>
      </c>
      <c r="G1442">
        <v>15.9</v>
      </c>
      <c r="H1442">
        <v>13.8</v>
      </c>
      <c r="I1442">
        <v>2.1</v>
      </c>
      <c r="J1442">
        <v>13</v>
      </c>
      <c r="K1442">
        <v>139.1</v>
      </c>
      <c r="L1442">
        <v>680.7</v>
      </c>
      <c r="M1442">
        <v>380</v>
      </c>
      <c r="N1442">
        <v>360</v>
      </c>
      <c r="O1442">
        <v>514</v>
      </c>
      <c r="P1442">
        <v>154</v>
      </c>
      <c r="Q1442">
        <v>317</v>
      </c>
      <c r="R1442">
        <v>526</v>
      </c>
      <c r="S1442">
        <v>209</v>
      </c>
      <c r="T1442">
        <v>244.5</v>
      </c>
      <c r="U1442">
        <v>434</v>
      </c>
      <c r="V1442">
        <v>429</v>
      </c>
      <c r="W1442">
        <v>500</v>
      </c>
      <c r="X1442">
        <v>2.79</v>
      </c>
    </row>
    <row r="1443" spans="1:24" hidden="1" outlineLevel="2" x14ac:dyDescent="0.25">
      <c r="A1443" t="str">
        <f t="shared" si="228"/>
        <v>AK9 - 1996</v>
      </c>
      <c r="B1443" t="s">
        <v>38</v>
      </c>
      <c r="C1443">
        <v>6</v>
      </c>
      <c r="D1443">
        <v>10</v>
      </c>
      <c r="E1443">
        <v>1996</v>
      </c>
      <c r="F1443">
        <v>187.1</v>
      </c>
      <c r="G1443">
        <v>17.399999999999999</v>
      </c>
      <c r="H1443">
        <v>15.6</v>
      </c>
      <c r="I1443">
        <v>1.8</v>
      </c>
      <c r="J1443">
        <v>10</v>
      </c>
      <c r="K1443">
        <v>195</v>
      </c>
      <c r="L1443">
        <v>1099.8</v>
      </c>
      <c r="M1443">
        <v>385</v>
      </c>
      <c r="N1443">
        <v>369</v>
      </c>
      <c r="O1443">
        <v>524</v>
      </c>
      <c r="P1443">
        <v>155</v>
      </c>
      <c r="Q1443">
        <v>309</v>
      </c>
      <c r="R1443">
        <v>553</v>
      </c>
      <c r="S1443">
        <v>244</v>
      </c>
      <c r="T1443">
        <v>256.8</v>
      </c>
      <c r="U1443">
        <v>400</v>
      </c>
      <c r="V1443">
        <v>395</v>
      </c>
      <c r="W1443">
        <v>500</v>
      </c>
      <c r="X1443">
        <v>2.79</v>
      </c>
    </row>
    <row r="1444" spans="1:24" hidden="1" outlineLevel="2" x14ac:dyDescent="0.25">
      <c r="A1444" t="str">
        <f t="shared" si="228"/>
        <v>AK9 - 1996</v>
      </c>
      <c r="B1444" t="s">
        <v>38</v>
      </c>
      <c r="C1444">
        <v>7</v>
      </c>
      <c r="D1444">
        <v>11</v>
      </c>
      <c r="E1444">
        <v>1996</v>
      </c>
      <c r="F1444">
        <v>191.1</v>
      </c>
      <c r="G1444">
        <v>17.100000000000001</v>
      </c>
      <c r="H1444">
        <v>16.8</v>
      </c>
      <c r="I1444">
        <v>0.3</v>
      </c>
      <c r="J1444">
        <v>1</v>
      </c>
      <c r="K1444">
        <v>196.1</v>
      </c>
      <c r="L1444">
        <v>1147.3</v>
      </c>
      <c r="M1444">
        <v>366</v>
      </c>
      <c r="N1444">
        <v>364</v>
      </c>
      <c r="O1444">
        <v>507</v>
      </c>
      <c r="P1444">
        <v>143</v>
      </c>
      <c r="Q1444">
        <v>295</v>
      </c>
      <c r="R1444">
        <v>507</v>
      </c>
      <c r="S1444">
        <v>212</v>
      </c>
      <c r="T1444">
        <v>245.7</v>
      </c>
      <c r="U1444">
        <v>401</v>
      </c>
      <c r="V1444">
        <v>390</v>
      </c>
      <c r="W1444">
        <v>500</v>
      </c>
      <c r="X1444">
        <v>2.79</v>
      </c>
    </row>
    <row r="1445" spans="1:24" hidden="1" outlineLevel="2" x14ac:dyDescent="0.25">
      <c r="A1445" t="str">
        <f t="shared" si="228"/>
        <v>AK9 - 1996</v>
      </c>
      <c r="B1445" t="s">
        <v>38</v>
      </c>
      <c r="C1445">
        <v>8</v>
      </c>
      <c r="D1445">
        <v>11</v>
      </c>
      <c r="E1445">
        <v>1996</v>
      </c>
      <c r="F1445">
        <v>211.4</v>
      </c>
      <c r="G1445">
        <v>9</v>
      </c>
      <c r="H1445">
        <v>9</v>
      </c>
      <c r="I1445">
        <v>0</v>
      </c>
      <c r="J1445">
        <v>0</v>
      </c>
      <c r="K1445">
        <v>117</v>
      </c>
      <c r="L1445">
        <v>1404</v>
      </c>
      <c r="M1445">
        <v>335</v>
      </c>
      <c r="N1445">
        <v>335</v>
      </c>
      <c r="Q1445">
        <v>260</v>
      </c>
      <c r="R1445">
        <v>493</v>
      </c>
      <c r="S1445">
        <v>233</v>
      </c>
      <c r="T1445">
        <v>249</v>
      </c>
      <c r="U1445">
        <v>395</v>
      </c>
      <c r="V1445">
        <v>365</v>
      </c>
      <c r="W1445">
        <v>500</v>
      </c>
      <c r="X1445">
        <v>2.79</v>
      </c>
    </row>
    <row r="1446" spans="1:24" hidden="1" outlineLevel="2" x14ac:dyDescent="0.25">
      <c r="A1446" t="str">
        <f t="shared" si="228"/>
        <v>AK9 - 1996</v>
      </c>
      <c r="B1446" t="s">
        <v>38</v>
      </c>
      <c r="C1446">
        <v>10</v>
      </c>
      <c r="D1446">
        <v>11</v>
      </c>
      <c r="E1446">
        <v>1996</v>
      </c>
      <c r="F1446">
        <v>179.7</v>
      </c>
      <c r="G1446">
        <v>13.5</v>
      </c>
      <c r="H1446">
        <v>12.9</v>
      </c>
      <c r="I1446">
        <v>0.6</v>
      </c>
      <c r="J1446">
        <v>4</v>
      </c>
      <c r="K1446">
        <v>146.69999999999999</v>
      </c>
      <c r="L1446">
        <v>1014.5</v>
      </c>
      <c r="M1446">
        <v>373</v>
      </c>
      <c r="N1446">
        <v>367</v>
      </c>
      <c r="O1446">
        <v>516</v>
      </c>
      <c r="P1446">
        <v>149</v>
      </c>
      <c r="Q1446">
        <v>292</v>
      </c>
      <c r="R1446">
        <v>521</v>
      </c>
      <c r="S1446">
        <v>229</v>
      </c>
      <c r="T1446">
        <v>289.5</v>
      </c>
      <c r="U1446">
        <v>393</v>
      </c>
      <c r="V1446">
        <v>393</v>
      </c>
      <c r="W1446">
        <v>500</v>
      </c>
      <c r="X1446">
        <v>2.79</v>
      </c>
    </row>
    <row r="1447" spans="1:24" hidden="1" outlineLevel="2" x14ac:dyDescent="0.25">
      <c r="A1447" t="str">
        <f t="shared" si="228"/>
        <v>AK9 - 1996</v>
      </c>
      <c r="B1447" t="s">
        <v>38</v>
      </c>
      <c r="C1447">
        <v>11</v>
      </c>
      <c r="D1447">
        <v>11</v>
      </c>
      <c r="E1447">
        <v>1996</v>
      </c>
      <c r="F1447">
        <v>234.8</v>
      </c>
      <c r="G1447">
        <v>21</v>
      </c>
      <c r="H1447">
        <v>21</v>
      </c>
      <c r="I1447">
        <v>0</v>
      </c>
      <c r="J1447">
        <v>0</v>
      </c>
      <c r="K1447">
        <v>296</v>
      </c>
      <c r="L1447">
        <v>1732</v>
      </c>
      <c r="M1447">
        <v>359</v>
      </c>
      <c r="N1447">
        <v>359</v>
      </c>
      <c r="Q1447">
        <v>287</v>
      </c>
      <c r="R1447">
        <v>486</v>
      </c>
      <c r="S1447">
        <v>199</v>
      </c>
      <c r="T1447">
        <v>331.8</v>
      </c>
      <c r="U1447">
        <v>389</v>
      </c>
      <c r="V1447">
        <v>385</v>
      </c>
      <c r="W1447">
        <v>500</v>
      </c>
      <c r="X1447">
        <v>2.79</v>
      </c>
    </row>
    <row r="1448" spans="1:24" hidden="1" outlineLevel="2" x14ac:dyDescent="0.25">
      <c r="A1448" t="str">
        <f t="shared" si="228"/>
        <v>AK9 - 1996</v>
      </c>
      <c r="B1448" t="s">
        <v>38</v>
      </c>
      <c r="C1448">
        <v>13</v>
      </c>
      <c r="D1448">
        <v>11</v>
      </c>
      <c r="E1448">
        <v>1996</v>
      </c>
      <c r="F1448">
        <v>205.4</v>
      </c>
      <c r="G1448">
        <v>24.6</v>
      </c>
      <c r="H1448">
        <v>22.8</v>
      </c>
      <c r="I1448">
        <v>1.8</v>
      </c>
      <c r="J1448">
        <v>7</v>
      </c>
      <c r="K1448">
        <v>298.5</v>
      </c>
      <c r="L1448">
        <v>1325.4</v>
      </c>
      <c r="M1448">
        <v>378</v>
      </c>
      <c r="N1448">
        <v>367</v>
      </c>
      <c r="O1448">
        <v>522</v>
      </c>
      <c r="P1448">
        <v>155</v>
      </c>
      <c r="Q1448">
        <v>292</v>
      </c>
      <c r="R1448">
        <v>554</v>
      </c>
      <c r="S1448">
        <v>262</v>
      </c>
      <c r="T1448">
        <v>286.8</v>
      </c>
      <c r="U1448">
        <v>408</v>
      </c>
      <c r="V1448">
        <v>398</v>
      </c>
      <c r="W1448">
        <v>500</v>
      </c>
      <c r="X1448">
        <v>2.79</v>
      </c>
    </row>
    <row r="1449" spans="1:24" hidden="1" outlineLevel="2" x14ac:dyDescent="0.25">
      <c r="A1449" t="str">
        <f t="shared" si="228"/>
        <v>AK9 - 1996</v>
      </c>
      <c r="B1449" t="s">
        <v>38</v>
      </c>
      <c r="C1449">
        <v>14</v>
      </c>
      <c r="D1449">
        <v>11</v>
      </c>
      <c r="E1449">
        <v>1996</v>
      </c>
      <c r="F1449">
        <v>133</v>
      </c>
      <c r="G1449">
        <v>4.2</v>
      </c>
      <c r="H1449">
        <v>4.2</v>
      </c>
      <c r="I1449">
        <v>0</v>
      </c>
      <c r="J1449">
        <v>0</v>
      </c>
      <c r="K1449">
        <v>34.5</v>
      </c>
      <c r="L1449">
        <v>555.70000000000005</v>
      </c>
      <c r="M1449">
        <v>327</v>
      </c>
      <c r="N1449">
        <v>327</v>
      </c>
      <c r="Q1449">
        <v>274</v>
      </c>
      <c r="R1449">
        <v>448</v>
      </c>
      <c r="S1449">
        <v>174</v>
      </c>
      <c r="T1449">
        <v>173.4</v>
      </c>
      <c r="U1449">
        <v>385</v>
      </c>
      <c r="V1449">
        <v>377</v>
      </c>
      <c r="W1449">
        <v>500</v>
      </c>
      <c r="X1449">
        <v>2.79</v>
      </c>
    </row>
    <row r="1450" spans="1:24" outlineLevel="1" collapsed="1" x14ac:dyDescent="0.25">
      <c r="A1450" s="8" t="s">
        <v>152</v>
      </c>
      <c r="D1450">
        <f t="shared" ref="D1450:V1450" si="229">SUBTOTAL(1,D1439:D1449)</f>
        <v>10.909090909090908</v>
      </c>
      <c r="E1450">
        <f t="shared" si="229"/>
        <v>1996</v>
      </c>
      <c r="F1450">
        <f t="shared" si="229"/>
        <v>172.20000000000002</v>
      </c>
      <c r="G1450">
        <f t="shared" si="229"/>
        <v>15.245454545454544</v>
      </c>
      <c r="H1450">
        <f t="shared" si="229"/>
        <v>14.345454545454546</v>
      </c>
      <c r="I1450">
        <f t="shared" si="229"/>
        <v>0.9</v>
      </c>
      <c r="J1450">
        <f t="shared" si="229"/>
        <v>5.1818181818181817</v>
      </c>
      <c r="K1450">
        <f t="shared" si="229"/>
        <v>162.32727272727271</v>
      </c>
      <c r="L1450">
        <f t="shared" si="229"/>
        <v>970.78181818181827</v>
      </c>
      <c r="M1450">
        <f t="shared" si="229"/>
        <v>366.81818181818181</v>
      </c>
      <c r="N1450">
        <f t="shared" si="229"/>
        <v>358.36363636363637</v>
      </c>
      <c r="O1450">
        <f t="shared" si="229"/>
        <v>518.375</v>
      </c>
      <c r="P1450">
        <f t="shared" si="229"/>
        <v>153.25</v>
      </c>
      <c r="Q1450">
        <f t="shared" si="229"/>
        <v>294.36363636363637</v>
      </c>
      <c r="R1450">
        <f t="shared" si="229"/>
        <v>516.09090909090912</v>
      </c>
      <c r="S1450">
        <f t="shared" si="229"/>
        <v>221.72727272727272</v>
      </c>
      <c r="T1450">
        <f t="shared" si="229"/>
        <v>247.25454545454548</v>
      </c>
      <c r="U1450">
        <f t="shared" si="229"/>
        <v>401.54545454545456</v>
      </c>
      <c r="V1450">
        <f t="shared" si="229"/>
        <v>393.09090909090907</v>
      </c>
    </row>
    <row r="1451" spans="1:24" hidden="1" outlineLevel="2" x14ac:dyDescent="0.25">
      <c r="A1451" t="str">
        <f t="shared" ref="A1451:A1461" si="230">CONCATENATE(B1451," - ",E1451)</f>
        <v>AK9 - 1997</v>
      </c>
      <c r="B1451" t="s">
        <v>38</v>
      </c>
      <c r="C1451">
        <v>1</v>
      </c>
      <c r="D1451">
        <v>12</v>
      </c>
      <c r="E1451">
        <v>1997</v>
      </c>
      <c r="F1451">
        <v>132.6</v>
      </c>
      <c r="G1451">
        <v>8.6999999999999993</v>
      </c>
      <c r="H1451">
        <v>8.4</v>
      </c>
      <c r="I1451">
        <v>0.3</v>
      </c>
      <c r="J1451">
        <v>3</v>
      </c>
      <c r="K1451">
        <v>70.099999999999994</v>
      </c>
      <c r="L1451">
        <v>552.4</v>
      </c>
      <c r="M1451">
        <v>372</v>
      </c>
      <c r="N1451">
        <v>367</v>
      </c>
      <c r="O1451">
        <v>511</v>
      </c>
      <c r="P1451">
        <v>144</v>
      </c>
      <c r="Q1451">
        <v>278</v>
      </c>
      <c r="R1451">
        <v>511</v>
      </c>
      <c r="S1451">
        <v>233</v>
      </c>
      <c r="T1451">
        <v>170.1</v>
      </c>
      <c r="U1451">
        <v>401</v>
      </c>
      <c r="V1451">
        <v>383</v>
      </c>
      <c r="W1451">
        <v>500</v>
      </c>
      <c r="X1451">
        <v>2.79</v>
      </c>
    </row>
    <row r="1452" spans="1:24" hidden="1" outlineLevel="2" x14ac:dyDescent="0.25">
      <c r="A1452" t="str">
        <f t="shared" si="230"/>
        <v>AK9 - 1997</v>
      </c>
      <c r="B1452" t="s">
        <v>38</v>
      </c>
      <c r="C1452">
        <v>3</v>
      </c>
      <c r="D1452">
        <v>12</v>
      </c>
      <c r="E1452">
        <v>1997</v>
      </c>
      <c r="F1452">
        <v>157.69999999999999</v>
      </c>
      <c r="G1452">
        <v>15.9</v>
      </c>
      <c r="H1452">
        <v>12.6</v>
      </c>
      <c r="I1452">
        <v>3.3</v>
      </c>
      <c r="J1452">
        <v>20</v>
      </c>
      <c r="K1452">
        <v>149.6</v>
      </c>
      <c r="L1452">
        <v>781.3</v>
      </c>
      <c r="M1452">
        <v>424</v>
      </c>
      <c r="N1452">
        <v>398</v>
      </c>
      <c r="O1452">
        <v>521</v>
      </c>
      <c r="P1452">
        <v>123</v>
      </c>
      <c r="Q1452">
        <v>356</v>
      </c>
      <c r="R1452">
        <v>545</v>
      </c>
      <c r="S1452">
        <v>189</v>
      </c>
      <c r="T1452">
        <v>227.4</v>
      </c>
      <c r="U1452">
        <v>423</v>
      </c>
      <c r="V1452">
        <v>424</v>
      </c>
      <c r="W1452">
        <v>500</v>
      </c>
      <c r="X1452">
        <v>2.79</v>
      </c>
    </row>
    <row r="1453" spans="1:24" hidden="1" outlineLevel="2" x14ac:dyDescent="0.25">
      <c r="A1453" t="str">
        <f t="shared" si="230"/>
        <v>AK9 - 1997</v>
      </c>
      <c r="B1453" t="s">
        <v>38</v>
      </c>
      <c r="C1453">
        <v>4</v>
      </c>
      <c r="D1453">
        <v>12</v>
      </c>
      <c r="E1453">
        <v>1997</v>
      </c>
      <c r="F1453">
        <v>159.19999999999999</v>
      </c>
      <c r="G1453">
        <v>20.399999999999999</v>
      </c>
      <c r="H1453">
        <v>18.899999999999999</v>
      </c>
      <c r="I1453">
        <v>1.5</v>
      </c>
      <c r="J1453">
        <v>7</v>
      </c>
      <c r="K1453">
        <v>191</v>
      </c>
      <c r="L1453">
        <v>796.2</v>
      </c>
      <c r="M1453">
        <v>362</v>
      </c>
      <c r="N1453">
        <v>350</v>
      </c>
      <c r="O1453">
        <v>520</v>
      </c>
      <c r="P1453">
        <v>170</v>
      </c>
      <c r="Q1453">
        <v>276</v>
      </c>
      <c r="R1453">
        <v>544</v>
      </c>
      <c r="S1453">
        <v>268</v>
      </c>
      <c r="T1453">
        <v>244.8</v>
      </c>
      <c r="U1453">
        <v>388</v>
      </c>
      <c r="V1453">
        <v>385</v>
      </c>
      <c r="W1453">
        <v>500</v>
      </c>
      <c r="X1453">
        <v>2.79</v>
      </c>
    </row>
    <row r="1454" spans="1:24" hidden="1" outlineLevel="2" x14ac:dyDescent="0.25">
      <c r="A1454" t="str">
        <f t="shared" si="230"/>
        <v>AK9 - 1997</v>
      </c>
      <c r="B1454" t="s">
        <v>38</v>
      </c>
      <c r="C1454">
        <v>5</v>
      </c>
      <c r="D1454">
        <v>12</v>
      </c>
      <c r="E1454">
        <v>1997</v>
      </c>
      <c r="F1454">
        <v>161</v>
      </c>
      <c r="G1454">
        <v>13.8</v>
      </c>
      <c r="H1454">
        <v>12.3</v>
      </c>
      <c r="I1454">
        <v>1.5</v>
      </c>
      <c r="J1454">
        <v>10</v>
      </c>
      <c r="K1454">
        <v>133.6</v>
      </c>
      <c r="L1454">
        <v>814.3</v>
      </c>
      <c r="M1454">
        <v>392</v>
      </c>
      <c r="N1454">
        <v>373</v>
      </c>
      <c r="O1454">
        <v>548</v>
      </c>
      <c r="P1454">
        <v>175</v>
      </c>
      <c r="Q1454">
        <v>334</v>
      </c>
      <c r="R1454">
        <v>563</v>
      </c>
      <c r="S1454">
        <v>229</v>
      </c>
      <c r="T1454">
        <v>244.5</v>
      </c>
      <c r="U1454">
        <v>434</v>
      </c>
      <c r="V1454">
        <v>429</v>
      </c>
      <c r="W1454">
        <v>500</v>
      </c>
      <c r="X1454">
        <v>2.79</v>
      </c>
    </row>
    <row r="1455" spans="1:24" hidden="1" outlineLevel="2" x14ac:dyDescent="0.25">
      <c r="A1455" t="str">
        <f t="shared" si="230"/>
        <v>AK9 - 1997</v>
      </c>
      <c r="B1455" t="s">
        <v>38</v>
      </c>
      <c r="C1455">
        <v>6</v>
      </c>
      <c r="D1455">
        <v>11</v>
      </c>
      <c r="E1455">
        <v>1997</v>
      </c>
      <c r="F1455">
        <v>202.1</v>
      </c>
      <c r="G1455">
        <v>15</v>
      </c>
      <c r="H1455">
        <v>13.5</v>
      </c>
      <c r="I1455">
        <v>1.5</v>
      </c>
      <c r="J1455">
        <v>10</v>
      </c>
      <c r="K1455">
        <v>183.4</v>
      </c>
      <c r="L1455">
        <v>1283.2</v>
      </c>
      <c r="M1455">
        <v>396</v>
      </c>
      <c r="N1455">
        <v>383</v>
      </c>
      <c r="O1455">
        <v>509</v>
      </c>
      <c r="P1455">
        <v>126</v>
      </c>
      <c r="Q1455">
        <v>291</v>
      </c>
      <c r="R1455">
        <v>521</v>
      </c>
      <c r="S1455">
        <v>230</v>
      </c>
      <c r="T1455">
        <v>256.8</v>
      </c>
      <c r="U1455">
        <v>400</v>
      </c>
      <c r="V1455">
        <v>395</v>
      </c>
      <c r="W1455">
        <v>500</v>
      </c>
      <c r="X1455">
        <v>2.79</v>
      </c>
    </row>
    <row r="1456" spans="1:24" hidden="1" outlineLevel="2" x14ac:dyDescent="0.25">
      <c r="A1456" t="str">
        <f t="shared" si="230"/>
        <v>AK9 - 1997</v>
      </c>
      <c r="B1456" t="s">
        <v>38</v>
      </c>
      <c r="C1456">
        <v>7</v>
      </c>
      <c r="D1456">
        <v>12</v>
      </c>
      <c r="E1456">
        <v>1997</v>
      </c>
      <c r="F1456">
        <v>206.1</v>
      </c>
      <c r="G1456">
        <v>15</v>
      </c>
      <c r="H1456">
        <v>14.4</v>
      </c>
      <c r="I1456">
        <v>0.6</v>
      </c>
      <c r="J1456">
        <v>4</v>
      </c>
      <c r="K1456">
        <v>187.2</v>
      </c>
      <c r="L1456">
        <v>1334.5</v>
      </c>
      <c r="M1456">
        <v>376</v>
      </c>
      <c r="N1456">
        <v>371</v>
      </c>
      <c r="O1456">
        <v>511</v>
      </c>
      <c r="P1456">
        <v>140</v>
      </c>
      <c r="Q1456">
        <v>303</v>
      </c>
      <c r="R1456">
        <v>511</v>
      </c>
      <c r="S1456">
        <v>208</v>
      </c>
      <c r="T1456">
        <v>245.7</v>
      </c>
      <c r="U1456">
        <v>401</v>
      </c>
      <c r="V1456">
        <v>390</v>
      </c>
      <c r="W1456">
        <v>500</v>
      </c>
      <c r="X1456">
        <v>2.79</v>
      </c>
    </row>
    <row r="1457" spans="1:24" hidden="1" outlineLevel="2" x14ac:dyDescent="0.25">
      <c r="A1457" t="str">
        <f t="shared" si="230"/>
        <v>AK9 - 1997</v>
      </c>
      <c r="B1457" t="s">
        <v>38</v>
      </c>
      <c r="C1457">
        <v>8</v>
      </c>
      <c r="D1457">
        <v>12</v>
      </c>
      <c r="E1457">
        <v>1997</v>
      </c>
      <c r="F1457">
        <v>216.8</v>
      </c>
      <c r="G1457">
        <v>5.4</v>
      </c>
      <c r="H1457">
        <v>5.4</v>
      </c>
      <c r="I1457">
        <v>0</v>
      </c>
      <c r="J1457">
        <v>0</v>
      </c>
      <c r="K1457">
        <v>72.599999999999994</v>
      </c>
      <c r="L1457">
        <v>1476.6</v>
      </c>
      <c r="M1457">
        <v>342</v>
      </c>
      <c r="N1457">
        <v>342</v>
      </c>
      <c r="Q1457">
        <v>278</v>
      </c>
      <c r="R1457">
        <v>459</v>
      </c>
      <c r="S1457">
        <v>181</v>
      </c>
      <c r="T1457">
        <v>249</v>
      </c>
      <c r="U1457">
        <v>395</v>
      </c>
      <c r="V1457">
        <v>365</v>
      </c>
      <c r="W1457">
        <v>500</v>
      </c>
      <c r="X1457">
        <v>2.79</v>
      </c>
    </row>
    <row r="1458" spans="1:24" hidden="1" outlineLevel="2" x14ac:dyDescent="0.25">
      <c r="A1458" t="str">
        <f t="shared" si="230"/>
        <v>AK9 - 1997</v>
      </c>
      <c r="B1458" t="s">
        <v>38</v>
      </c>
      <c r="C1458">
        <v>10</v>
      </c>
      <c r="D1458">
        <v>12</v>
      </c>
      <c r="E1458">
        <v>1997</v>
      </c>
      <c r="F1458">
        <v>196.2</v>
      </c>
      <c r="G1458">
        <v>16.5</v>
      </c>
      <c r="H1458">
        <v>16.5</v>
      </c>
      <c r="I1458">
        <v>0</v>
      </c>
      <c r="J1458">
        <v>0</v>
      </c>
      <c r="K1458">
        <v>194.9</v>
      </c>
      <c r="L1458">
        <v>1209.3</v>
      </c>
      <c r="M1458">
        <v>380</v>
      </c>
      <c r="N1458">
        <v>380</v>
      </c>
      <c r="Q1458">
        <v>317</v>
      </c>
      <c r="R1458">
        <v>499</v>
      </c>
      <c r="S1458">
        <v>182</v>
      </c>
      <c r="T1458">
        <v>289.5</v>
      </c>
      <c r="U1458">
        <v>393</v>
      </c>
      <c r="V1458">
        <v>393</v>
      </c>
      <c r="W1458">
        <v>500</v>
      </c>
      <c r="X1458">
        <v>2.79</v>
      </c>
    </row>
    <row r="1459" spans="1:24" hidden="1" outlineLevel="2" x14ac:dyDescent="0.25">
      <c r="A1459" t="str">
        <f t="shared" si="230"/>
        <v>AK9 - 1997</v>
      </c>
      <c r="B1459" t="s">
        <v>38</v>
      </c>
      <c r="C1459">
        <v>11</v>
      </c>
      <c r="D1459">
        <v>12</v>
      </c>
      <c r="E1459">
        <v>1997</v>
      </c>
      <c r="F1459">
        <v>254.3</v>
      </c>
      <c r="G1459">
        <v>19.5</v>
      </c>
      <c r="H1459">
        <v>19.5</v>
      </c>
      <c r="I1459">
        <v>0</v>
      </c>
      <c r="J1459">
        <v>0</v>
      </c>
      <c r="K1459">
        <v>299.60000000000002</v>
      </c>
      <c r="L1459">
        <v>2031.6</v>
      </c>
      <c r="M1459">
        <v>369</v>
      </c>
      <c r="N1459">
        <v>369</v>
      </c>
      <c r="Q1459">
        <v>287</v>
      </c>
      <c r="R1459">
        <v>476</v>
      </c>
      <c r="S1459">
        <v>189</v>
      </c>
      <c r="T1459">
        <v>331.8</v>
      </c>
      <c r="U1459">
        <v>389</v>
      </c>
      <c r="V1459">
        <v>385</v>
      </c>
      <c r="W1459">
        <v>500</v>
      </c>
      <c r="X1459">
        <v>2.79</v>
      </c>
    </row>
    <row r="1460" spans="1:24" hidden="1" outlineLevel="2" x14ac:dyDescent="0.25">
      <c r="A1460" t="str">
        <f t="shared" si="230"/>
        <v>AK9 - 1997</v>
      </c>
      <c r="B1460" t="s">
        <v>38</v>
      </c>
      <c r="C1460">
        <v>13</v>
      </c>
      <c r="D1460">
        <v>12</v>
      </c>
      <c r="E1460">
        <v>1997</v>
      </c>
      <c r="F1460">
        <v>225.8</v>
      </c>
      <c r="G1460">
        <v>20.399999999999999</v>
      </c>
      <c r="H1460">
        <v>18.600000000000001</v>
      </c>
      <c r="I1460">
        <v>1.8</v>
      </c>
      <c r="J1460">
        <v>8</v>
      </c>
      <c r="K1460">
        <v>276.3</v>
      </c>
      <c r="L1460">
        <v>1601.8</v>
      </c>
      <c r="M1460">
        <v>389</v>
      </c>
      <c r="N1460">
        <v>377</v>
      </c>
      <c r="O1460">
        <v>518</v>
      </c>
      <c r="P1460">
        <v>141</v>
      </c>
      <c r="Q1460">
        <v>307</v>
      </c>
      <c r="R1460">
        <v>560</v>
      </c>
      <c r="S1460">
        <v>253</v>
      </c>
      <c r="T1460">
        <v>286.8</v>
      </c>
      <c r="U1460">
        <v>408</v>
      </c>
      <c r="V1460">
        <v>398</v>
      </c>
      <c r="W1460">
        <v>500</v>
      </c>
      <c r="X1460">
        <v>2.79</v>
      </c>
    </row>
    <row r="1461" spans="1:24" hidden="1" outlineLevel="2" x14ac:dyDescent="0.25">
      <c r="A1461" t="str">
        <f t="shared" si="230"/>
        <v>AK9 - 1997</v>
      </c>
      <c r="B1461" t="s">
        <v>38</v>
      </c>
      <c r="C1461">
        <v>14</v>
      </c>
      <c r="D1461">
        <v>12</v>
      </c>
      <c r="E1461">
        <v>1997</v>
      </c>
      <c r="F1461">
        <v>137.80000000000001</v>
      </c>
      <c r="G1461">
        <v>4.8</v>
      </c>
      <c r="H1461">
        <v>4.8</v>
      </c>
      <c r="I1461">
        <v>0</v>
      </c>
      <c r="J1461">
        <v>0</v>
      </c>
      <c r="K1461">
        <v>40.799999999999997</v>
      </c>
      <c r="L1461">
        <v>596.6</v>
      </c>
      <c r="M1461">
        <v>351</v>
      </c>
      <c r="N1461">
        <v>351</v>
      </c>
      <c r="Q1461">
        <v>292</v>
      </c>
      <c r="R1461">
        <v>496</v>
      </c>
      <c r="S1461">
        <v>204</v>
      </c>
      <c r="T1461">
        <v>173.4</v>
      </c>
      <c r="U1461">
        <v>385</v>
      </c>
      <c r="V1461">
        <v>377</v>
      </c>
      <c r="W1461">
        <v>500</v>
      </c>
      <c r="X1461">
        <v>2.79</v>
      </c>
    </row>
    <row r="1462" spans="1:24" outlineLevel="1" collapsed="1" x14ac:dyDescent="0.25">
      <c r="A1462" s="8" t="s">
        <v>153</v>
      </c>
      <c r="D1462">
        <f t="shared" ref="D1462:V1462" si="231">SUBTOTAL(1,D1451:D1461)</f>
        <v>11.909090909090908</v>
      </c>
      <c r="E1462">
        <f t="shared" si="231"/>
        <v>1997</v>
      </c>
      <c r="F1462">
        <f t="shared" si="231"/>
        <v>186.32727272727271</v>
      </c>
      <c r="G1462">
        <f t="shared" si="231"/>
        <v>14.127272727272727</v>
      </c>
      <c r="H1462">
        <f t="shared" si="231"/>
        <v>13.172727272727276</v>
      </c>
      <c r="I1462">
        <f t="shared" si="231"/>
        <v>0.95454545454545459</v>
      </c>
      <c r="J1462">
        <f t="shared" si="231"/>
        <v>5.6363636363636367</v>
      </c>
      <c r="K1462">
        <f t="shared" si="231"/>
        <v>163.55454545454543</v>
      </c>
      <c r="L1462">
        <f t="shared" si="231"/>
        <v>1134.3454545454545</v>
      </c>
      <c r="M1462">
        <f t="shared" si="231"/>
        <v>377.54545454545456</v>
      </c>
      <c r="N1462">
        <f t="shared" si="231"/>
        <v>369.18181818181819</v>
      </c>
      <c r="O1462">
        <f t="shared" si="231"/>
        <v>519.71428571428567</v>
      </c>
      <c r="P1462">
        <f t="shared" si="231"/>
        <v>145.57142857142858</v>
      </c>
      <c r="Q1462">
        <f t="shared" si="231"/>
        <v>301.72727272727275</v>
      </c>
      <c r="R1462">
        <f t="shared" si="231"/>
        <v>516.81818181818187</v>
      </c>
      <c r="S1462">
        <f t="shared" si="231"/>
        <v>215.09090909090909</v>
      </c>
      <c r="T1462">
        <f t="shared" si="231"/>
        <v>247.25454545454548</v>
      </c>
      <c r="U1462">
        <f t="shared" si="231"/>
        <v>401.54545454545456</v>
      </c>
      <c r="V1462">
        <f t="shared" si="231"/>
        <v>393.09090909090907</v>
      </c>
    </row>
    <row r="1463" spans="1:24" hidden="1" outlineLevel="2" x14ac:dyDescent="0.25">
      <c r="A1463" t="str">
        <f t="shared" ref="A1463:A1473" si="232">CONCATENATE(B1463," - ",E1463)</f>
        <v>AK9 - 1998</v>
      </c>
      <c r="B1463" t="s">
        <v>38</v>
      </c>
      <c r="C1463">
        <v>1</v>
      </c>
      <c r="D1463">
        <v>13</v>
      </c>
      <c r="E1463">
        <v>1998</v>
      </c>
      <c r="F1463">
        <v>140.69999999999999</v>
      </c>
      <c r="G1463">
        <v>8.1</v>
      </c>
      <c r="H1463">
        <v>7.5</v>
      </c>
      <c r="I1463">
        <v>0.6</v>
      </c>
      <c r="J1463">
        <v>7</v>
      </c>
      <c r="K1463">
        <v>69.5</v>
      </c>
      <c r="L1463">
        <v>621.9</v>
      </c>
      <c r="M1463">
        <v>387</v>
      </c>
      <c r="N1463">
        <v>374</v>
      </c>
      <c r="O1463">
        <v>548</v>
      </c>
      <c r="P1463">
        <v>174</v>
      </c>
      <c r="Q1463">
        <v>295</v>
      </c>
      <c r="R1463">
        <v>567</v>
      </c>
      <c r="S1463">
        <v>272</v>
      </c>
      <c r="T1463">
        <v>170.1</v>
      </c>
      <c r="U1463">
        <v>401</v>
      </c>
      <c r="V1463">
        <v>383</v>
      </c>
      <c r="W1463">
        <v>500</v>
      </c>
      <c r="X1463">
        <v>2.79</v>
      </c>
    </row>
    <row r="1464" spans="1:24" hidden="1" outlineLevel="2" x14ac:dyDescent="0.25">
      <c r="A1464" t="str">
        <f t="shared" si="232"/>
        <v>AK9 - 1998</v>
      </c>
      <c r="B1464" t="s">
        <v>38</v>
      </c>
      <c r="C1464">
        <v>3</v>
      </c>
      <c r="D1464">
        <v>13</v>
      </c>
      <c r="E1464">
        <v>1998</v>
      </c>
      <c r="F1464">
        <v>167.9</v>
      </c>
      <c r="G1464">
        <v>10.199999999999999</v>
      </c>
      <c r="H1464">
        <v>7.8</v>
      </c>
      <c r="I1464">
        <v>2.4</v>
      </c>
      <c r="J1464">
        <v>23</v>
      </c>
      <c r="K1464">
        <v>104.3</v>
      </c>
      <c r="L1464">
        <v>885.6</v>
      </c>
      <c r="M1464">
        <v>442</v>
      </c>
      <c r="N1464">
        <v>414</v>
      </c>
      <c r="O1464">
        <v>535</v>
      </c>
      <c r="P1464">
        <v>121</v>
      </c>
      <c r="Q1464">
        <v>354</v>
      </c>
      <c r="R1464">
        <v>578</v>
      </c>
      <c r="S1464">
        <v>224</v>
      </c>
      <c r="T1464">
        <v>227.4</v>
      </c>
      <c r="U1464">
        <v>423</v>
      </c>
      <c r="V1464">
        <v>424</v>
      </c>
      <c r="W1464">
        <v>500</v>
      </c>
      <c r="X1464">
        <v>2.79</v>
      </c>
    </row>
    <row r="1465" spans="1:24" hidden="1" outlineLevel="2" x14ac:dyDescent="0.25">
      <c r="A1465" t="str">
        <f t="shared" si="232"/>
        <v>AK9 - 1998</v>
      </c>
      <c r="B1465" t="s">
        <v>38</v>
      </c>
      <c r="C1465">
        <v>4</v>
      </c>
      <c r="D1465">
        <v>13</v>
      </c>
      <c r="E1465">
        <v>1998</v>
      </c>
      <c r="F1465">
        <v>168.2</v>
      </c>
      <c r="G1465">
        <v>9</v>
      </c>
      <c r="H1465">
        <v>8.1</v>
      </c>
      <c r="I1465">
        <v>0.9</v>
      </c>
      <c r="J1465">
        <v>10</v>
      </c>
      <c r="K1465">
        <v>92.6</v>
      </c>
      <c r="L1465">
        <v>888.8</v>
      </c>
      <c r="M1465">
        <v>387</v>
      </c>
      <c r="N1465">
        <v>372</v>
      </c>
      <c r="O1465">
        <v>516</v>
      </c>
      <c r="P1465">
        <v>144</v>
      </c>
      <c r="Q1465">
        <v>304</v>
      </c>
      <c r="R1465">
        <v>541</v>
      </c>
      <c r="S1465">
        <v>237</v>
      </c>
      <c r="T1465">
        <v>244.8</v>
      </c>
      <c r="U1465">
        <v>388</v>
      </c>
      <c r="V1465">
        <v>385</v>
      </c>
      <c r="W1465">
        <v>500</v>
      </c>
      <c r="X1465">
        <v>2.79</v>
      </c>
    </row>
    <row r="1466" spans="1:24" hidden="1" outlineLevel="2" x14ac:dyDescent="0.25">
      <c r="A1466" t="str">
        <f t="shared" si="232"/>
        <v>AK9 - 1998</v>
      </c>
      <c r="B1466" t="s">
        <v>38</v>
      </c>
      <c r="C1466">
        <v>5</v>
      </c>
      <c r="D1466">
        <v>13</v>
      </c>
      <c r="E1466">
        <v>1998</v>
      </c>
      <c r="F1466">
        <v>168.8</v>
      </c>
      <c r="G1466">
        <v>7.8</v>
      </c>
      <c r="H1466">
        <v>6.6</v>
      </c>
      <c r="I1466">
        <v>1.2</v>
      </c>
      <c r="J1466">
        <v>15</v>
      </c>
      <c r="K1466">
        <v>80.8</v>
      </c>
      <c r="L1466">
        <v>895.1</v>
      </c>
      <c r="M1466">
        <v>409</v>
      </c>
      <c r="N1466">
        <v>384</v>
      </c>
      <c r="O1466">
        <v>551</v>
      </c>
      <c r="P1466">
        <v>167</v>
      </c>
      <c r="Q1466">
        <v>333</v>
      </c>
      <c r="R1466">
        <v>581</v>
      </c>
      <c r="S1466">
        <v>248</v>
      </c>
      <c r="T1466">
        <v>244.5</v>
      </c>
      <c r="U1466">
        <v>434</v>
      </c>
      <c r="V1466">
        <v>429</v>
      </c>
      <c r="W1466">
        <v>500</v>
      </c>
      <c r="X1466">
        <v>2.79</v>
      </c>
    </row>
    <row r="1467" spans="1:24" hidden="1" outlineLevel="2" x14ac:dyDescent="0.25">
      <c r="A1467" t="str">
        <f t="shared" si="232"/>
        <v>AK9 - 1998</v>
      </c>
      <c r="B1467" t="s">
        <v>38</v>
      </c>
      <c r="C1467">
        <v>6</v>
      </c>
      <c r="D1467">
        <v>12</v>
      </c>
      <c r="E1467">
        <v>1998</v>
      </c>
      <c r="F1467">
        <v>209.9</v>
      </c>
      <c r="G1467">
        <v>7.8</v>
      </c>
      <c r="H1467">
        <v>6.3</v>
      </c>
      <c r="I1467">
        <v>1.5</v>
      </c>
      <c r="J1467">
        <v>19</v>
      </c>
      <c r="K1467">
        <v>101</v>
      </c>
      <c r="L1467">
        <v>1384.1</v>
      </c>
      <c r="M1467">
        <v>394</v>
      </c>
      <c r="N1467">
        <v>366</v>
      </c>
      <c r="O1467">
        <v>515</v>
      </c>
      <c r="P1467">
        <v>149</v>
      </c>
      <c r="Q1467">
        <v>299</v>
      </c>
      <c r="R1467">
        <v>526</v>
      </c>
      <c r="S1467">
        <v>227</v>
      </c>
      <c r="T1467">
        <v>256.8</v>
      </c>
      <c r="U1467">
        <v>400</v>
      </c>
      <c r="V1467">
        <v>395</v>
      </c>
      <c r="W1467">
        <v>500</v>
      </c>
      <c r="X1467">
        <v>2.79</v>
      </c>
    </row>
    <row r="1468" spans="1:24" hidden="1" outlineLevel="2" x14ac:dyDescent="0.25">
      <c r="A1468" t="str">
        <f t="shared" si="232"/>
        <v>AK9 - 1998</v>
      </c>
      <c r="B1468" t="s">
        <v>38</v>
      </c>
      <c r="C1468">
        <v>7</v>
      </c>
      <c r="D1468">
        <v>13</v>
      </c>
      <c r="E1468">
        <v>1998</v>
      </c>
      <c r="F1468">
        <v>213</v>
      </c>
      <c r="G1468">
        <v>6.9</v>
      </c>
      <c r="H1468">
        <v>6.6</v>
      </c>
      <c r="I1468">
        <v>0.3</v>
      </c>
      <c r="J1468">
        <v>4</v>
      </c>
      <c r="K1468">
        <v>90.8</v>
      </c>
      <c r="L1468">
        <v>1425.3</v>
      </c>
      <c r="M1468">
        <v>381</v>
      </c>
      <c r="N1468">
        <v>373</v>
      </c>
      <c r="O1468">
        <v>546</v>
      </c>
      <c r="P1468">
        <v>173</v>
      </c>
      <c r="Q1468">
        <v>321</v>
      </c>
      <c r="R1468">
        <v>546</v>
      </c>
      <c r="S1468">
        <v>225</v>
      </c>
      <c r="T1468">
        <v>245.7</v>
      </c>
      <c r="U1468">
        <v>401</v>
      </c>
      <c r="V1468">
        <v>390</v>
      </c>
      <c r="W1468">
        <v>500</v>
      </c>
      <c r="X1468">
        <v>2.79</v>
      </c>
    </row>
    <row r="1469" spans="1:24" hidden="1" outlineLevel="2" x14ac:dyDescent="0.25">
      <c r="A1469" t="str">
        <f t="shared" si="232"/>
        <v>AK9 - 1998</v>
      </c>
      <c r="B1469" t="s">
        <v>38</v>
      </c>
      <c r="C1469">
        <v>8</v>
      </c>
      <c r="D1469">
        <v>13</v>
      </c>
      <c r="E1469">
        <v>1998</v>
      </c>
      <c r="F1469">
        <v>220.7</v>
      </c>
      <c r="G1469">
        <v>3.9</v>
      </c>
      <c r="H1469">
        <v>3.9</v>
      </c>
      <c r="I1469">
        <v>0</v>
      </c>
      <c r="J1469">
        <v>0</v>
      </c>
      <c r="K1469">
        <v>53.6</v>
      </c>
      <c r="L1469">
        <v>1530.2</v>
      </c>
      <c r="M1469">
        <v>365</v>
      </c>
      <c r="N1469">
        <v>365</v>
      </c>
      <c r="Q1469">
        <v>334</v>
      </c>
      <c r="R1469">
        <v>467</v>
      </c>
      <c r="S1469">
        <v>133</v>
      </c>
      <c r="T1469">
        <v>249</v>
      </c>
      <c r="U1469">
        <v>395</v>
      </c>
      <c r="V1469">
        <v>365</v>
      </c>
      <c r="W1469">
        <v>500</v>
      </c>
      <c r="X1469">
        <v>2.79</v>
      </c>
    </row>
    <row r="1470" spans="1:24" hidden="1" outlineLevel="2" x14ac:dyDescent="0.25">
      <c r="A1470" t="str">
        <f t="shared" si="232"/>
        <v>AK9 - 1998</v>
      </c>
      <c r="B1470" t="s">
        <v>38</v>
      </c>
      <c r="C1470">
        <v>10</v>
      </c>
      <c r="D1470">
        <v>13</v>
      </c>
      <c r="E1470">
        <v>1998</v>
      </c>
      <c r="F1470">
        <v>204.6</v>
      </c>
      <c r="G1470">
        <v>8.4</v>
      </c>
      <c r="H1470">
        <v>6.9</v>
      </c>
      <c r="I1470">
        <v>1.5</v>
      </c>
      <c r="J1470">
        <v>17</v>
      </c>
      <c r="K1470">
        <v>105.8</v>
      </c>
      <c r="L1470">
        <v>1315.1</v>
      </c>
      <c r="M1470">
        <v>410</v>
      </c>
      <c r="N1470">
        <v>387</v>
      </c>
      <c r="O1470">
        <v>514</v>
      </c>
      <c r="P1470">
        <v>127</v>
      </c>
      <c r="Q1470">
        <v>309</v>
      </c>
      <c r="R1470">
        <v>529</v>
      </c>
      <c r="S1470">
        <v>220</v>
      </c>
      <c r="T1470">
        <v>289.5</v>
      </c>
      <c r="U1470">
        <v>393</v>
      </c>
      <c r="V1470">
        <v>393</v>
      </c>
      <c r="W1470">
        <v>500</v>
      </c>
      <c r="X1470">
        <v>2.79</v>
      </c>
    </row>
    <row r="1471" spans="1:24" hidden="1" outlineLevel="2" x14ac:dyDescent="0.25">
      <c r="A1471" t="str">
        <f t="shared" si="232"/>
        <v>AK9 - 1998</v>
      </c>
      <c r="B1471" t="s">
        <v>38</v>
      </c>
      <c r="C1471">
        <v>11</v>
      </c>
      <c r="D1471">
        <v>13</v>
      </c>
      <c r="E1471">
        <v>1998</v>
      </c>
      <c r="F1471">
        <v>265.10000000000002</v>
      </c>
      <c r="G1471">
        <v>10.8</v>
      </c>
      <c r="H1471">
        <v>9.9</v>
      </c>
      <c r="I1471">
        <v>0.9</v>
      </c>
      <c r="J1471">
        <v>8</v>
      </c>
      <c r="K1471">
        <v>176.2</v>
      </c>
      <c r="L1471">
        <v>2207.8000000000002</v>
      </c>
      <c r="M1471">
        <v>371</v>
      </c>
      <c r="N1471">
        <v>356</v>
      </c>
      <c r="O1471">
        <v>542</v>
      </c>
      <c r="P1471">
        <v>186</v>
      </c>
      <c r="Q1471">
        <v>311</v>
      </c>
      <c r="R1471">
        <v>571</v>
      </c>
      <c r="S1471">
        <v>260</v>
      </c>
      <c r="T1471">
        <v>331.8</v>
      </c>
      <c r="U1471">
        <v>389</v>
      </c>
      <c r="V1471">
        <v>385</v>
      </c>
      <c r="W1471">
        <v>500</v>
      </c>
      <c r="X1471">
        <v>2.79</v>
      </c>
    </row>
    <row r="1472" spans="1:24" hidden="1" outlineLevel="2" x14ac:dyDescent="0.25">
      <c r="A1472" t="str">
        <f t="shared" si="232"/>
        <v>AK9 - 1998</v>
      </c>
      <c r="B1472" t="s">
        <v>38</v>
      </c>
      <c r="C1472">
        <v>13</v>
      </c>
      <c r="D1472">
        <v>13</v>
      </c>
      <c r="E1472">
        <v>1998</v>
      </c>
      <c r="F1472">
        <v>238.4</v>
      </c>
      <c r="G1472">
        <v>12.6</v>
      </c>
      <c r="H1472">
        <v>9.9</v>
      </c>
      <c r="I1472">
        <v>2.7</v>
      </c>
      <c r="J1472">
        <v>21</v>
      </c>
      <c r="K1472">
        <v>183.7</v>
      </c>
      <c r="L1472">
        <v>1785.5</v>
      </c>
      <c r="M1472">
        <v>404</v>
      </c>
      <c r="N1472">
        <v>372</v>
      </c>
      <c r="O1472">
        <v>522</v>
      </c>
      <c r="P1472">
        <v>150</v>
      </c>
      <c r="Q1472">
        <v>326</v>
      </c>
      <c r="R1472">
        <v>566</v>
      </c>
      <c r="S1472">
        <v>240</v>
      </c>
      <c r="T1472">
        <v>286.8</v>
      </c>
      <c r="U1472">
        <v>408</v>
      </c>
      <c r="V1472">
        <v>398</v>
      </c>
      <c r="W1472">
        <v>500</v>
      </c>
      <c r="X1472">
        <v>2.79</v>
      </c>
    </row>
    <row r="1473" spans="1:24" hidden="1" outlineLevel="2" x14ac:dyDescent="0.25">
      <c r="A1473" t="str">
        <f t="shared" si="232"/>
        <v>AK9 - 1998</v>
      </c>
      <c r="B1473" t="s">
        <v>38</v>
      </c>
      <c r="C1473">
        <v>14</v>
      </c>
      <c r="D1473">
        <v>13</v>
      </c>
      <c r="E1473">
        <v>1998</v>
      </c>
      <c r="F1473">
        <v>140.5</v>
      </c>
      <c r="G1473">
        <v>2.7</v>
      </c>
      <c r="H1473">
        <v>2.7</v>
      </c>
      <c r="I1473">
        <v>0</v>
      </c>
      <c r="J1473">
        <v>0</v>
      </c>
      <c r="K1473">
        <v>23.6</v>
      </c>
      <c r="L1473">
        <v>620.20000000000005</v>
      </c>
      <c r="M1473">
        <v>359</v>
      </c>
      <c r="N1473">
        <v>359</v>
      </c>
      <c r="Q1473">
        <v>318</v>
      </c>
      <c r="R1473">
        <v>439</v>
      </c>
      <c r="S1473">
        <v>121</v>
      </c>
      <c r="T1473">
        <v>173.4</v>
      </c>
      <c r="U1473">
        <v>385</v>
      </c>
      <c r="V1473">
        <v>377</v>
      </c>
      <c r="W1473">
        <v>500</v>
      </c>
      <c r="X1473">
        <v>2.79</v>
      </c>
    </row>
    <row r="1474" spans="1:24" outlineLevel="1" collapsed="1" x14ac:dyDescent="0.25">
      <c r="A1474" s="8" t="s">
        <v>154</v>
      </c>
      <c r="D1474">
        <f t="shared" ref="D1474:V1474" si="233">SUBTOTAL(1,D1463:D1473)</f>
        <v>12.909090909090908</v>
      </c>
      <c r="E1474">
        <f t="shared" si="233"/>
        <v>1998</v>
      </c>
      <c r="F1474">
        <f t="shared" si="233"/>
        <v>194.34545454545457</v>
      </c>
      <c r="G1474">
        <f t="shared" si="233"/>
        <v>8.0181818181818176</v>
      </c>
      <c r="H1474">
        <f t="shared" si="233"/>
        <v>6.9272727272727277</v>
      </c>
      <c r="I1474">
        <f t="shared" si="233"/>
        <v>1.0909090909090908</v>
      </c>
      <c r="J1474">
        <f t="shared" si="233"/>
        <v>11.272727272727273</v>
      </c>
      <c r="K1474">
        <f t="shared" si="233"/>
        <v>98.354545454545445</v>
      </c>
      <c r="L1474">
        <f t="shared" si="233"/>
        <v>1232.6909090909094</v>
      </c>
      <c r="M1474">
        <f t="shared" si="233"/>
        <v>391.72727272727275</v>
      </c>
      <c r="N1474">
        <f t="shared" si="233"/>
        <v>374.72727272727275</v>
      </c>
      <c r="O1474">
        <f t="shared" si="233"/>
        <v>532.11111111111109</v>
      </c>
      <c r="P1474">
        <f t="shared" si="233"/>
        <v>154.55555555555554</v>
      </c>
      <c r="Q1474">
        <f t="shared" si="233"/>
        <v>318.54545454545456</v>
      </c>
      <c r="R1474">
        <f t="shared" si="233"/>
        <v>537.36363636363637</v>
      </c>
      <c r="S1474">
        <f t="shared" si="233"/>
        <v>218.81818181818181</v>
      </c>
      <c r="T1474">
        <f t="shared" si="233"/>
        <v>247.25454545454548</v>
      </c>
      <c r="U1474">
        <f t="shared" si="233"/>
        <v>401.54545454545456</v>
      </c>
      <c r="V1474">
        <f t="shared" si="233"/>
        <v>393.09090909090907</v>
      </c>
    </row>
    <row r="1475" spans="1:24" hidden="1" outlineLevel="2" x14ac:dyDescent="0.25">
      <c r="A1475" t="str">
        <f t="shared" ref="A1475:A1485" si="234">CONCATENATE(B1475," - ",E1475)</f>
        <v>AK9 - 1999</v>
      </c>
      <c r="B1475" t="s">
        <v>38</v>
      </c>
      <c r="C1475">
        <v>1</v>
      </c>
      <c r="D1475">
        <v>14</v>
      </c>
      <c r="E1475">
        <v>1999</v>
      </c>
      <c r="F1475">
        <v>148.5</v>
      </c>
      <c r="G1475">
        <v>7.8</v>
      </c>
      <c r="H1475">
        <v>7.2</v>
      </c>
      <c r="I1475">
        <v>0.6</v>
      </c>
      <c r="J1475">
        <v>7</v>
      </c>
      <c r="K1475">
        <v>70.900000000000006</v>
      </c>
      <c r="L1475">
        <v>692.8</v>
      </c>
      <c r="M1475">
        <v>364</v>
      </c>
      <c r="N1475">
        <v>349</v>
      </c>
      <c r="O1475">
        <v>553</v>
      </c>
      <c r="P1475">
        <v>204</v>
      </c>
      <c r="Q1475">
        <v>305</v>
      </c>
      <c r="R1475">
        <v>554</v>
      </c>
      <c r="S1475">
        <v>249</v>
      </c>
      <c r="T1475">
        <v>170.1</v>
      </c>
      <c r="U1475">
        <v>401</v>
      </c>
      <c r="V1475">
        <v>383</v>
      </c>
      <c r="W1475">
        <v>500</v>
      </c>
      <c r="X1475">
        <v>2.79</v>
      </c>
    </row>
    <row r="1476" spans="1:24" hidden="1" outlineLevel="2" x14ac:dyDescent="0.25">
      <c r="A1476" t="str">
        <f t="shared" si="234"/>
        <v>AK9 - 1999</v>
      </c>
      <c r="B1476" t="s">
        <v>38</v>
      </c>
      <c r="C1476">
        <v>3</v>
      </c>
      <c r="D1476">
        <v>14</v>
      </c>
      <c r="E1476">
        <v>1999</v>
      </c>
      <c r="F1476">
        <v>177.2</v>
      </c>
      <c r="G1476">
        <v>9.3000000000000007</v>
      </c>
      <c r="H1476">
        <v>7.8</v>
      </c>
      <c r="I1476">
        <v>1.5</v>
      </c>
      <c r="J1476">
        <v>16</v>
      </c>
      <c r="K1476">
        <v>100.8</v>
      </c>
      <c r="L1476">
        <v>986.5</v>
      </c>
      <c r="M1476">
        <v>443</v>
      </c>
      <c r="N1476">
        <v>425</v>
      </c>
      <c r="O1476">
        <v>534</v>
      </c>
      <c r="P1476">
        <v>109</v>
      </c>
      <c r="Q1476">
        <v>371</v>
      </c>
      <c r="R1476">
        <v>560</v>
      </c>
      <c r="S1476">
        <v>189</v>
      </c>
      <c r="T1476">
        <v>227.4</v>
      </c>
      <c r="U1476">
        <v>423</v>
      </c>
      <c r="V1476">
        <v>424</v>
      </c>
      <c r="W1476">
        <v>500</v>
      </c>
      <c r="X1476">
        <v>2.79</v>
      </c>
    </row>
    <row r="1477" spans="1:24" hidden="1" outlineLevel="2" x14ac:dyDescent="0.25">
      <c r="A1477" t="str">
        <f t="shared" si="234"/>
        <v>AK9 - 1999</v>
      </c>
      <c r="B1477" t="s">
        <v>38</v>
      </c>
      <c r="C1477">
        <v>4</v>
      </c>
      <c r="D1477">
        <v>14</v>
      </c>
      <c r="E1477">
        <v>1999</v>
      </c>
      <c r="F1477">
        <v>183.2</v>
      </c>
      <c r="G1477">
        <v>15</v>
      </c>
      <c r="H1477">
        <v>14.1</v>
      </c>
      <c r="I1477">
        <v>0.9</v>
      </c>
      <c r="J1477">
        <v>6</v>
      </c>
      <c r="K1477">
        <v>165.6</v>
      </c>
      <c r="L1477">
        <v>1054.4000000000001</v>
      </c>
      <c r="M1477">
        <v>378</v>
      </c>
      <c r="N1477">
        <v>369</v>
      </c>
      <c r="O1477">
        <v>508</v>
      </c>
      <c r="P1477">
        <v>139</v>
      </c>
      <c r="Q1477">
        <v>314</v>
      </c>
      <c r="R1477">
        <v>516</v>
      </c>
      <c r="S1477">
        <v>202</v>
      </c>
      <c r="T1477">
        <v>244.8</v>
      </c>
      <c r="U1477">
        <v>388</v>
      </c>
      <c r="V1477">
        <v>385</v>
      </c>
      <c r="W1477">
        <v>500</v>
      </c>
      <c r="X1477">
        <v>2.79</v>
      </c>
    </row>
    <row r="1478" spans="1:24" hidden="1" outlineLevel="2" x14ac:dyDescent="0.25">
      <c r="A1478" t="str">
        <f t="shared" si="234"/>
        <v>AK9 - 1999</v>
      </c>
      <c r="B1478" t="s">
        <v>38</v>
      </c>
      <c r="C1478">
        <v>5</v>
      </c>
      <c r="D1478">
        <v>14</v>
      </c>
      <c r="E1478">
        <v>1999</v>
      </c>
      <c r="F1478">
        <v>180.2</v>
      </c>
      <c r="G1478">
        <v>11.4</v>
      </c>
      <c r="H1478">
        <v>9.6</v>
      </c>
      <c r="I1478">
        <v>1.8</v>
      </c>
      <c r="J1478">
        <v>15</v>
      </c>
      <c r="K1478">
        <v>125</v>
      </c>
      <c r="L1478">
        <v>1020.1</v>
      </c>
      <c r="M1478">
        <v>437</v>
      </c>
      <c r="N1478">
        <v>416</v>
      </c>
      <c r="O1478">
        <v>546</v>
      </c>
      <c r="P1478">
        <v>130</v>
      </c>
      <c r="Q1478">
        <v>336</v>
      </c>
      <c r="R1478">
        <v>590</v>
      </c>
      <c r="S1478">
        <v>254</v>
      </c>
      <c r="T1478">
        <v>244.5</v>
      </c>
      <c r="U1478">
        <v>434</v>
      </c>
      <c r="V1478">
        <v>429</v>
      </c>
      <c r="W1478">
        <v>500</v>
      </c>
      <c r="X1478">
        <v>2.79</v>
      </c>
    </row>
    <row r="1479" spans="1:24" hidden="1" outlineLevel="2" x14ac:dyDescent="0.25">
      <c r="A1479" t="str">
        <f t="shared" si="234"/>
        <v>AK9 - 1999</v>
      </c>
      <c r="B1479" t="s">
        <v>38</v>
      </c>
      <c r="C1479">
        <v>6</v>
      </c>
      <c r="D1479">
        <v>13</v>
      </c>
      <c r="E1479">
        <v>1999</v>
      </c>
      <c r="F1479">
        <v>221</v>
      </c>
      <c r="G1479">
        <v>11.1</v>
      </c>
      <c r="H1479">
        <v>9.9</v>
      </c>
      <c r="I1479">
        <v>1.2</v>
      </c>
      <c r="J1479">
        <v>10</v>
      </c>
      <c r="K1479">
        <v>150.30000000000001</v>
      </c>
      <c r="L1479">
        <v>1534.4</v>
      </c>
      <c r="M1479">
        <v>388</v>
      </c>
      <c r="N1479">
        <v>373</v>
      </c>
      <c r="O1479">
        <v>512</v>
      </c>
      <c r="P1479">
        <v>139</v>
      </c>
      <c r="Q1479">
        <v>319</v>
      </c>
      <c r="R1479">
        <v>526</v>
      </c>
      <c r="S1479">
        <v>207</v>
      </c>
      <c r="T1479">
        <v>256.8</v>
      </c>
      <c r="U1479">
        <v>400</v>
      </c>
      <c r="V1479">
        <v>395</v>
      </c>
      <c r="W1479">
        <v>500</v>
      </c>
      <c r="X1479">
        <v>2.79</v>
      </c>
    </row>
    <row r="1480" spans="1:24" hidden="1" outlineLevel="2" x14ac:dyDescent="0.25">
      <c r="A1480" t="str">
        <f t="shared" si="234"/>
        <v>AK9 - 1999</v>
      </c>
      <c r="B1480" t="s">
        <v>38</v>
      </c>
      <c r="C1480">
        <v>7</v>
      </c>
      <c r="D1480">
        <v>14</v>
      </c>
      <c r="E1480">
        <v>1999</v>
      </c>
      <c r="F1480">
        <v>220.8</v>
      </c>
      <c r="G1480">
        <v>7.8</v>
      </c>
      <c r="H1480">
        <v>7.5</v>
      </c>
      <c r="I1480">
        <v>0.3</v>
      </c>
      <c r="J1480">
        <v>3</v>
      </c>
      <c r="K1480">
        <v>106.3</v>
      </c>
      <c r="L1480">
        <v>1531.6</v>
      </c>
      <c r="M1480">
        <v>400</v>
      </c>
      <c r="N1480">
        <v>393</v>
      </c>
      <c r="O1480">
        <v>563</v>
      </c>
      <c r="P1480">
        <v>170</v>
      </c>
      <c r="Q1480">
        <v>341</v>
      </c>
      <c r="R1480">
        <v>563</v>
      </c>
      <c r="S1480">
        <v>222</v>
      </c>
      <c r="T1480">
        <v>245.7</v>
      </c>
      <c r="U1480">
        <v>401</v>
      </c>
      <c r="V1480">
        <v>390</v>
      </c>
      <c r="W1480">
        <v>500</v>
      </c>
      <c r="X1480">
        <v>2.79</v>
      </c>
    </row>
    <row r="1481" spans="1:24" hidden="1" outlineLevel="2" x14ac:dyDescent="0.25">
      <c r="A1481" t="str">
        <f t="shared" si="234"/>
        <v>AK9 - 1999</v>
      </c>
      <c r="B1481" t="s">
        <v>38</v>
      </c>
      <c r="C1481">
        <v>8</v>
      </c>
      <c r="D1481">
        <v>14</v>
      </c>
      <c r="E1481">
        <v>1999</v>
      </c>
      <c r="F1481">
        <v>225.2</v>
      </c>
      <c r="G1481">
        <v>4.5</v>
      </c>
      <c r="H1481">
        <v>4.5</v>
      </c>
      <c r="I1481">
        <v>0</v>
      </c>
      <c r="J1481">
        <v>0</v>
      </c>
      <c r="K1481">
        <v>63</v>
      </c>
      <c r="L1481">
        <v>1593.3</v>
      </c>
      <c r="M1481">
        <v>368</v>
      </c>
      <c r="N1481">
        <v>368</v>
      </c>
      <c r="Q1481">
        <v>322</v>
      </c>
      <c r="R1481">
        <v>465</v>
      </c>
      <c r="S1481">
        <v>143</v>
      </c>
      <c r="T1481">
        <v>249</v>
      </c>
      <c r="U1481">
        <v>395</v>
      </c>
      <c r="V1481">
        <v>365</v>
      </c>
      <c r="W1481">
        <v>500</v>
      </c>
      <c r="X1481">
        <v>2.79</v>
      </c>
    </row>
    <row r="1482" spans="1:24" hidden="1" outlineLevel="2" x14ac:dyDescent="0.25">
      <c r="A1482" t="str">
        <f t="shared" si="234"/>
        <v>AK9 - 1999</v>
      </c>
      <c r="B1482" t="s">
        <v>38</v>
      </c>
      <c r="C1482">
        <v>10</v>
      </c>
      <c r="D1482">
        <v>14</v>
      </c>
      <c r="E1482">
        <v>1999</v>
      </c>
      <c r="F1482">
        <v>216.6</v>
      </c>
      <c r="G1482">
        <v>12</v>
      </c>
      <c r="H1482">
        <v>11.1</v>
      </c>
      <c r="I1482">
        <v>0.9</v>
      </c>
      <c r="J1482">
        <v>7</v>
      </c>
      <c r="K1482">
        <v>158.80000000000001</v>
      </c>
      <c r="L1482">
        <v>1473.9</v>
      </c>
      <c r="M1482">
        <v>397</v>
      </c>
      <c r="N1482">
        <v>387</v>
      </c>
      <c r="O1482">
        <v>522</v>
      </c>
      <c r="P1482">
        <v>135</v>
      </c>
      <c r="Q1482">
        <v>339</v>
      </c>
      <c r="R1482">
        <v>537</v>
      </c>
      <c r="S1482">
        <v>198</v>
      </c>
      <c r="T1482">
        <v>289.5</v>
      </c>
      <c r="U1482">
        <v>393</v>
      </c>
      <c r="V1482">
        <v>393</v>
      </c>
      <c r="W1482">
        <v>500</v>
      </c>
      <c r="X1482">
        <v>2.79</v>
      </c>
    </row>
    <row r="1483" spans="1:24" hidden="1" outlineLevel="2" x14ac:dyDescent="0.25">
      <c r="A1483" t="str">
        <f t="shared" si="234"/>
        <v>AK9 - 1999</v>
      </c>
      <c r="B1483" t="s">
        <v>38</v>
      </c>
      <c r="C1483">
        <v>11</v>
      </c>
      <c r="D1483">
        <v>14</v>
      </c>
      <c r="E1483">
        <v>1999</v>
      </c>
      <c r="F1483">
        <v>275.89999999999998</v>
      </c>
      <c r="G1483">
        <v>10.8</v>
      </c>
      <c r="H1483">
        <v>10.8</v>
      </c>
      <c r="I1483">
        <v>0</v>
      </c>
      <c r="J1483">
        <v>0</v>
      </c>
      <c r="K1483">
        <v>183.6</v>
      </c>
      <c r="L1483">
        <v>2391.4</v>
      </c>
      <c r="M1483">
        <v>386</v>
      </c>
      <c r="N1483">
        <v>386</v>
      </c>
      <c r="Q1483">
        <v>327</v>
      </c>
      <c r="R1483">
        <v>499</v>
      </c>
      <c r="S1483">
        <v>172</v>
      </c>
      <c r="T1483">
        <v>331.8</v>
      </c>
      <c r="U1483">
        <v>389</v>
      </c>
      <c r="V1483">
        <v>385</v>
      </c>
      <c r="W1483">
        <v>500</v>
      </c>
      <c r="X1483">
        <v>2.79</v>
      </c>
    </row>
    <row r="1484" spans="1:24" hidden="1" outlineLevel="2" x14ac:dyDescent="0.25">
      <c r="A1484" t="str">
        <f t="shared" si="234"/>
        <v>AK9 - 1999</v>
      </c>
      <c r="B1484" t="s">
        <v>38</v>
      </c>
      <c r="C1484">
        <v>13</v>
      </c>
      <c r="D1484">
        <v>14</v>
      </c>
      <c r="E1484">
        <v>1999</v>
      </c>
      <c r="F1484">
        <v>252.5</v>
      </c>
      <c r="G1484">
        <v>14.1</v>
      </c>
      <c r="H1484">
        <v>12.6</v>
      </c>
      <c r="I1484">
        <v>1.5</v>
      </c>
      <c r="J1484">
        <v>10</v>
      </c>
      <c r="K1484">
        <v>217.5</v>
      </c>
      <c r="L1484">
        <v>2003</v>
      </c>
      <c r="M1484">
        <v>390</v>
      </c>
      <c r="N1484">
        <v>374</v>
      </c>
      <c r="O1484">
        <v>521</v>
      </c>
      <c r="P1484">
        <v>147</v>
      </c>
      <c r="Q1484">
        <v>325</v>
      </c>
      <c r="R1484">
        <v>550</v>
      </c>
      <c r="S1484">
        <v>225</v>
      </c>
      <c r="T1484">
        <v>286.8</v>
      </c>
      <c r="U1484">
        <v>408</v>
      </c>
      <c r="V1484">
        <v>398</v>
      </c>
      <c r="W1484">
        <v>500</v>
      </c>
      <c r="X1484">
        <v>2.79</v>
      </c>
    </row>
    <row r="1485" spans="1:24" hidden="1" outlineLevel="2" x14ac:dyDescent="0.25">
      <c r="A1485" t="str">
        <f t="shared" si="234"/>
        <v>AK9 - 1999</v>
      </c>
      <c r="B1485" t="s">
        <v>38</v>
      </c>
      <c r="C1485">
        <v>14</v>
      </c>
      <c r="D1485">
        <v>14</v>
      </c>
      <c r="E1485">
        <v>1999</v>
      </c>
      <c r="F1485">
        <v>142.9</v>
      </c>
      <c r="G1485">
        <v>2.4</v>
      </c>
      <c r="H1485">
        <v>2.1</v>
      </c>
      <c r="I1485">
        <v>0.3</v>
      </c>
      <c r="J1485">
        <v>12</v>
      </c>
      <c r="K1485">
        <v>21.4</v>
      </c>
      <c r="L1485">
        <v>641.5</v>
      </c>
      <c r="M1485">
        <v>429</v>
      </c>
      <c r="N1485">
        <v>419</v>
      </c>
      <c r="O1485">
        <v>503</v>
      </c>
      <c r="P1485">
        <v>84</v>
      </c>
      <c r="Q1485">
        <v>316</v>
      </c>
      <c r="R1485">
        <v>503</v>
      </c>
      <c r="S1485">
        <v>187</v>
      </c>
      <c r="T1485">
        <v>173.4</v>
      </c>
      <c r="U1485">
        <v>385</v>
      </c>
      <c r="V1485">
        <v>377</v>
      </c>
      <c r="W1485">
        <v>500</v>
      </c>
      <c r="X1485">
        <v>2.79</v>
      </c>
    </row>
    <row r="1486" spans="1:24" outlineLevel="1" collapsed="1" x14ac:dyDescent="0.25">
      <c r="A1486" s="8" t="s">
        <v>155</v>
      </c>
      <c r="D1486">
        <f t="shared" ref="D1486:V1486" si="235">SUBTOTAL(1,D1475:D1485)</f>
        <v>13.909090909090908</v>
      </c>
      <c r="E1486">
        <f t="shared" si="235"/>
        <v>1999</v>
      </c>
      <c r="F1486">
        <f t="shared" si="235"/>
        <v>204</v>
      </c>
      <c r="G1486">
        <f t="shared" si="235"/>
        <v>9.6545454545454543</v>
      </c>
      <c r="H1486">
        <f t="shared" si="235"/>
        <v>8.836363636363636</v>
      </c>
      <c r="I1486">
        <f t="shared" si="235"/>
        <v>0.81818181818181823</v>
      </c>
      <c r="J1486">
        <f t="shared" si="235"/>
        <v>7.8181818181818183</v>
      </c>
      <c r="K1486">
        <f t="shared" si="235"/>
        <v>123.92727272727271</v>
      </c>
      <c r="L1486">
        <f t="shared" si="235"/>
        <v>1356.6272727272726</v>
      </c>
      <c r="M1486">
        <f t="shared" si="235"/>
        <v>398.18181818181819</v>
      </c>
      <c r="N1486">
        <f t="shared" si="235"/>
        <v>387.18181818181819</v>
      </c>
      <c r="O1486">
        <f t="shared" si="235"/>
        <v>529.11111111111109</v>
      </c>
      <c r="P1486">
        <f t="shared" si="235"/>
        <v>139.66666666666666</v>
      </c>
      <c r="Q1486">
        <f t="shared" si="235"/>
        <v>328.63636363636363</v>
      </c>
      <c r="R1486">
        <f t="shared" si="235"/>
        <v>533</v>
      </c>
      <c r="S1486">
        <f t="shared" si="235"/>
        <v>204.36363636363637</v>
      </c>
      <c r="T1486">
        <f t="shared" si="235"/>
        <v>247.25454545454548</v>
      </c>
      <c r="U1486">
        <f t="shared" si="235"/>
        <v>401.54545454545456</v>
      </c>
      <c r="V1486">
        <f t="shared" si="235"/>
        <v>393.09090909090907</v>
      </c>
    </row>
    <row r="1487" spans="1:24" hidden="1" outlineLevel="2" x14ac:dyDescent="0.25">
      <c r="A1487" t="str">
        <f t="shared" ref="A1487:A1497" si="236">CONCATENATE(B1487," - ",E1487)</f>
        <v>AK9 - 2000</v>
      </c>
      <c r="B1487" t="s">
        <v>38</v>
      </c>
      <c r="C1487">
        <v>1</v>
      </c>
      <c r="D1487">
        <v>15</v>
      </c>
      <c r="E1487">
        <v>2000</v>
      </c>
      <c r="F1487">
        <v>154.5</v>
      </c>
      <c r="G1487">
        <v>6</v>
      </c>
      <c r="H1487">
        <v>5.0999999999999996</v>
      </c>
      <c r="I1487">
        <v>0.9</v>
      </c>
      <c r="J1487">
        <v>15</v>
      </c>
      <c r="K1487">
        <v>57.1</v>
      </c>
      <c r="L1487">
        <v>749.9</v>
      </c>
      <c r="M1487">
        <v>385</v>
      </c>
      <c r="N1487">
        <v>354</v>
      </c>
      <c r="O1487">
        <v>559</v>
      </c>
      <c r="P1487">
        <v>205</v>
      </c>
      <c r="Q1487">
        <v>321</v>
      </c>
      <c r="R1487">
        <v>581</v>
      </c>
      <c r="S1487">
        <v>260</v>
      </c>
      <c r="T1487">
        <v>170.1</v>
      </c>
      <c r="U1487">
        <v>401</v>
      </c>
      <c r="V1487">
        <v>383</v>
      </c>
      <c r="W1487">
        <v>500</v>
      </c>
      <c r="X1487">
        <v>2.79</v>
      </c>
    </row>
    <row r="1488" spans="1:24" hidden="1" outlineLevel="2" x14ac:dyDescent="0.25">
      <c r="A1488" t="str">
        <f t="shared" si="236"/>
        <v>AK9 - 2000</v>
      </c>
      <c r="B1488" t="s">
        <v>38</v>
      </c>
      <c r="C1488">
        <v>3</v>
      </c>
      <c r="D1488">
        <v>15</v>
      </c>
      <c r="E1488">
        <v>2000</v>
      </c>
      <c r="F1488">
        <v>185</v>
      </c>
      <c r="G1488">
        <v>7.8</v>
      </c>
      <c r="H1488">
        <v>6.6</v>
      </c>
      <c r="I1488">
        <v>1.2</v>
      </c>
      <c r="J1488">
        <v>15</v>
      </c>
      <c r="K1488">
        <v>88.8</v>
      </c>
      <c r="L1488">
        <v>1075.2</v>
      </c>
      <c r="M1488">
        <v>440</v>
      </c>
      <c r="N1488">
        <v>416</v>
      </c>
      <c r="O1488">
        <v>572</v>
      </c>
      <c r="P1488">
        <v>156</v>
      </c>
      <c r="Q1488">
        <v>356</v>
      </c>
      <c r="R1488">
        <v>602</v>
      </c>
      <c r="S1488">
        <v>246</v>
      </c>
      <c r="T1488">
        <v>227.4</v>
      </c>
      <c r="U1488">
        <v>423</v>
      </c>
      <c r="V1488">
        <v>424</v>
      </c>
      <c r="W1488">
        <v>500</v>
      </c>
      <c r="X1488">
        <v>2.79</v>
      </c>
    </row>
    <row r="1489" spans="1:24" hidden="1" outlineLevel="2" x14ac:dyDescent="0.25">
      <c r="A1489" t="str">
        <f t="shared" si="236"/>
        <v>AK9 - 2000</v>
      </c>
      <c r="B1489" t="s">
        <v>38</v>
      </c>
      <c r="C1489">
        <v>4</v>
      </c>
      <c r="D1489">
        <v>15</v>
      </c>
      <c r="E1489">
        <v>2000</v>
      </c>
      <c r="F1489">
        <v>191</v>
      </c>
      <c r="G1489">
        <v>7.8</v>
      </c>
      <c r="H1489">
        <v>7.2</v>
      </c>
      <c r="I1489">
        <v>0.6</v>
      </c>
      <c r="J1489">
        <v>7</v>
      </c>
      <c r="K1489">
        <v>91.7</v>
      </c>
      <c r="L1489">
        <v>1146.0999999999999</v>
      </c>
      <c r="M1489">
        <v>367</v>
      </c>
      <c r="N1489">
        <v>355</v>
      </c>
      <c r="O1489">
        <v>512</v>
      </c>
      <c r="P1489">
        <v>157</v>
      </c>
      <c r="Q1489">
        <v>297</v>
      </c>
      <c r="R1489">
        <v>517</v>
      </c>
      <c r="S1489">
        <v>220</v>
      </c>
      <c r="T1489">
        <v>244.8</v>
      </c>
      <c r="U1489">
        <v>388</v>
      </c>
      <c r="V1489">
        <v>385</v>
      </c>
      <c r="W1489">
        <v>500</v>
      </c>
      <c r="X1489">
        <v>2.79</v>
      </c>
    </row>
    <row r="1490" spans="1:24" hidden="1" outlineLevel="2" x14ac:dyDescent="0.25">
      <c r="A1490" t="str">
        <f t="shared" si="236"/>
        <v>AK9 - 2000</v>
      </c>
      <c r="B1490" t="s">
        <v>38</v>
      </c>
      <c r="C1490">
        <v>5</v>
      </c>
      <c r="D1490">
        <v>15</v>
      </c>
      <c r="E1490">
        <v>2000</v>
      </c>
      <c r="F1490">
        <v>187.7</v>
      </c>
      <c r="G1490">
        <v>7.5</v>
      </c>
      <c r="H1490">
        <v>6.6</v>
      </c>
      <c r="I1490">
        <v>0.9</v>
      </c>
      <c r="J1490">
        <v>12</v>
      </c>
      <c r="K1490">
        <v>86.7</v>
      </c>
      <c r="L1490">
        <v>1106.8</v>
      </c>
      <c r="M1490">
        <v>418</v>
      </c>
      <c r="N1490">
        <v>398</v>
      </c>
      <c r="O1490">
        <v>559</v>
      </c>
      <c r="P1490">
        <v>161</v>
      </c>
      <c r="Q1490">
        <v>335</v>
      </c>
      <c r="R1490">
        <v>592</v>
      </c>
      <c r="S1490">
        <v>257</v>
      </c>
      <c r="T1490">
        <v>244.5</v>
      </c>
      <c r="U1490">
        <v>434</v>
      </c>
      <c r="V1490">
        <v>429</v>
      </c>
      <c r="W1490">
        <v>500</v>
      </c>
      <c r="X1490">
        <v>2.79</v>
      </c>
    </row>
    <row r="1491" spans="1:24" hidden="1" outlineLevel="2" x14ac:dyDescent="0.25">
      <c r="A1491" t="str">
        <f t="shared" si="236"/>
        <v>AK9 - 2000</v>
      </c>
      <c r="B1491" t="s">
        <v>38</v>
      </c>
      <c r="C1491">
        <v>6</v>
      </c>
      <c r="D1491">
        <v>14</v>
      </c>
      <c r="E1491">
        <v>2000</v>
      </c>
      <c r="F1491">
        <v>227.9</v>
      </c>
      <c r="G1491">
        <v>6.9</v>
      </c>
      <c r="H1491">
        <v>6.3</v>
      </c>
      <c r="I1491">
        <v>0.6</v>
      </c>
      <c r="J1491">
        <v>8</v>
      </c>
      <c r="K1491">
        <v>97.3</v>
      </c>
      <c r="L1491">
        <v>1631.7</v>
      </c>
      <c r="M1491">
        <v>383</v>
      </c>
      <c r="N1491">
        <v>371</v>
      </c>
      <c r="O1491">
        <v>508</v>
      </c>
      <c r="P1491">
        <v>137</v>
      </c>
      <c r="Q1491">
        <v>304</v>
      </c>
      <c r="R1491">
        <v>512</v>
      </c>
      <c r="S1491">
        <v>208</v>
      </c>
      <c r="T1491">
        <v>256.8</v>
      </c>
      <c r="U1491">
        <v>400</v>
      </c>
      <c r="V1491">
        <v>395</v>
      </c>
      <c r="W1491">
        <v>500</v>
      </c>
      <c r="X1491">
        <v>2.79</v>
      </c>
    </row>
    <row r="1492" spans="1:24" hidden="1" outlineLevel="2" x14ac:dyDescent="0.25">
      <c r="A1492" t="str">
        <f t="shared" si="236"/>
        <v>AK9 - 2000</v>
      </c>
      <c r="B1492" t="s">
        <v>38</v>
      </c>
      <c r="C1492">
        <v>7</v>
      </c>
      <c r="D1492">
        <v>15</v>
      </c>
      <c r="E1492">
        <v>2000</v>
      </c>
      <c r="F1492">
        <v>227.7</v>
      </c>
      <c r="G1492">
        <v>6.9</v>
      </c>
      <c r="H1492">
        <v>6</v>
      </c>
      <c r="I1492">
        <v>0.9</v>
      </c>
      <c r="J1492">
        <v>13</v>
      </c>
      <c r="K1492">
        <v>97.2</v>
      </c>
      <c r="L1492">
        <v>1628.8</v>
      </c>
      <c r="M1492">
        <v>412</v>
      </c>
      <c r="N1492">
        <v>392</v>
      </c>
      <c r="O1492">
        <v>548</v>
      </c>
      <c r="P1492">
        <v>156</v>
      </c>
      <c r="Q1492">
        <v>345</v>
      </c>
      <c r="R1492">
        <v>568</v>
      </c>
      <c r="S1492">
        <v>223</v>
      </c>
      <c r="T1492">
        <v>245.7</v>
      </c>
      <c r="U1492">
        <v>401</v>
      </c>
      <c r="V1492">
        <v>390</v>
      </c>
      <c r="W1492">
        <v>500</v>
      </c>
      <c r="X1492">
        <v>2.79</v>
      </c>
    </row>
    <row r="1493" spans="1:24" hidden="1" outlineLevel="2" x14ac:dyDescent="0.25">
      <c r="A1493" t="str">
        <f t="shared" si="236"/>
        <v>AK9 - 2000</v>
      </c>
      <c r="B1493" t="s">
        <v>38</v>
      </c>
      <c r="C1493">
        <v>8</v>
      </c>
      <c r="D1493">
        <v>15</v>
      </c>
      <c r="E1493">
        <v>2000</v>
      </c>
      <c r="F1493">
        <v>229.4</v>
      </c>
      <c r="G1493">
        <v>4.2</v>
      </c>
      <c r="H1493">
        <v>3.9</v>
      </c>
      <c r="I1493">
        <v>0.3</v>
      </c>
      <c r="J1493">
        <v>7</v>
      </c>
      <c r="K1493">
        <v>60</v>
      </c>
      <c r="L1493">
        <v>1653.2</v>
      </c>
      <c r="M1493">
        <v>388</v>
      </c>
      <c r="N1493">
        <v>378</v>
      </c>
      <c r="O1493">
        <v>516</v>
      </c>
      <c r="P1493">
        <v>138</v>
      </c>
      <c r="Q1493">
        <v>331</v>
      </c>
      <c r="R1493">
        <v>516</v>
      </c>
      <c r="S1493">
        <v>185</v>
      </c>
      <c r="T1493">
        <v>249</v>
      </c>
      <c r="U1493">
        <v>395</v>
      </c>
      <c r="V1493">
        <v>365</v>
      </c>
      <c r="W1493">
        <v>500</v>
      </c>
      <c r="X1493">
        <v>2.79</v>
      </c>
    </row>
    <row r="1494" spans="1:24" hidden="1" outlineLevel="2" x14ac:dyDescent="0.25">
      <c r="A1494" t="str">
        <f t="shared" si="236"/>
        <v>AK9 - 2000</v>
      </c>
      <c r="B1494" t="s">
        <v>38</v>
      </c>
      <c r="C1494">
        <v>10</v>
      </c>
      <c r="D1494">
        <v>15</v>
      </c>
      <c r="E1494">
        <v>2000</v>
      </c>
      <c r="F1494">
        <v>226.2</v>
      </c>
      <c r="G1494">
        <v>9.6</v>
      </c>
      <c r="H1494">
        <v>8.4</v>
      </c>
      <c r="I1494">
        <v>1.2</v>
      </c>
      <c r="J1494">
        <v>12</v>
      </c>
      <c r="K1494">
        <v>133.5</v>
      </c>
      <c r="L1494">
        <v>1607.4</v>
      </c>
      <c r="M1494">
        <v>396</v>
      </c>
      <c r="N1494">
        <v>379</v>
      </c>
      <c r="O1494">
        <v>520</v>
      </c>
      <c r="P1494">
        <v>141</v>
      </c>
      <c r="Q1494">
        <v>312</v>
      </c>
      <c r="R1494">
        <v>550</v>
      </c>
      <c r="S1494">
        <v>238</v>
      </c>
      <c r="T1494">
        <v>289.5</v>
      </c>
      <c r="U1494">
        <v>393</v>
      </c>
      <c r="V1494">
        <v>393</v>
      </c>
      <c r="W1494">
        <v>500</v>
      </c>
      <c r="X1494">
        <v>2.79</v>
      </c>
    </row>
    <row r="1495" spans="1:24" hidden="1" outlineLevel="2" x14ac:dyDescent="0.25">
      <c r="A1495" t="str">
        <f t="shared" si="236"/>
        <v>AK9 - 2000</v>
      </c>
      <c r="B1495" t="s">
        <v>38</v>
      </c>
      <c r="C1495">
        <v>11</v>
      </c>
      <c r="D1495">
        <v>15</v>
      </c>
      <c r="E1495">
        <v>2000</v>
      </c>
      <c r="F1495">
        <v>284</v>
      </c>
      <c r="G1495">
        <v>8.1</v>
      </c>
      <c r="H1495">
        <v>7.5</v>
      </c>
      <c r="I1495">
        <v>0.6</v>
      </c>
      <c r="J1495">
        <v>7</v>
      </c>
      <c r="K1495">
        <v>142.5</v>
      </c>
      <c r="L1495">
        <v>2533.9</v>
      </c>
      <c r="M1495">
        <v>388</v>
      </c>
      <c r="N1495">
        <v>374</v>
      </c>
      <c r="O1495">
        <v>560</v>
      </c>
      <c r="P1495">
        <v>186</v>
      </c>
      <c r="Q1495">
        <v>334</v>
      </c>
      <c r="R1495">
        <v>561</v>
      </c>
      <c r="S1495">
        <v>227</v>
      </c>
      <c r="T1495">
        <v>331.8</v>
      </c>
      <c r="U1495">
        <v>389</v>
      </c>
      <c r="V1495">
        <v>385</v>
      </c>
      <c r="W1495">
        <v>500</v>
      </c>
      <c r="X1495">
        <v>2.79</v>
      </c>
    </row>
    <row r="1496" spans="1:24" hidden="1" outlineLevel="2" x14ac:dyDescent="0.25">
      <c r="A1496" t="str">
        <f t="shared" si="236"/>
        <v>AK9 - 2000</v>
      </c>
      <c r="B1496" t="s">
        <v>38</v>
      </c>
      <c r="C1496">
        <v>13</v>
      </c>
      <c r="D1496">
        <v>15</v>
      </c>
      <c r="E1496">
        <v>2000</v>
      </c>
      <c r="F1496">
        <v>259.7</v>
      </c>
      <c r="G1496">
        <v>7.2</v>
      </c>
      <c r="H1496">
        <v>6.6</v>
      </c>
      <c r="I1496">
        <v>0.6</v>
      </c>
      <c r="J1496">
        <v>8</v>
      </c>
      <c r="K1496">
        <v>115.9</v>
      </c>
      <c r="L1496">
        <v>2118.8000000000002</v>
      </c>
      <c r="M1496">
        <v>393</v>
      </c>
      <c r="N1496">
        <v>380</v>
      </c>
      <c r="O1496">
        <v>541</v>
      </c>
      <c r="P1496">
        <v>161</v>
      </c>
      <c r="Q1496">
        <v>328</v>
      </c>
      <c r="R1496">
        <v>553</v>
      </c>
      <c r="S1496">
        <v>225</v>
      </c>
      <c r="T1496">
        <v>286.8</v>
      </c>
      <c r="U1496">
        <v>408</v>
      </c>
      <c r="V1496">
        <v>398</v>
      </c>
      <c r="W1496">
        <v>500</v>
      </c>
      <c r="X1496">
        <v>2.79</v>
      </c>
    </row>
    <row r="1497" spans="1:24" hidden="1" outlineLevel="2" x14ac:dyDescent="0.25">
      <c r="A1497" t="str">
        <f t="shared" si="236"/>
        <v>AK9 - 2000</v>
      </c>
      <c r="B1497" t="s">
        <v>38</v>
      </c>
      <c r="C1497">
        <v>14</v>
      </c>
      <c r="D1497">
        <v>15</v>
      </c>
      <c r="E1497">
        <v>2000</v>
      </c>
      <c r="F1497">
        <v>145.30000000000001</v>
      </c>
      <c r="G1497">
        <v>2.4</v>
      </c>
      <c r="H1497">
        <v>2.1</v>
      </c>
      <c r="I1497">
        <v>0.3</v>
      </c>
      <c r="J1497">
        <v>12</v>
      </c>
      <c r="K1497">
        <v>21.7</v>
      </c>
      <c r="L1497">
        <v>663.3</v>
      </c>
      <c r="M1497">
        <v>416</v>
      </c>
      <c r="N1497">
        <v>400</v>
      </c>
      <c r="O1497">
        <v>525</v>
      </c>
      <c r="P1497">
        <v>125</v>
      </c>
      <c r="Q1497">
        <v>336</v>
      </c>
      <c r="R1497">
        <v>525</v>
      </c>
      <c r="S1497">
        <v>189</v>
      </c>
      <c r="T1497">
        <v>173.4</v>
      </c>
      <c r="U1497">
        <v>385</v>
      </c>
      <c r="V1497">
        <v>377</v>
      </c>
      <c r="W1497">
        <v>500</v>
      </c>
      <c r="X1497">
        <v>2.79</v>
      </c>
    </row>
    <row r="1498" spans="1:24" outlineLevel="1" collapsed="1" x14ac:dyDescent="0.25">
      <c r="A1498" s="8" t="s">
        <v>156</v>
      </c>
      <c r="D1498">
        <f t="shared" ref="D1498:V1498" si="237">SUBTOTAL(1,D1487:D1497)</f>
        <v>14.909090909090908</v>
      </c>
      <c r="E1498">
        <f t="shared" si="237"/>
        <v>2000</v>
      </c>
      <c r="F1498">
        <f t="shared" si="237"/>
        <v>210.76363636363638</v>
      </c>
      <c r="G1498">
        <f t="shared" si="237"/>
        <v>6.7636363636363646</v>
      </c>
      <c r="H1498">
        <f t="shared" si="237"/>
        <v>6.0272727272727256</v>
      </c>
      <c r="I1498">
        <f t="shared" si="237"/>
        <v>0.73636363636363633</v>
      </c>
      <c r="J1498">
        <f t="shared" si="237"/>
        <v>10.545454545454545</v>
      </c>
      <c r="K1498">
        <f t="shared" si="237"/>
        <v>90.218181818181833</v>
      </c>
      <c r="L1498">
        <f t="shared" si="237"/>
        <v>1446.8272727272727</v>
      </c>
      <c r="M1498">
        <f t="shared" si="237"/>
        <v>398.72727272727275</v>
      </c>
      <c r="N1498">
        <f t="shared" si="237"/>
        <v>381.54545454545456</v>
      </c>
      <c r="O1498">
        <f t="shared" si="237"/>
        <v>538.18181818181813</v>
      </c>
      <c r="P1498">
        <f t="shared" si="237"/>
        <v>156.63636363636363</v>
      </c>
      <c r="Q1498">
        <f t="shared" si="237"/>
        <v>327.18181818181819</v>
      </c>
      <c r="R1498">
        <f t="shared" si="237"/>
        <v>552.4545454545455</v>
      </c>
      <c r="S1498">
        <f t="shared" si="237"/>
        <v>225.27272727272728</v>
      </c>
      <c r="T1498">
        <f t="shared" si="237"/>
        <v>247.25454545454548</v>
      </c>
      <c r="U1498">
        <f t="shared" si="237"/>
        <v>401.54545454545456</v>
      </c>
      <c r="V1498">
        <f t="shared" si="237"/>
        <v>393.09090909090907</v>
      </c>
    </row>
    <row r="1499" spans="1:24" hidden="1" outlineLevel="2" x14ac:dyDescent="0.25">
      <c r="A1499" t="str">
        <f t="shared" ref="A1499:A1509" si="238">CONCATENATE(B1499," - ",E1499)</f>
        <v>AK9 - 2001</v>
      </c>
      <c r="B1499" t="s">
        <v>38</v>
      </c>
      <c r="C1499">
        <v>1</v>
      </c>
      <c r="D1499">
        <v>16</v>
      </c>
      <c r="E1499">
        <v>2001</v>
      </c>
      <c r="F1499">
        <v>157.80000000000001</v>
      </c>
      <c r="G1499">
        <v>3.3</v>
      </c>
      <c r="H1499">
        <v>3</v>
      </c>
      <c r="I1499">
        <v>0.3</v>
      </c>
      <c r="J1499">
        <v>9</v>
      </c>
      <c r="K1499">
        <v>32.4</v>
      </c>
      <c r="L1499">
        <v>782.3</v>
      </c>
      <c r="M1499">
        <v>385</v>
      </c>
      <c r="N1499">
        <v>368</v>
      </c>
      <c r="O1499">
        <v>551</v>
      </c>
      <c r="P1499">
        <v>183</v>
      </c>
      <c r="Q1499">
        <v>328</v>
      </c>
      <c r="R1499">
        <v>551</v>
      </c>
      <c r="S1499">
        <v>223</v>
      </c>
      <c r="T1499">
        <v>170.1</v>
      </c>
      <c r="U1499">
        <v>401</v>
      </c>
      <c r="V1499">
        <v>383</v>
      </c>
      <c r="W1499">
        <v>500</v>
      </c>
      <c r="X1499">
        <v>2.79</v>
      </c>
    </row>
    <row r="1500" spans="1:24" hidden="1" outlineLevel="2" x14ac:dyDescent="0.25">
      <c r="A1500" t="str">
        <f t="shared" si="238"/>
        <v>AK9 - 2001</v>
      </c>
      <c r="B1500" t="s">
        <v>38</v>
      </c>
      <c r="C1500">
        <v>3</v>
      </c>
      <c r="D1500">
        <v>16</v>
      </c>
      <c r="E1500">
        <v>2001</v>
      </c>
      <c r="F1500">
        <v>192.2</v>
      </c>
      <c r="G1500">
        <v>7.2</v>
      </c>
      <c r="H1500">
        <v>4.8</v>
      </c>
      <c r="I1500">
        <v>2.4</v>
      </c>
      <c r="J1500">
        <v>33</v>
      </c>
      <c r="K1500">
        <v>85.3</v>
      </c>
      <c r="L1500">
        <v>1160.5</v>
      </c>
      <c r="M1500">
        <v>462</v>
      </c>
      <c r="N1500">
        <v>415</v>
      </c>
      <c r="O1500">
        <v>556</v>
      </c>
      <c r="P1500">
        <v>141</v>
      </c>
      <c r="Q1500">
        <v>374</v>
      </c>
      <c r="R1500">
        <v>592</v>
      </c>
      <c r="S1500">
        <v>218</v>
      </c>
      <c r="T1500">
        <v>227.4</v>
      </c>
      <c r="U1500">
        <v>423</v>
      </c>
      <c r="V1500">
        <v>424</v>
      </c>
      <c r="W1500">
        <v>500</v>
      </c>
      <c r="X1500">
        <v>2.79</v>
      </c>
    </row>
    <row r="1501" spans="1:24" hidden="1" outlineLevel="2" x14ac:dyDescent="0.25">
      <c r="A1501" t="str">
        <f t="shared" si="238"/>
        <v>AK9 - 2001</v>
      </c>
      <c r="B1501" t="s">
        <v>38</v>
      </c>
      <c r="C1501">
        <v>4</v>
      </c>
      <c r="D1501">
        <v>16</v>
      </c>
      <c r="E1501">
        <v>2001</v>
      </c>
      <c r="F1501">
        <v>197</v>
      </c>
      <c r="G1501">
        <v>6</v>
      </c>
      <c r="H1501">
        <v>5.4</v>
      </c>
      <c r="I1501">
        <v>0.6</v>
      </c>
      <c r="J1501">
        <v>10</v>
      </c>
      <c r="K1501">
        <v>73.099999999999994</v>
      </c>
      <c r="L1501">
        <v>1219.2</v>
      </c>
      <c r="M1501">
        <v>381</v>
      </c>
      <c r="N1501">
        <v>362</v>
      </c>
      <c r="O1501">
        <v>550</v>
      </c>
      <c r="P1501">
        <v>188</v>
      </c>
      <c r="Q1501">
        <v>322</v>
      </c>
      <c r="R1501">
        <v>553</v>
      </c>
      <c r="S1501">
        <v>231</v>
      </c>
      <c r="T1501">
        <v>244.8</v>
      </c>
      <c r="U1501">
        <v>388</v>
      </c>
      <c r="V1501">
        <v>385</v>
      </c>
      <c r="W1501">
        <v>500</v>
      </c>
      <c r="X1501">
        <v>2.79</v>
      </c>
    </row>
    <row r="1502" spans="1:24" hidden="1" outlineLevel="2" x14ac:dyDescent="0.25">
      <c r="A1502" t="str">
        <f t="shared" si="238"/>
        <v>AK9 - 2001</v>
      </c>
      <c r="B1502" t="s">
        <v>38</v>
      </c>
      <c r="C1502">
        <v>5</v>
      </c>
      <c r="D1502">
        <v>16</v>
      </c>
      <c r="E1502">
        <v>2001</v>
      </c>
      <c r="F1502">
        <v>195.2</v>
      </c>
      <c r="G1502">
        <v>7.5</v>
      </c>
      <c r="H1502">
        <v>6.3</v>
      </c>
      <c r="I1502">
        <v>1.2</v>
      </c>
      <c r="J1502">
        <v>16</v>
      </c>
      <c r="K1502">
        <v>90.2</v>
      </c>
      <c r="L1502">
        <v>1197</v>
      </c>
      <c r="M1502">
        <v>436</v>
      </c>
      <c r="N1502">
        <v>410</v>
      </c>
      <c r="O1502">
        <v>574</v>
      </c>
      <c r="P1502">
        <v>164</v>
      </c>
      <c r="Q1502">
        <v>366</v>
      </c>
      <c r="R1502">
        <v>604</v>
      </c>
      <c r="S1502">
        <v>238</v>
      </c>
      <c r="T1502">
        <v>244.5</v>
      </c>
      <c r="U1502">
        <v>434</v>
      </c>
      <c r="V1502">
        <v>429</v>
      </c>
      <c r="W1502">
        <v>500</v>
      </c>
      <c r="X1502">
        <v>2.79</v>
      </c>
    </row>
    <row r="1503" spans="1:24" hidden="1" outlineLevel="2" x14ac:dyDescent="0.25">
      <c r="A1503" t="str">
        <f t="shared" si="238"/>
        <v>AK9 - 2001</v>
      </c>
      <c r="B1503" t="s">
        <v>38</v>
      </c>
      <c r="C1503">
        <v>6</v>
      </c>
      <c r="D1503">
        <v>15</v>
      </c>
      <c r="E1503">
        <v>2001</v>
      </c>
      <c r="F1503">
        <v>233.3</v>
      </c>
      <c r="G1503">
        <v>5.4</v>
      </c>
      <c r="H1503">
        <v>4.8</v>
      </c>
      <c r="I1503">
        <v>0.6</v>
      </c>
      <c r="J1503">
        <v>11</v>
      </c>
      <c r="K1503">
        <v>78.2</v>
      </c>
      <c r="L1503">
        <v>1709.9</v>
      </c>
      <c r="M1503">
        <v>392</v>
      </c>
      <c r="N1503">
        <v>376</v>
      </c>
      <c r="O1503">
        <v>520</v>
      </c>
      <c r="P1503">
        <v>144</v>
      </c>
      <c r="Q1503">
        <v>328</v>
      </c>
      <c r="R1503">
        <v>532</v>
      </c>
      <c r="S1503">
        <v>204</v>
      </c>
      <c r="T1503">
        <v>256.8</v>
      </c>
      <c r="U1503">
        <v>400</v>
      </c>
      <c r="V1503">
        <v>395</v>
      </c>
      <c r="W1503">
        <v>500</v>
      </c>
      <c r="X1503">
        <v>2.79</v>
      </c>
    </row>
    <row r="1504" spans="1:24" hidden="1" outlineLevel="2" x14ac:dyDescent="0.25">
      <c r="A1504" t="str">
        <f t="shared" si="238"/>
        <v>AK9 - 2001</v>
      </c>
      <c r="B1504" t="s">
        <v>38</v>
      </c>
      <c r="C1504">
        <v>7</v>
      </c>
      <c r="D1504">
        <v>16</v>
      </c>
      <c r="E1504">
        <v>2001</v>
      </c>
      <c r="F1504">
        <v>232.8</v>
      </c>
      <c r="G1504">
        <v>5.0999999999999996</v>
      </c>
      <c r="H1504">
        <v>4.8</v>
      </c>
      <c r="I1504">
        <v>0.3</v>
      </c>
      <c r="J1504">
        <v>5</v>
      </c>
      <c r="K1504">
        <v>73.8</v>
      </c>
      <c r="L1504">
        <v>1702.6</v>
      </c>
      <c r="M1504">
        <v>406</v>
      </c>
      <c r="N1504">
        <v>395</v>
      </c>
      <c r="O1504">
        <v>583</v>
      </c>
      <c r="P1504">
        <v>188</v>
      </c>
      <c r="Q1504">
        <v>361</v>
      </c>
      <c r="R1504">
        <v>583</v>
      </c>
      <c r="S1504">
        <v>222</v>
      </c>
      <c r="T1504">
        <v>245.7</v>
      </c>
      <c r="U1504">
        <v>401</v>
      </c>
      <c r="V1504">
        <v>390</v>
      </c>
      <c r="W1504">
        <v>500</v>
      </c>
      <c r="X1504">
        <v>2.79</v>
      </c>
    </row>
    <row r="1505" spans="1:24" hidden="1" outlineLevel="2" x14ac:dyDescent="0.25">
      <c r="A1505" t="str">
        <f t="shared" si="238"/>
        <v>AK9 - 2001</v>
      </c>
      <c r="B1505" t="s">
        <v>38</v>
      </c>
      <c r="C1505">
        <v>8</v>
      </c>
      <c r="D1505">
        <v>16</v>
      </c>
      <c r="E1505">
        <v>2001</v>
      </c>
      <c r="F1505">
        <v>232.4</v>
      </c>
      <c r="G1505">
        <v>3</v>
      </c>
      <c r="H1505">
        <v>3</v>
      </c>
      <c r="I1505">
        <v>0</v>
      </c>
      <c r="J1505">
        <v>0</v>
      </c>
      <c r="K1505">
        <v>43.5</v>
      </c>
      <c r="L1505">
        <v>1696.8</v>
      </c>
      <c r="M1505">
        <v>431</v>
      </c>
      <c r="N1505">
        <v>431</v>
      </c>
      <c r="Q1505">
        <v>373</v>
      </c>
      <c r="R1505">
        <v>491</v>
      </c>
      <c r="S1505">
        <v>118</v>
      </c>
      <c r="T1505">
        <v>249</v>
      </c>
      <c r="U1505">
        <v>395</v>
      </c>
      <c r="V1505">
        <v>365</v>
      </c>
      <c r="W1505">
        <v>500</v>
      </c>
      <c r="X1505">
        <v>2.79</v>
      </c>
    </row>
    <row r="1506" spans="1:24" hidden="1" outlineLevel="2" x14ac:dyDescent="0.25">
      <c r="A1506" t="str">
        <f t="shared" si="238"/>
        <v>AK9 - 2001</v>
      </c>
      <c r="B1506" t="s">
        <v>38</v>
      </c>
      <c r="C1506">
        <v>10</v>
      </c>
      <c r="D1506">
        <v>16</v>
      </c>
      <c r="E1506">
        <v>2001</v>
      </c>
      <c r="F1506">
        <v>234.9</v>
      </c>
      <c r="G1506">
        <v>8.6999999999999993</v>
      </c>
      <c r="H1506">
        <v>7.2</v>
      </c>
      <c r="I1506">
        <v>1.5</v>
      </c>
      <c r="J1506">
        <v>17</v>
      </c>
      <c r="K1506">
        <v>126</v>
      </c>
      <c r="L1506">
        <v>1733.5</v>
      </c>
      <c r="M1506">
        <v>399</v>
      </c>
      <c r="N1506">
        <v>373</v>
      </c>
      <c r="O1506">
        <v>521</v>
      </c>
      <c r="P1506">
        <v>148</v>
      </c>
      <c r="Q1506">
        <v>322</v>
      </c>
      <c r="R1506">
        <v>552</v>
      </c>
      <c r="S1506">
        <v>230</v>
      </c>
      <c r="T1506">
        <v>289.5</v>
      </c>
      <c r="U1506">
        <v>393</v>
      </c>
      <c r="V1506">
        <v>393</v>
      </c>
      <c r="W1506">
        <v>500</v>
      </c>
      <c r="X1506">
        <v>2.79</v>
      </c>
    </row>
    <row r="1507" spans="1:24" hidden="1" outlineLevel="2" x14ac:dyDescent="0.25">
      <c r="A1507" t="str">
        <f t="shared" si="238"/>
        <v>AK9 - 2001</v>
      </c>
      <c r="B1507" t="s">
        <v>38</v>
      </c>
      <c r="C1507">
        <v>11</v>
      </c>
      <c r="D1507">
        <v>16</v>
      </c>
      <c r="E1507">
        <v>2001</v>
      </c>
      <c r="F1507">
        <v>290.60000000000002</v>
      </c>
      <c r="G1507">
        <v>6.6</v>
      </c>
      <c r="H1507">
        <v>5.0999999999999996</v>
      </c>
      <c r="I1507">
        <v>1.5</v>
      </c>
      <c r="J1507">
        <v>22</v>
      </c>
      <c r="K1507">
        <v>119.1</v>
      </c>
      <c r="L1507">
        <v>2653</v>
      </c>
      <c r="M1507">
        <v>405</v>
      </c>
      <c r="N1507">
        <v>367</v>
      </c>
      <c r="O1507">
        <v>533</v>
      </c>
      <c r="P1507">
        <v>166</v>
      </c>
      <c r="Q1507">
        <v>329</v>
      </c>
      <c r="R1507">
        <v>543</v>
      </c>
      <c r="S1507">
        <v>214</v>
      </c>
      <c r="T1507">
        <v>331.8</v>
      </c>
      <c r="U1507">
        <v>389</v>
      </c>
      <c r="V1507">
        <v>385</v>
      </c>
      <c r="W1507">
        <v>500</v>
      </c>
      <c r="X1507">
        <v>2.79</v>
      </c>
    </row>
    <row r="1508" spans="1:24" hidden="1" outlineLevel="2" x14ac:dyDescent="0.25">
      <c r="A1508" t="str">
        <f t="shared" si="238"/>
        <v>AK9 - 2001</v>
      </c>
      <c r="B1508" t="s">
        <v>38</v>
      </c>
      <c r="C1508">
        <v>13</v>
      </c>
      <c r="D1508">
        <v>16</v>
      </c>
      <c r="E1508">
        <v>2001</v>
      </c>
      <c r="F1508">
        <v>266.89999999999998</v>
      </c>
      <c r="G1508">
        <v>7.2</v>
      </c>
      <c r="H1508">
        <v>6.3</v>
      </c>
      <c r="I1508">
        <v>0.9</v>
      </c>
      <c r="J1508">
        <v>12</v>
      </c>
      <c r="K1508">
        <v>119.1</v>
      </c>
      <c r="L1508">
        <v>2237.9</v>
      </c>
      <c r="M1508">
        <v>388</v>
      </c>
      <c r="N1508">
        <v>366</v>
      </c>
      <c r="O1508">
        <v>536</v>
      </c>
      <c r="P1508">
        <v>170</v>
      </c>
      <c r="Q1508">
        <v>315</v>
      </c>
      <c r="R1508">
        <v>551</v>
      </c>
      <c r="S1508">
        <v>236</v>
      </c>
      <c r="T1508">
        <v>286.8</v>
      </c>
      <c r="U1508">
        <v>408</v>
      </c>
      <c r="V1508">
        <v>398</v>
      </c>
      <c r="W1508">
        <v>500</v>
      </c>
      <c r="X1508">
        <v>2.79</v>
      </c>
    </row>
    <row r="1509" spans="1:24" hidden="1" outlineLevel="2" x14ac:dyDescent="0.25">
      <c r="A1509" t="str">
        <f t="shared" si="238"/>
        <v>AK9 - 2001</v>
      </c>
      <c r="B1509" t="s">
        <v>38</v>
      </c>
      <c r="C1509">
        <v>14</v>
      </c>
      <c r="D1509">
        <v>16</v>
      </c>
      <c r="E1509">
        <v>2001</v>
      </c>
      <c r="F1509">
        <v>147.69999999999999</v>
      </c>
      <c r="G1509">
        <v>2.4</v>
      </c>
      <c r="H1509">
        <v>1.8</v>
      </c>
      <c r="I1509">
        <v>0.6</v>
      </c>
      <c r="J1509">
        <v>24</v>
      </c>
      <c r="K1509">
        <v>22.1</v>
      </c>
      <c r="L1509">
        <v>685.3</v>
      </c>
      <c r="M1509">
        <v>431</v>
      </c>
      <c r="N1509">
        <v>393</v>
      </c>
      <c r="O1509">
        <v>544</v>
      </c>
      <c r="P1509">
        <v>151</v>
      </c>
      <c r="Q1509">
        <v>337</v>
      </c>
      <c r="R1509">
        <v>579</v>
      </c>
      <c r="S1509">
        <v>242</v>
      </c>
      <c r="T1509">
        <v>173.4</v>
      </c>
      <c r="U1509">
        <v>385</v>
      </c>
      <c r="V1509">
        <v>377</v>
      </c>
      <c r="W1509">
        <v>500</v>
      </c>
      <c r="X1509">
        <v>2.79</v>
      </c>
    </row>
    <row r="1510" spans="1:24" outlineLevel="1" collapsed="1" x14ac:dyDescent="0.25">
      <c r="A1510" s="8" t="s">
        <v>157</v>
      </c>
      <c r="D1510">
        <f t="shared" ref="D1510:V1510" si="239">SUBTOTAL(1,D1499:D1509)</f>
        <v>15.909090909090908</v>
      </c>
      <c r="E1510">
        <f t="shared" si="239"/>
        <v>2001</v>
      </c>
      <c r="F1510">
        <f t="shared" si="239"/>
        <v>216.43636363636367</v>
      </c>
      <c r="G1510">
        <f t="shared" si="239"/>
        <v>5.6727272727272728</v>
      </c>
      <c r="H1510">
        <f t="shared" si="239"/>
        <v>4.7727272727272725</v>
      </c>
      <c r="I1510">
        <f t="shared" si="239"/>
        <v>0.89999999999999991</v>
      </c>
      <c r="J1510">
        <f t="shared" si="239"/>
        <v>14.454545454545455</v>
      </c>
      <c r="K1510">
        <f t="shared" si="239"/>
        <v>78.436363636363637</v>
      </c>
      <c r="L1510">
        <f t="shared" si="239"/>
        <v>1525.2727272727273</v>
      </c>
      <c r="M1510">
        <f t="shared" si="239"/>
        <v>410.54545454545456</v>
      </c>
      <c r="N1510">
        <f t="shared" si="239"/>
        <v>386.90909090909093</v>
      </c>
      <c r="O1510">
        <f t="shared" si="239"/>
        <v>546.79999999999995</v>
      </c>
      <c r="P1510">
        <f t="shared" si="239"/>
        <v>164.3</v>
      </c>
      <c r="Q1510">
        <f t="shared" si="239"/>
        <v>341.36363636363637</v>
      </c>
      <c r="R1510">
        <f t="shared" si="239"/>
        <v>557.36363636363637</v>
      </c>
      <c r="S1510">
        <f t="shared" si="239"/>
        <v>216</v>
      </c>
      <c r="T1510">
        <f t="shared" si="239"/>
        <v>247.25454545454548</v>
      </c>
      <c r="U1510">
        <f t="shared" si="239"/>
        <v>401.54545454545456</v>
      </c>
      <c r="V1510">
        <f t="shared" si="239"/>
        <v>393.09090909090907</v>
      </c>
    </row>
    <row r="1511" spans="1:24" hidden="1" outlineLevel="2" x14ac:dyDescent="0.25">
      <c r="A1511" t="str">
        <f t="shared" ref="A1511:A1521" si="240">CONCATENATE(B1511," - ",E1511)</f>
        <v>AK9 - 2002</v>
      </c>
      <c r="B1511" t="s">
        <v>38</v>
      </c>
      <c r="C1511">
        <v>1</v>
      </c>
      <c r="D1511">
        <v>17</v>
      </c>
      <c r="E1511">
        <v>2002</v>
      </c>
      <c r="F1511">
        <v>161.69999999999999</v>
      </c>
      <c r="G1511">
        <v>3.9</v>
      </c>
      <c r="H1511">
        <v>3</v>
      </c>
      <c r="I1511">
        <v>0.9</v>
      </c>
      <c r="J1511">
        <v>23</v>
      </c>
      <c r="K1511">
        <v>39.1</v>
      </c>
      <c r="L1511">
        <v>821.4</v>
      </c>
      <c r="M1511">
        <v>443</v>
      </c>
      <c r="N1511">
        <v>406</v>
      </c>
      <c r="O1511">
        <v>569</v>
      </c>
      <c r="P1511">
        <v>163</v>
      </c>
      <c r="Q1511">
        <v>326</v>
      </c>
      <c r="R1511">
        <v>588</v>
      </c>
      <c r="S1511">
        <v>262</v>
      </c>
      <c r="T1511">
        <v>170.1</v>
      </c>
      <c r="U1511">
        <v>401</v>
      </c>
      <c r="V1511">
        <v>383</v>
      </c>
      <c r="W1511">
        <v>500</v>
      </c>
      <c r="X1511">
        <v>2.79</v>
      </c>
    </row>
    <row r="1512" spans="1:24" hidden="1" outlineLevel="2" x14ac:dyDescent="0.25">
      <c r="A1512" t="str">
        <f t="shared" si="240"/>
        <v>AK9 - 2002</v>
      </c>
      <c r="B1512" t="s">
        <v>38</v>
      </c>
      <c r="C1512">
        <v>3</v>
      </c>
      <c r="D1512">
        <v>17</v>
      </c>
      <c r="E1512">
        <v>2002</v>
      </c>
      <c r="F1512">
        <v>197.6</v>
      </c>
      <c r="G1512">
        <v>5.4</v>
      </c>
      <c r="H1512">
        <v>3</v>
      </c>
      <c r="I1512">
        <v>2.4</v>
      </c>
      <c r="J1512">
        <v>44</v>
      </c>
      <c r="K1512">
        <v>66.099999999999994</v>
      </c>
      <c r="L1512">
        <v>1226.7</v>
      </c>
      <c r="M1512">
        <v>458</v>
      </c>
      <c r="N1512">
        <v>386</v>
      </c>
      <c r="O1512">
        <v>548</v>
      </c>
      <c r="P1512">
        <v>162</v>
      </c>
      <c r="Q1512">
        <v>355</v>
      </c>
      <c r="R1512">
        <v>614</v>
      </c>
      <c r="S1512">
        <v>259</v>
      </c>
      <c r="T1512">
        <v>227.4</v>
      </c>
      <c r="U1512">
        <v>423</v>
      </c>
      <c r="V1512">
        <v>424</v>
      </c>
      <c r="W1512">
        <v>500</v>
      </c>
      <c r="X1512">
        <v>2.79</v>
      </c>
    </row>
    <row r="1513" spans="1:24" hidden="1" outlineLevel="2" x14ac:dyDescent="0.25">
      <c r="A1513" t="str">
        <f t="shared" si="240"/>
        <v>AK9 - 2002</v>
      </c>
      <c r="B1513" t="s">
        <v>38</v>
      </c>
      <c r="C1513">
        <v>4</v>
      </c>
      <c r="D1513">
        <v>17</v>
      </c>
      <c r="E1513">
        <v>2002</v>
      </c>
      <c r="F1513">
        <v>202.1</v>
      </c>
      <c r="G1513">
        <v>5.0999999999999996</v>
      </c>
      <c r="H1513">
        <v>4.5</v>
      </c>
      <c r="I1513">
        <v>0.6</v>
      </c>
      <c r="J1513">
        <v>11</v>
      </c>
      <c r="K1513">
        <v>63.9</v>
      </c>
      <c r="L1513">
        <v>1283.2</v>
      </c>
      <c r="M1513">
        <v>402</v>
      </c>
      <c r="N1513">
        <v>384</v>
      </c>
      <c r="O1513">
        <v>539</v>
      </c>
      <c r="P1513">
        <v>155</v>
      </c>
      <c r="Q1513">
        <v>319</v>
      </c>
      <c r="R1513">
        <v>553</v>
      </c>
      <c r="S1513">
        <v>234</v>
      </c>
      <c r="T1513">
        <v>244.8</v>
      </c>
      <c r="U1513">
        <v>388</v>
      </c>
      <c r="V1513">
        <v>385</v>
      </c>
      <c r="W1513">
        <v>500</v>
      </c>
      <c r="X1513">
        <v>2.79</v>
      </c>
    </row>
    <row r="1514" spans="1:24" hidden="1" outlineLevel="2" x14ac:dyDescent="0.25">
      <c r="A1514" t="str">
        <f t="shared" si="240"/>
        <v>AK9 - 2002</v>
      </c>
      <c r="B1514" t="s">
        <v>38</v>
      </c>
      <c r="C1514">
        <v>5</v>
      </c>
      <c r="D1514">
        <v>17</v>
      </c>
      <c r="E1514">
        <v>2002</v>
      </c>
      <c r="F1514">
        <v>202.4</v>
      </c>
      <c r="G1514">
        <v>7.2</v>
      </c>
      <c r="H1514">
        <v>5.4</v>
      </c>
      <c r="I1514">
        <v>1.8</v>
      </c>
      <c r="J1514">
        <v>25</v>
      </c>
      <c r="K1514">
        <v>89.9</v>
      </c>
      <c r="L1514">
        <v>1287</v>
      </c>
      <c r="M1514">
        <v>438</v>
      </c>
      <c r="N1514">
        <v>404</v>
      </c>
      <c r="O1514">
        <v>542</v>
      </c>
      <c r="P1514">
        <v>138</v>
      </c>
      <c r="Q1514">
        <v>364</v>
      </c>
      <c r="R1514">
        <v>597</v>
      </c>
      <c r="S1514">
        <v>233</v>
      </c>
      <c r="T1514">
        <v>244.5</v>
      </c>
      <c r="U1514">
        <v>434</v>
      </c>
      <c r="V1514">
        <v>429</v>
      </c>
      <c r="W1514">
        <v>500</v>
      </c>
      <c r="X1514">
        <v>2.79</v>
      </c>
    </row>
    <row r="1515" spans="1:24" hidden="1" outlineLevel="2" x14ac:dyDescent="0.25">
      <c r="A1515" t="str">
        <f t="shared" si="240"/>
        <v>AK9 - 2002</v>
      </c>
      <c r="B1515" t="s">
        <v>38</v>
      </c>
      <c r="C1515">
        <v>6</v>
      </c>
      <c r="D1515">
        <v>16</v>
      </c>
      <c r="E1515">
        <v>2002</v>
      </c>
      <c r="F1515">
        <v>238.7</v>
      </c>
      <c r="G1515">
        <v>5.4</v>
      </c>
      <c r="H1515">
        <v>3.9</v>
      </c>
      <c r="I1515">
        <v>1.5</v>
      </c>
      <c r="J1515">
        <v>27</v>
      </c>
      <c r="K1515">
        <v>80.099999999999994</v>
      </c>
      <c r="L1515">
        <v>1790</v>
      </c>
      <c r="M1515">
        <v>421</v>
      </c>
      <c r="N1515">
        <v>384</v>
      </c>
      <c r="O1515">
        <v>519</v>
      </c>
      <c r="P1515">
        <v>135</v>
      </c>
      <c r="Q1515">
        <v>349</v>
      </c>
      <c r="R1515">
        <v>577</v>
      </c>
      <c r="S1515">
        <v>228</v>
      </c>
      <c r="T1515">
        <v>256.8</v>
      </c>
      <c r="U1515">
        <v>400</v>
      </c>
      <c r="V1515">
        <v>395</v>
      </c>
      <c r="W1515">
        <v>500</v>
      </c>
      <c r="X1515">
        <v>2.79</v>
      </c>
    </row>
    <row r="1516" spans="1:24" hidden="1" outlineLevel="2" x14ac:dyDescent="0.25">
      <c r="A1516" t="str">
        <f t="shared" si="240"/>
        <v>AK9 - 2002</v>
      </c>
      <c r="B1516" t="s">
        <v>38</v>
      </c>
      <c r="C1516">
        <v>7</v>
      </c>
      <c r="D1516">
        <v>17</v>
      </c>
      <c r="E1516">
        <v>2002</v>
      </c>
      <c r="F1516">
        <v>237</v>
      </c>
      <c r="G1516">
        <v>4.2</v>
      </c>
      <c r="H1516">
        <v>3.6</v>
      </c>
      <c r="I1516">
        <v>0.6</v>
      </c>
      <c r="J1516">
        <v>14</v>
      </c>
      <c r="K1516">
        <v>62</v>
      </c>
      <c r="L1516">
        <v>1764.6</v>
      </c>
      <c r="M1516">
        <v>424</v>
      </c>
      <c r="N1516">
        <v>402</v>
      </c>
      <c r="O1516">
        <v>558</v>
      </c>
      <c r="P1516">
        <v>156</v>
      </c>
      <c r="Q1516">
        <v>345</v>
      </c>
      <c r="R1516">
        <v>589</v>
      </c>
      <c r="S1516">
        <v>244</v>
      </c>
      <c r="T1516">
        <v>245.7</v>
      </c>
      <c r="U1516">
        <v>401</v>
      </c>
      <c r="V1516">
        <v>390</v>
      </c>
      <c r="W1516">
        <v>500</v>
      </c>
      <c r="X1516">
        <v>2.79</v>
      </c>
    </row>
    <row r="1517" spans="1:24" hidden="1" outlineLevel="2" x14ac:dyDescent="0.25">
      <c r="A1517" t="str">
        <f t="shared" si="240"/>
        <v>AK9 - 2002</v>
      </c>
      <c r="B1517" t="s">
        <v>38</v>
      </c>
      <c r="C1517">
        <v>8</v>
      </c>
      <c r="D1517">
        <v>17</v>
      </c>
      <c r="E1517">
        <v>2002</v>
      </c>
      <c r="F1517">
        <v>234.8</v>
      </c>
      <c r="G1517">
        <v>2.4</v>
      </c>
      <c r="H1517">
        <v>2.1</v>
      </c>
      <c r="I1517">
        <v>0.3</v>
      </c>
      <c r="J1517">
        <v>12</v>
      </c>
      <c r="K1517">
        <v>35.200000000000003</v>
      </c>
      <c r="L1517">
        <v>1732</v>
      </c>
      <c r="M1517">
        <v>446</v>
      </c>
      <c r="N1517">
        <v>431</v>
      </c>
      <c r="O1517">
        <v>550</v>
      </c>
      <c r="P1517">
        <v>119</v>
      </c>
      <c r="Q1517">
        <v>393</v>
      </c>
      <c r="R1517">
        <v>550</v>
      </c>
      <c r="S1517">
        <v>157</v>
      </c>
      <c r="T1517">
        <v>249</v>
      </c>
      <c r="U1517">
        <v>395</v>
      </c>
      <c r="V1517">
        <v>365</v>
      </c>
      <c r="W1517">
        <v>500</v>
      </c>
      <c r="X1517">
        <v>2.79</v>
      </c>
    </row>
    <row r="1518" spans="1:24" hidden="1" outlineLevel="2" x14ac:dyDescent="0.25">
      <c r="A1518" t="str">
        <f t="shared" si="240"/>
        <v>AK9 - 2002</v>
      </c>
      <c r="B1518" t="s">
        <v>38</v>
      </c>
      <c r="C1518">
        <v>10</v>
      </c>
      <c r="D1518">
        <v>17</v>
      </c>
      <c r="E1518">
        <v>2002</v>
      </c>
      <c r="F1518">
        <v>242.4</v>
      </c>
      <c r="G1518">
        <v>7.5</v>
      </c>
      <c r="H1518">
        <v>6.3</v>
      </c>
      <c r="I1518">
        <v>1.2</v>
      </c>
      <c r="J1518">
        <v>16</v>
      </c>
      <c r="K1518">
        <v>112.5</v>
      </c>
      <c r="L1518">
        <v>1845.9</v>
      </c>
      <c r="M1518">
        <v>391</v>
      </c>
      <c r="N1518">
        <v>361</v>
      </c>
      <c r="O1518">
        <v>546</v>
      </c>
      <c r="P1518">
        <v>185</v>
      </c>
      <c r="Q1518">
        <v>304</v>
      </c>
      <c r="R1518">
        <v>606</v>
      </c>
      <c r="S1518">
        <v>302</v>
      </c>
      <c r="T1518">
        <v>289.5</v>
      </c>
      <c r="U1518">
        <v>393</v>
      </c>
      <c r="V1518">
        <v>393</v>
      </c>
      <c r="W1518">
        <v>500</v>
      </c>
      <c r="X1518">
        <v>2.79</v>
      </c>
    </row>
    <row r="1519" spans="1:24" hidden="1" outlineLevel="2" x14ac:dyDescent="0.25">
      <c r="A1519" t="str">
        <f t="shared" si="240"/>
        <v>AK9 - 2002</v>
      </c>
      <c r="B1519" t="s">
        <v>38</v>
      </c>
      <c r="C1519">
        <v>11</v>
      </c>
      <c r="D1519">
        <v>17</v>
      </c>
      <c r="E1519">
        <v>2002</v>
      </c>
      <c r="F1519">
        <v>298.10000000000002</v>
      </c>
      <c r="G1519">
        <v>7.5</v>
      </c>
      <c r="H1519">
        <v>6.3</v>
      </c>
      <c r="I1519">
        <v>1.2</v>
      </c>
      <c r="J1519">
        <v>16</v>
      </c>
      <c r="K1519">
        <v>138.69999999999999</v>
      </c>
      <c r="L1519">
        <v>2791.7</v>
      </c>
      <c r="M1519">
        <v>391</v>
      </c>
      <c r="N1519">
        <v>357</v>
      </c>
      <c r="O1519">
        <v>573</v>
      </c>
      <c r="P1519">
        <v>216</v>
      </c>
      <c r="Q1519">
        <v>321</v>
      </c>
      <c r="R1519">
        <v>603</v>
      </c>
      <c r="S1519">
        <v>282</v>
      </c>
      <c r="T1519">
        <v>331.8</v>
      </c>
      <c r="U1519">
        <v>389</v>
      </c>
      <c r="V1519">
        <v>385</v>
      </c>
      <c r="W1519">
        <v>500</v>
      </c>
      <c r="X1519">
        <v>2.79</v>
      </c>
    </row>
    <row r="1520" spans="1:24" hidden="1" outlineLevel="2" x14ac:dyDescent="0.25">
      <c r="A1520" t="str">
        <f t="shared" si="240"/>
        <v>AK9 - 2002</v>
      </c>
      <c r="B1520" t="s">
        <v>38</v>
      </c>
      <c r="C1520">
        <v>13</v>
      </c>
      <c r="D1520">
        <v>17</v>
      </c>
      <c r="E1520">
        <v>2002</v>
      </c>
      <c r="F1520">
        <v>272.3</v>
      </c>
      <c r="G1520">
        <v>5.4</v>
      </c>
      <c r="H1520">
        <v>4.2</v>
      </c>
      <c r="I1520">
        <v>1.2</v>
      </c>
      <c r="J1520">
        <v>22</v>
      </c>
      <c r="K1520">
        <v>91.5</v>
      </c>
      <c r="L1520">
        <v>2329.4</v>
      </c>
      <c r="M1520">
        <v>424</v>
      </c>
      <c r="N1520">
        <v>394</v>
      </c>
      <c r="O1520">
        <v>531</v>
      </c>
      <c r="P1520">
        <v>137</v>
      </c>
      <c r="Q1520">
        <v>338</v>
      </c>
      <c r="R1520">
        <v>587</v>
      </c>
      <c r="S1520">
        <v>249</v>
      </c>
      <c r="T1520">
        <v>286.8</v>
      </c>
      <c r="U1520">
        <v>408</v>
      </c>
      <c r="V1520">
        <v>398</v>
      </c>
      <c r="W1520">
        <v>500</v>
      </c>
      <c r="X1520">
        <v>2.79</v>
      </c>
    </row>
    <row r="1521" spans="1:24" hidden="1" outlineLevel="2" x14ac:dyDescent="0.25">
      <c r="A1521" t="str">
        <f t="shared" si="240"/>
        <v>AK9 - 2002</v>
      </c>
      <c r="B1521" t="s">
        <v>38</v>
      </c>
      <c r="C1521">
        <v>14</v>
      </c>
      <c r="D1521">
        <v>17</v>
      </c>
      <c r="E1521">
        <v>2002</v>
      </c>
      <c r="F1521">
        <v>151.6</v>
      </c>
      <c r="G1521">
        <v>3.9</v>
      </c>
      <c r="H1521">
        <v>3.3</v>
      </c>
      <c r="I1521">
        <v>0.6</v>
      </c>
      <c r="J1521">
        <v>15</v>
      </c>
      <c r="K1521">
        <v>36.700000000000003</v>
      </c>
      <c r="L1521">
        <v>722</v>
      </c>
      <c r="M1521">
        <v>421</v>
      </c>
      <c r="N1521">
        <v>397</v>
      </c>
      <c r="O1521">
        <v>556</v>
      </c>
      <c r="P1521">
        <v>159</v>
      </c>
      <c r="Q1521">
        <v>331</v>
      </c>
      <c r="R1521">
        <v>580</v>
      </c>
      <c r="S1521">
        <v>249</v>
      </c>
      <c r="T1521">
        <v>173.4</v>
      </c>
      <c r="U1521">
        <v>385</v>
      </c>
      <c r="V1521">
        <v>377</v>
      </c>
      <c r="W1521">
        <v>500</v>
      </c>
      <c r="X1521">
        <v>2.79</v>
      </c>
    </row>
    <row r="1522" spans="1:24" outlineLevel="1" collapsed="1" x14ac:dyDescent="0.25">
      <c r="A1522" s="8" t="s">
        <v>158</v>
      </c>
      <c r="D1522">
        <f t="shared" ref="D1522:V1522" si="241">SUBTOTAL(1,D1511:D1521)</f>
        <v>16.90909090909091</v>
      </c>
      <c r="E1522">
        <f t="shared" si="241"/>
        <v>2002</v>
      </c>
      <c r="F1522">
        <f t="shared" si="241"/>
        <v>221.70000000000002</v>
      </c>
      <c r="G1522">
        <f t="shared" si="241"/>
        <v>5.2636363636363637</v>
      </c>
      <c r="H1522">
        <f t="shared" si="241"/>
        <v>4.1454545454545455</v>
      </c>
      <c r="I1522">
        <f t="shared" si="241"/>
        <v>1.1181818181818179</v>
      </c>
      <c r="J1522">
        <f t="shared" si="241"/>
        <v>20.454545454545453</v>
      </c>
      <c r="K1522">
        <f t="shared" si="241"/>
        <v>74.154545454545456</v>
      </c>
      <c r="L1522">
        <f t="shared" si="241"/>
        <v>1599.4454545454546</v>
      </c>
      <c r="M1522">
        <f t="shared" si="241"/>
        <v>423.54545454545456</v>
      </c>
      <c r="N1522">
        <f t="shared" si="241"/>
        <v>391.45454545454544</v>
      </c>
      <c r="O1522">
        <f t="shared" si="241"/>
        <v>548.27272727272725</v>
      </c>
      <c r="P1522">
        <f t="shared" si="241"/>
        <v>156.81818181818181</v>
      </c>
      <c r="Q1522">
        <f t="shared" si="241"/>
        <v>340.45454545454544</v>
      </c>
      <c r="R1522">
        <f t="shared" si="241"/>
        <v>585.81818181818187</v>
      </c>
      <c r="S1522">
        <f t="shared" si="241"/>
        <v>245.36363636363637</v>
      </c>
      <c r="T1522">
        <f t="shared" si="241"/>
        <v>247.25454545454548</v>
      </c>
      <c r="U1522">
        <f t="shared" si="241"/>
        <v>401.54545454545456</v>
      </c>
      <c r="V1522">
        <f t="shared" si="241"/>
        <v>393.09090909090907</v>
      </c>
    </row>
    <row r="1523" spans="1:24" hidden="1" outlineLevel="2" x14ac:dyDescent="0.25">
      <c r="A1523" t="str">
        <f t="shared" ref="A1523:A1533" si="242">CONCATENATE(B1523," - ",E1523)</f>
        <v>AK9 - 2003</v>
      </c>
      <c r="B1523" t="s">
        <v>38</v>
      </c>
      <c r="C1523">
        <v>1</v>
      </c>
      <c r="D1523">
        <v>18</v>
      </c>
      <c r="E1523">
        <v>2003</v>
      </c>
      <c r="F1523">
        <v>165.9</v>
      </c>
      <c r="G1523">
        <v>4.2</v>
      </c>
      <c r="H1523">
        <v>3.9</v>
      </c>
      <c r="I1523">
        <v>0.3</v>
      </c>
      <c r="J1523">
        <v>7</v>
      </c>
      <c r="K1523">
        <v>43.2</v>
      </c>
      <c r="L1523">
        <v>864.7</v>
      </c>
      <c r="M1523">
        <v>394</v>
      </c>
      <c r="N1523">
        <v>383</v>
      </c>
      <c r="O1523">
        <v>544</v>
      </c>
      <c r="P1523">
        <v>161</v>
      </c>
      <c r="Q1523">
        <v>323</v>
      </c>
      <c r="R1523">
        <v>544</v>
      </c>
      <c r="S1523">
        <v>221</v>
      </c>
      <c r="T1523">
        <v>170.1</v>
      </c>
      <c r="U1523">
        <v>401</v>
      </c>
      <c r="V1523">
        <v>383</v>
      </c>
      <c r="W1523">
        <v>500</v>
      </c>
      <c r="X1523">
        <v>2.79</v>
      </c>
    </row>
    <row r="1524" spans="1:24" hidden="1" outlineLevel="2" x14ac:dyDescent="0.25">
      <c r="A1524" t="str">
        <f t="shared" si="242"/>
        <v>AK9 - 2003</v>
      </c>
      <c r="B1524" t="s">
        <v>38</v>
      </c>
      <c r="C1524">
        <v>3</v>
      </c>
      <c r="D1524">
        <v>18</v>
      </c>
      <c r="E1524">
        <v>2003</v>
      </c>
      <c r="F1524">
        <v>203.3</v>
      </c>
      <c r="G1524">
        <v>5.7</v>
      </c>
      <c r="H1524">
        <v>4.8</v>
      </c>
      <c r="I1524">
        <v>0.9</v>
      </c>
      <c r="J1524">
        <v>15</v>
      </c>
      <c r="K1524">
        <v>71.8</v>
      </c>
      <c r="L1524">
        <v>1298.4000000000001</v>
      </c>
      <c r="M1524">
        <v>433</v>
      </c>
      <c r="N1524">
        <v>414</v>
      </c>
      <c r="O1524">
        <v>533</v>
      </c>
      <c r="P1524">
        <v>119</v>
      </c>
      <c r="Q1524">
        <v>365</v>
      </c>
      <c r="R1524">
        <v>561</v>
      </c>
      <c r="S1524">
        <v>196</v>
      </c>
      <c r="T1524">
        <v>227.4</v>
      </c>
      <c r="U1524">
        <v>423</v>
      </c>
      <c r="V1524">
        <v>424</v>
      </c>
      <c r="W1524">
        <v>500</v>
      </c>
      <c r="X1524">
        <v>2.79</v>
      </c>
    </row>
    <row r="1525" spans="1:24" hidden="1" outlineLevel="2" x14ac:dyDescent="0.25">
      <c r="A1525" t="str">
        <f t="shared" si="242"/>
        <v>AK9 - 2003</v>
      </c>
      <c r="B1525" t="s">
        <v>38</v>
      </c>
      <c r="C1525">
        <v>4</v>
      </c>
      <c r="D1525">
        <v>18</v>
      </c>
      <c r="E1525">
        <v>2003</v>
      </c>
      <c r="F1525">
        <v>208.1</v>
      </c>
      <c r="G1525">
        <v>6</v>
      </c>
      <c r="H1525">
        <v>5.4</v>
      </c>
      <c r="I1525">
        <v>0.6</v>
      </c>
      <c r="J1525">
        <v>10</v>
      </c>
      <c r="K1525">
        <v>77.3</v>
      </c>
      <c r="L1525">
        <v>1360.5</v>
      </c>
      <c r="M1525">
        <v>404</v>
      </c>
      <c r="N1525">
        <v>389</v>
      </c>
      <c r="O1525">
        <v>536</v>
      </c>
      <c r="P1525">
        <v>147</v>
      </c>
      <c r="Q1525">
        <v>339</v>
      </c>
      <c r="R1525">
        <v>554</v>
      </c>
      <c r="S1525">
        <v>215</v>
      </c>
      <c r="T1525">
        <v>244.8</v>
      </c>
      <c r="U1525">
        <v>388</v>
      </c>
      <c r="V1525">
        <v>385</v>
      </c>
      <c r="W1525">
        <v>500</v>
      </c>
      <c r="X1525">
        <v>2.79</v>
      </c>
    </row>
    <row r="1526" spans="1:24" hidden="1" outlineLevel="2" x14ac:dyDescent="0.25">
      <c r="A1526" t="str">
        <f t="shared" si="242"/>
        <v>AK9 - 2003</v>
      </c>
      <c r="B1526" t="s">
        <v>38</v>
      </c>
      <c r="C1526">
        <v>5</v>
      </c>
      <c r="D1526">
        <v>18</v>
      </c>
      <c r="E1526">
        <v>2003</v>
      </c>
      <c r="F1526">
        <v>209.3</v>
      </c>
      <c r="G1526">
        <v>6.9</v>
      </c>
      <c r="H1526">
        <v>6.3</v>
      </c>
      <c r="I1526">
        <v>0.6</v>
      </c>
      <c r="J1526">
        <v>8</v>
      </c>
      <c r="K1526">
        <v>89.2</v>
      </c>
      <c r="L1526">
        <v>1376.2</v>
      </c>
      <c r="M1526">
        <v>425</v>
      </c>
      <c r="N1526">
        <v>410</v>
      </c>
      <c r="O1526">
        <v>579</v>
      </c>
      <c r="P1526">
        <v>169</v>
      </c>
      <c r="Q1526">
        <v>356</v>
      </c>
      <c r="R1526">
        <v>607</v>
      </c>
      <c r="S1526">
        <v>251</v>
      </c>
      <c r="T1526">
        <v>244.5</v>
      </c>
      <c r="U1526">
        <v>434</v>
      </c>
      <c r="V1526">
        <v>429</v>
      </c>
      <c r="W1526">
        <v>500</v>
      </c>
      <c r="X1526">
        <v>2.79</v>
      </c>
    </row>
    <row r="1527" spans="1:24" hidden="1" outlineLevel="2" x14ac:dyDescent="0.25">
      <c r="A1527" t="str">
        <f t="shared" si="242"/>
        <v>AK9 - 2003</v>
      </c>
      <c r="B1527" t="s">
        <v>38</v>
      </c>
      <c r="C1527">
        <v>6</v>
      </c>
      <c r="D1527">
        <v>17</v>
      </c>
      <c r="E1527">
        <v>2003</v>
      </c>
      <c r="F1527">
        <v>245</v>
      </c>
      <c r="G1527">
        <v>6.3</v>
      </c>
      <c r="H1527">
        <v>6</v>
      </c>
      <c r="I1527">
        <v>0.3</v>
      </c>
      <c r="J1527">
        <v>4</v>
      </c>
      <c r="K1527">
        <v>95.7</v>
      </c>
      <c r="L1527">
        <v>1885.7</v>
      </c>
      <c r="M1527">
        <v>406</v>
      </c>
      <c r="N1527">
        <v>400</v>
      </c>
      <c r="O1527">
        <v>537</v>
      </c>
      <c r="P1527">
        <v>137</v>
      </c>
      <c r="Q1527">
        <v>357</v>
      </c>
      <c r="R1527">
        <v>537</v>
      </c>
      <c r="S1527">
        <v>180</v>
      </c>
      <c r="T1527">
        <v>256.8</v>
      </c>
      <c r="U1527">
        <v>400</v>
      </c>
      <c r="V1527">
        <v>395</v>
      </c>
      <c r="W1527">
        <v>500</v>
      </c>
      <c r="X1527">
        <v>2.79</v>
      </c>
    </row>
    <row r="1528" spans="1:24" hidden="1" outlineLevel="2" x14ac:dyDescent="0.25">
      <c r="A1528" t="str">
        <f t="shared" si="242"/>
        <v>AK9 - 2003</v>
      </c>
      <c r="B1528" t="s">
        <v>38</v>
      </c>
      <c r="C1528">
        <v>7</v>
      </c>
      <c r="D1528">
        <v>18</v>
      </c>
      <c r="E1528">
        <v>2003</v>
      </c>
      <c r="F1528">
        <v>241.5</v>
      </c>
      <c r="G1528">
        <v>4.5</v>
      </c>
      <c r="H1528">
        <v>4.2</v>
      </c>
      <c r="I1528">
        <v>0.3</v>
      </c>
      <c r="J1528">
        <v>6</v>
      </c>
      <c r="K1528">
        <v>67.599999999999994</v>
      </c>
      <c r="L1528">
        <v>1832.2</v>
      </c>
      <c r="M1528">
        <v>400</v>
      </c>
      <c r="N1528">
        <v>392</v>
      </c>
      <c r="O1528">
        <v>509</v>
      </c>
      <c r="P1528">
        <v>117</v>
      </c>
      <c r="Q1528">
        <v>358</v>
      </c>
      <c r="R1528">
        <v>509</v>
      </c>
      <c r="S1528">
        <v>151</v>
      </c>
      <c r="T1528">
        <v>245.7</v>
      </c>
      <c r="U1528">
        <v>401</v>
      </c>
      <c r="V1528">
        <v>390</v>
      </c>
      <c r="W1528">
        <v>500</v>
      </c>
      <c r="X1528">
        <v>2.79</v>
      </c>
    </row>
    <row r="1529" spans="1:24" hidden="1" outlineLevel="2" x14ac:dyDescent="0.25">
      <c r="A1529" t="str">
        <f t="shared" si="242"/>
        <v>AK9 - 2003</v>
      </c>
      <c r="B1529" t="s">
        <v>38</v>
      </c>
      <c r="C1529">
        <v>8</v>
      </c>
      <c r="D1529">
        <v>18</v>
      </c>
      <c r="E1529">
        <v>2003</v>
      </c>
      <c r="F1529">
        <v>238.1</v>
      </c>
      <c r="G1529">
        <v>3.3</v>
      </c>
      <c r="H1529">
        <v>2.7</v>
      </c>
      <c r="I1529">
        <v>0.6</v>
      </c>
      <c r="J1529">
        <v>18</v>
      </c>
      <c r="K1529">
        <v>49</v>
      </c>
      <c r="L1529">
        <v>1781</v>
      </c>
      <c r="M1529">
        <v>438</v>
      </c>
      <c r="N1529">
        <v>421</v>
      </c>
      <c r="O1529">
        <v>515</v>
      </c>
      <c r="P1529">
        <v>94</v>
      </c>
      <c r="Q1529">
        <v>357</v>
      </c>
      <c r="R1529">
        <v>519</v>
      </c>
      <c r="S1529">
        <v>162</v>
      </c>
      <c r="T1529">
        <v>249</v>
      </c>
      <c r="U1529">
        <v>395</v>
      </c>
      <c r="V1529">
        <v>365</v>
      </c>
      <c r="W1529">
        <v>500</v>
      </c>
      <c r="X1529">
        <v>2.79</v>
      </c>
    </row>
    <row r="1530" spans="1:24" hidden="1" outlineLevel="2" x14ac:dyDescent="0.25">
      <c r="A1530" t="str">
        <f t="shared" si="242"/>
        <v>AK9 - 2003</v>
      </c>
      <c r="B1530" t="s">
        <v>38</v>
      </c>
      <c r="C1530">
        <v>10</v>
      </c>
      <c r="D1530">
        <v>18</v>
      </c>
      <c r="E1530">
        <v>2003</v>
      </c>
      <c r="F1530">
        <v>250.8</v>
      </c>
      <c r="G1530">
        <v>8.4</v>
      </c>
      <c r="H1530">
        <v>7.8</v>
      </c>
      <c r="I1530">
        <v>0.6</v>
      </c>
      <c r="J1530">
        <v>7</v>
      </c>
      <c r="K1530">
        <v>130.19999999999999</v>
      </c>
      <c r="L1530">
        <v>1976.1</v>
      </c>
      <c r="M1530">
        <v>379</v>
      </c>
      <c r="N1530">
        <v>369</v>
      </c>
      <c r="O1530">
        <v>506</v>
      </c>
      <c r="P1530">
        <v>137</v>
      </c>
      <c r="Q1530">
        <v>305</v>
      </c>
      <c r="R1530">
        <v>512</v>
      </c>
      <c r="S1530">
        <v>207</v>
      </c>
      <c r="T1530">
        <v>289.5</v>
      </c>
      <c r="U1530">
        <v>393</v>
      </c>
      <c r="V1530">
        <v>393</v>
      </c>
      <c r="W1530">
        <v>500</v>
      </c>
      <c r="X1530">
        <v>2.79</v>
      </c>
    </row>
    <row r="1531" spans="1:24" hidden="1" outlineLevel="2" x14ac:dyDescent="0.25">
      <c r="A1531" t="str">
        <f t="shared" si="242"/>
        <v>AK9 - 2003</v>
      </c>
      <c r="B1531" t="s">
        <v>38</v>
      </c>
      <c r="C1531">
        <v>11</v>
      </c>
      <c r="D1531">
        <v>18</v>
      </c>
      <c r="E1531">
        <v>2003</v>
      </c>
      <c r="F1531">
        <v>305.60000000000002</v>
      </c>
      <c r="G1531">
        <v>7.5</v>
      </c>
      <c r="H1531">
        <v>6.6</v>
      </c>
      <c r="I1531">
        <v>0.9</v>
      </c>
      <c r="J1531">
        <v>12</v>
      </c>
      <c r="K1531">
        <v>142.19999999999999</v>
      </c>
      <c r="L1531">
        <v>2934</v>
      </c>
      <c r="M1531">
        <v>387</v>
      </c>
      <c r="N1531">
        <v>364</v>
      </c>
      <c r="O1531">
        <v>556</v>
      </c>
      <c r="P1531">
        <v>192</v>
      </c>
      <c r="Q1531">
        <v>324</v>
      </c>
      <c r="R1531">
        <v>562</v>
      </c>
      <c r="S1531">
        <v>238</v>
      </c>
      <c r="T1531">
        <v>331.8</v>
      </c>
      <c r="U1531">
        <v>389</v>
      </c>
      <c r="V1531">
        <v>385</v>
      </c>
      <c r="W1531">
        <v>500</v>
      </c>
      <c r="X1531">
        <v>2.79</v>
      </c>
    </row>
    <row r="1532" spans="1:24" hidden="1" outlineLevel="2" x14ac:dyDescent="0.25">
      <c r="A1532" t="str">
        <f t="shared" si="242"/>
        <v>AK9 - 2003</v>
      </c>
      <c r="B1532" t="s">
        <v>38</v>
      </c>
      <c r="C1532">
        <v>13</v>
      </c>
      <c r="D1532">
        <v>18</v>
      </c>
      <c r="E1532">
        <v>2003</v>
      </c>
      <c r="F1532">
        <v>278.3</v>
      </c>
      <c r="G1532">
        <v>6</v>
      </c>
      <c r="H1532">
        <v>5.4</v>
      </c>
      <c r="I1532">
        <v>0.6</v>
      </c>
      <c r="J1532">
        <v>10</v>
      </c>
      <c r="K1532">
        <v>103.8</v>
      </c>
      <c r="L1532">
        <v>2433.1999999999998</v>
      </c>
      <c r="M1532">
        <v>428</v>
      </c>
      <c r="N1532">
        <v>413</v>
      </c>
      <c r="O1532">
        <v>566</v>
      </c>
      <c r="P1532">
        <v>153</v>
      </c>
      <c r="Q1532">
        <v>366</v>
      </c>
      <c r="R1532">
        <v>580</v>
      </c>
      <c r="S1532">
        <v>214</v>
      </c>
      <c r="T1532">
        <v>286.8</v>
      </c>
      <c r="U1532">
        <v>408</v>
      </c>
      <c r="V1532">
        <v>398</v>
      </c>
      <c r="W1532">
        <v>500</v>
      </c>
      <c r="X1532">
        <v>2.79</v>
      </c>
    </row>
    <row r="1533" spans="1:24" hidden="1" outlineLevel="2" x14ac:dyDescent="0.25">
      <c r="A1533" t="str">
        <f t="shared" si="242"/>
        <v>AK9 - 2003</v>
      </c>
      <c r="B1533" t="s">
        <v>38</v>
      </c>
      <c r="C1533">
        <v>14</v>
      </c>
      <c r="D1533">
        <v>18</v>
      </c>
      <c r="E1533">
        <v>2003</v>
      </c>
      <c r="F1533">
        <v>158.80000000000001</v>
      </c>
      <c r="G1533">
        <v>7.2</v>
      </c>
      <c r="H1533">
        <v>6.6</v>
      </c>
      <c r="I1533">
        <v>0.6</v>
      </c>
      <c r="J1533">
        <v>8</v>
      </c>
      <c r="K1533">
        <v>70.2</v>
      </c>
      <c r="L1533">
        <v>792.2</v>
      </c>
      <c r="M1533">
        <v>397</v>
      </c>
      <c r="N1533">
        <v>383</v>
      </c>
      <c r="O1533">
        <v>550</v>
      </c>
      <c r="P1533">
        <v>167</v>
      </c>
      <c r="Q1533">
        <v>331</v>
      </c>
      <c r="R1533">
        <v>565</v>
      </c>
      <c r="S1533">
        <v>234</v>
      </c>
      <c r="T1533">
        <v>173.4</v>
      </c>
      <c r="U1533">
        <v>385</v>
      </c>
      <c r="V1533">
        <v>377</v>
      </c>
      <c r="W1533">
        <v>500</v>
      </c>
      <c r="X1533">
        <v>2.79</v>
      </c>
    </row>
    <row r="1534" spans="1:24" outlineLevel="1" collapsed="1" x14ac:dyDescent="0.25">
      <c r="A1534" s="8" t="s">
        <v>159</v>
      </c>
      <c r="D1534">
        <f t="shared" ref="D1534:V1534" si="243">SUBTOTAL(1,D1523:D1533)</f>
        <v>17.90909090909091</v>
      </c>
      <c r="E1534">
        <f t="shared" si="243"/>
        <v>2003</v>
      </c>
      <c r="F1534">
        <f t="shared" si="243"/>
        <v>227.70000000000002</v>
      </c>
      <c r="G1534">
        <f t="shared" si="243"/>
        <v>6</v>
      </c>
      <c r="H1534">
        <f t="shared" si="243"/>
        <v>5.4272727272727268</v>
      </c>
      <c r="I1534">
        <f t="shared" si="243"/>
        <v>0.57272727272727264</v>
      </c>
      <c r="J1534">
        <f t="shared" si="243"/>
        <v>9.545454545454545</v>
      </c>
      <c r="K1534">
        <f t="shared" si="243"/>
        <v>85.472727272727283</v>
      </c>
      <c r="L1534">
        <f t="shared" si="243"/>
        <v>1684.9272727272728</v>
      </c>
      <c r="M1534">
        <f t="shared" si="243"/>
        <v>408.27272727272725</v>
      </c>
      <c r="N1534">
        <f t="shared" si="243"/>
        <v>394.36363636363637</v>
      </c>
      <c r="O1534">
        <f t="shared" si="243"/>
        <v>539.18181818181813</v>
      </c>
      <c r="P1534">
        <f t="shared" si="243"/>
        <v>144.81818181818181</v>
      </c>
      <c r="Q1534">
        <f t="shared" si="243"/>
        <v>343.72727272727275</v>
      </c>
      <c r="R1534">
        <f t="shared" si="243"/>
        <v>550</v>
      </c>
      <c r="S1534">
        <f t="shared" si="243"/>
        <v>206.27272727272728</v>
      </c>
      <c r="T1534">
        <f t="shared" si="243"/>
        <v>247.25454545454548</v>
      </c>
      <c r="U1534">
        <f t="shared" si="243"/>
        <v>401.54545454545456</v>
      </c>
      <c r="V1534">
        <f t="shared" si="243"/>
        <v>393.09090909090907</v>
      </c>
    </row>
    <row r="1535" spans="1:24" hidden="1" outlineLevel="2" x14ac:dyDescent="0.25">
      <c r="A1535" t="str">
        <f t="shared" ref="A1535:A1545" si="244">CONCATENATE(B1535," - ",E1535)</f>
        <v>AK9 - 2004</v>
      </c>
      <c r="B1535" t="s">
        <v>38</v>
      </c>
      <c r="C1535">
        <v>1</v>
      </c>
      <c r="D1535">
        <v>19</v>
      </c>
      <c r="E1535">
        <v>2004</v>
      </c>
      <c r="F1535">
        <v>168.3</v>
      </c>
      <c r="G1535">
        <v>2.4</v>
      </c>
      <c r="H1535">
        <v>2.4</v>
      </c>
      <c r="I1535">
        <v>0</v>
      </c>
      <c r="J1535">
        <v>0</v>
      </c>
      <c r="K1535">
        <v>25.2</v>
      </c>
      <c r="L1535">
        <v>889.9</v>
      </c>
      <c r="M1535">
        <v>399</v>
      </c>
      <c r="N1535">
        <v>399</v>
      </c>
      <c r="Q1535">
        <v>359</v>
      </c>
      <c r="R1535">
        <v>479</v>
      </c>
      <c r="S1535">
        <v>120</v>
      </c>
      <c r="T1535">
        <v>170.1</v>
      </c>
      <c r="U1535">
        <v>401</v>
      </c>
      <c r="V1535">
        <v>383</v>
      </c>
      <c r="W1535">
        <v>500</v>
      </c>
      <c r="X1535">
        <v>2.79</v>
      </c>
    </row>
    <row r="1536" spans="1:24" hidden="1" outlineLevel="2" x14ac:dyDescent="0.25">
      <c r="A1536" t="str">
        <f t="shared" si="244"/>
        <v>AK9 - 2004</v>
      </c>
      <c r="B1536" t="s">
        <v>38</v>
      </c>
      <c r="C1536">
        <v>3</v>
      </c>
      <c r="D1536">
        <v>19</v>
      </c>
      <c r="E1536">
        <v>2004</v>
      </c>
      <c r="F1536">
        <v>206.9</v>
      </c>
      <c r="G1536">
        <v>3.6</v>
      </c>
      <c r="H1536">
        <v>2.7</v>
      </c>
      <c r="I1536">
        <v>0.9</v>
      </c>
      <c r="J1536">
        <v>24</v>
      </c>
      <c r="K1536">
        <v>46.4</v>
      </c>
      <c r="L1536">
        <v>1344.8</v>
      </c>
      <c r="M1536">
        <v>434</v>
      </c>
      <c r="N1536">
        <v>388</v>
      </c>
      <c r="O1536">
        <v>573</v>
      </c>
      <c r="P1536">
        <v>185</v>
      </c>
      <c r="Q1536">
        <v>356</v>
      </c>
      <c r="R1536">
        <v>592</v>
      </c>
      <c r="S1536">
        <v>236</v>
      </c>
      <c r="T1536">
        <v>227.4</v>
      </c>
      <c r="U1536">
        <v>423</v>
      </c>
      <c r="V1536">
        <v>424</v>
      </c>
      <c r="W1536">
        <v>500</v>
      </c>
      <c r="X1536">
        <v>2.79</v>
      </c>
    </row>
    <row r="1537" spans="1:24" hidden="1" outlineLevel="2" x14ac:dyDescent="0.25">
      <c r="A1537" t="str">
        <f t="shared" si="244"/>
        <v>AK9 - 2004</v>
      </c>
      <c r="B1537" t="s">
        <v>38</v>
      </c>
      <c r="C1537">
        <v>4</v>
      </c>
      <c r="D1537">
        <v>19</v>
      </c>
      <c r="E1537">
        <v>2004</v>
      </c>
      <c r="F1537">
        <v>215.3</v>
      </c>
      <c r="G1537">
        <v>7.2</v>
      </c>
      <c r="H1537">
        <v>5.0999999999999996</v>
      </c>
      <c r="I1537">
        <v>2.1</v>
      </c>
      <c r="J1537">
        <v>29</v>
      </c>
      <c r="K1537">
        <v>95.8</v>
      </c>
      <c r="L1537">
        <v>1456.3</v>
      </c>
      <c r="M1537">
        <v>416</v>
      </c>
      <c r="N1537">
        <v>366</v>
      </c>
      <c r="O1537">
        <v>538</v>
      </c>
      <c r="P1537">
        <v>172</v>
      </c>
      <c r="Q1537">
        <v>324</v>
      </c>
      <c r="R1537">
        <v>558</v>
      </c>
      <c r="S1537">
        <v>234</v>
      </c>
      <c r="T1537">
        <v>244.8</v>
      </c>
      <c r="U1537">
        <v>388</v>
      </c>
      <c r="V1537">
        <v>385</v>
      </c>
      <c r="W1537">
        <v>500</v>
      </c>
      <c r="X1537">
        <v>2.79</v>
      </c>
    </row>
    <row r="1538" spans="1:24" hidden="1" outlineLevel="2" x14ac:dyDescent="0.25">
      <c r="A1538" t="str">
        <f t="shared" si="244"/>
        <v>AK9 - 2004</v>
      </c>
      <c r="B1538" t="s">
        <v>38</v>
      </c>
      <c r="C1538">
        <v>5</v>
      </c>
      <c r="D1538">
        <v>19</v>
      </c>
      <c r="E1538">
        <v>2004</v>
      </c>
      <c r="F1538">
        <v>216.2</v>
      </c>
      <c r="G1538">
        <v>6.9</v>
      </c>
      <c r="H1538">
        <v>5.0999999999999996</v>
      </c>
      <c r="I1538">
        <v>1.8</v>
      </c>
      <c r="J1538">
        <v>26</v>
      </c>
      <c r="K1538">
        <v>92.2</v>
      </c>
      <c r="L1538">
        <v>1468.5</v>
      </c>
      <c r="M1538">
        <v>450</v>
      </c>
      <c r="N1538">
        <v>408</v>
      </c>
      <c r="O1538">
        <v>571</v>
      </c>
      <c r="P1538">
        <v>163</v>
      </c>
      <c r="Q1538">
        <v>358</v>
      </c>
      <c r="R1538">
        <v>601</v>
      </c>
      <c r="S1538">
        <v>243</v>
      </c>
      <c r="T1538">
        <v>244.5</v>
      </c>
      <c r="U1538">
        <v>434</v>
      </c>
      <c r="V1538">
        <v>429</v>
      </c>
      <c r="W1538">
        <v>500</v>
      </c>
      <c r="X1538">
        <v>2.79</v>
      </c>
    </row>
    <row r="1539" spans="1:24" hidden="1" outlineLevel="2" x14ac:dyDescent="0.25">
      <c r="A1539" t="str">
        <f t="shared" si="244"/>
        <v>AK9 - 2004</v>
      </c>
      <c r="B1539" t="s">
        <v>38</v>
      </c>
      <c r="C1539">
        <v>6</v>
      </c>
      <c r="D1539">
        <v>18</v>
      </c>
      <c r="E1539">
        <v>2004</v>
      </c>
      <c r="F1539">
        <v>250.4</v>
      </c>
      <c r="G1539">
        <v>5.4</v>
      </c>
      <c r="H1539">
        <v>4.5</v>
      </c>
      <c r="I1539">
        <v>0.9</v>
      </c>
      <c r="J1539">
        <v>16</v>
      </c>
      <c r="K1539">
        <v>84</v>
      </c>
      <c r="L1539">
        <v>1969.8</v>
      </c>
      <c r="M1539">
        <v>410</v>
      </c>
      <c r="N1539">
        <v>384</v>
      </c>
      <c r="O1539">
        <v>543</v>
      </c>
      <c r="P1539">
        <v>159</v>
      </c>
      <c r="Q1539">
        <v>335</v>
      </c>
      <c r="R1539">
        <v>573</v>
      </c>
      <c r="S1539">
        <v>238</v>
      </c>
      <c r="T1539">
        <v>256.8</v>
      </c>
      <c r="U1539">
        <v>400</v>
      </c>
      <c r="V1539">
        <v>395</v>
      </c>
      <c r="W1539">
        <v>500</v>
      </c>
      <c r="X1539">
        <v>2.79</v>
      </c>
    </row>
    <row r="1540" spans="1:24" hidden="1" outlineLevel="2" x14ac:dyDescent="0.25">
      <c r="A1540" t="str">
        <f t="shared" si="244"/>
        <v>AK9 - 2004</v>
      </c>
      <c r="B1540" t="s">
        <v>38</v>
      </c>
      <c r="C1540">
        <v>7</v>
      </c>
      <c r="D1540">
        <v>19</v>
      </c>
      <c r="E1540">
        <v>2004</v>
      </c>
      <c r="F1540">
        <v>245.7</v>
      </c>
      <c r="G1540">
        <v>4.2</v>
      </c>
      <c r="H1540">
        <v>3.6</v>
      </c>
      <c r="I1540">
        <v>0.6</v>
      </c>
      <c r="J1540">
        <v>14</v>
      </c>
      <c r="K1540">
        <v>64.3</v>
      </c>
      <c r="L1540">
        <v>1896.5</v>
      </c>
      <c r="M1540">
        <v>422</v>
      </c>
      <c r="N1540">
        <v>404</v>
      </c>
      <c r="O1540">
        <v>527</v>
      </c>
      <c r="P1540">
        <v>123</v>
      </c>
      <c r="Q1540">
        <v>344</v>
      </c>
      <c r="R1540">
        <v>553</v>
      </c>
      <c r="S1540">
        <v>209</v>
      </c>
      <c r="T1540">
        <v>245.7</v>
      </c>
      <c r="U1540">
        <v>401</v>
      </c>
      <c r="V1540">
        <v>390</v>
      </c>
      <c r="W1540">
        <v>500</v>
      </c>
      <c r="X1540">
        <v>2.79</v>
      </c>
    </row>
    <row r="1541" spans="1:24" hidden="1" outlineLevel="2" x14ac:dyDescent="0.25">
      <c r="A1541" t="str">
        <f t="shared" si="244"/>
        <v>AK9 - 2004</v>
      </c>
      <c r="B1541" t="s">
        <v>38</v>
      </c>
      <c r="C1541">
        <v>8</v>
      </c>
      <c r="D1541">
        <v>19</v>
      </c>
      <c r="E1541">
        <v>2004</v>
      </c>
      <c r="F1541">
        <v>240.2</v>
      </c>
      <c r="G1541">
        <v>2.1</v>
      </c>
      <c r="H1541">
        <v>1.8</v>
      </c>
      <c r="I1541">
        <v>0.3</v>
      </c>
      <c r="J1541">
        <v>14</v>
      </c>
      <c r="K1541">
        <v>31.6</v>
      </c>
      <c r="L1541">
        <v>1812.6</v>
      </c>
      <c r="M1541">
        <v>445</v>
      </c>
      <c r="N1541">
        <v>425</v>
      </c>
      <c r="O1541">
        <v>561</v>
      </c>
      <c r="P1541">
        <v>136</v>
      </c>
      <c r="Q1541">
        <v>376</v>
      </c>
      <c r="R1541">
        <v>561</v>
      </c>
      <c r="S1541">
        <v>185</v>
      </c>
      <c r="T1541">
        <v>249</v>
      </c>
      <c r="U1541">
        <v>395</v>
      </c>
      <c r="V1541">
        <v>365</v>
      </c>
      <c r="W1541">
        <v>500</v>
      </c>
      <c r="X1541">
        <v>2.79</v>
      </c>
    </row>
    <row r="1542" spans="1:24" hidden="1" outlineLevel="2" x14ac:dyDescent="0.25">
      <c r="A1542" t="str">
        <f t="shared" si="244"/>
        <v>AK9 - 2004</v>
      </c>
      <c r="B1542" t="s">
        <v>38</v>
      </c>
      <c r="C1542">
        <v>10</v>
      </c>
      <c r="D1542">
        <v>19</v>
      </c>
      <c r="E1542">
        <v>2004</v>
      </c>
      <c r="F1542">
        <v>260.10000000000002</v>
      </c>
      <c r="G1542">
        <v>9.3000000000000007</v>
      </c>
      <c r="H1542">
        <v>6.9</v>
      </c>
      <c r="I1542">
        <v>2.4</v>
      </c>
      <c r="J1542">
        <v>25</v>
      </c>
      <c r="K1542">
        <v>149.30000000000001</v>
      </c>
      <c r="L1542">
        <v>2125.4</v>
      </c>
      <c r="M1542">
        <v>424</v>
      </c>
      <c r="N1542">
        <v>389</v>
      </c>
      <c r="O1542">
        <v>526</v>
      </c>
      <c r="P1542">
        <v>137</v>
      </c>
      <c r="Q1542">
        <v>327</v>
      </c>
      <c r="R1542">
        <v>552</v>
      </c>
      <c r="S1542">
        <v>225</v>
      </c>
      <c r="T1542">
        <v>289.5</v>
      </c>
      <c r="U1542">
        <v>393</v>
      </c>
      <c r="V1542">
        <v>393</v>
      </c>
      <c r="W1542">
        <v>500</v>
      </c>
      <c r="X1542">
        <v>2.79</v>
      </c>
    </row>
    <row r="1543" spans="1:24" hidden="1" outlineLevel="2" x14ac:dyDescent="0.25">
      <c r="A1543" t="str">
        <f t="shared" si="244"/>
        <v>AK9 - 2004</v>
      </c>
      <c r="B1543" t="s">
        <v>38</v>
      </c>
      <c r="C1543">
        <v>11</v>
      </c>
      <c r="D1543">
        <v>19</v>
      </c>
      <c r="E1543">
        <v>2004</v>
      </c>
      <c r="F1543">
        <v>312.2</v>
      </c>
      <c r="G1543">
        <v>6.6</v>
      </c>
      <c r="H1543">
        <v>4.5</v>
      </c>
      <c r="I1543">
        <v>2.1</v>
      </c>
      <c r="J1543">
        <v>31</v>
      </c>
      <c r="K1543">
        <v>128.1</v>
      </c>
      <c r="L1543">
        <v>3062.1</v>
      </c>
      <c r="M1543">
        <v>430</v>
      </c>
      <c r="N1543">
        <v>369</v>
      </c>
      <c r="O1543">
        <v>561</v>
      </c>
      <c r="P1543">
        <v>192</v>
      </c>
      <c r="Q1543">
        <v>331</v>
      </c>
      <c r="R1543">
        <v>594</v>
      </c>
      <c r="S1543">
        <v>263</v>
      </c>
      <c r="T1543">
        <v>331.8</v>
      </c>
      <c r="U1543">
        <v>389</v>
      </c>
      <c r="V1543">
        <v>385</v>
      </c>
      <c r="W1543">
        <v>500</v>
      </c>
      <c r="X1543">
        <v>2.79</v>
      </c>
    </row>
    <row r="1544" spans="1:24" hidden="1" outlineLevel="2" x14ac:dyDescent="0.25">
      <c r="A1544" t="str">
        <f t="shared" si="244"/>
        <v>AK9 - 2004</v>
      </c>
      <c r="B1544" t="s">
        <v>38</v>
      </c>
      <c r="C1544">
        <v>13</v>
      </c>
      <c r="D1544">
        <v>19</v>
      </c>
      <c r="E1544">
        <v>2004</v>
      </c>
      <c r="F1544">
        <v>284</v>
      </c>
      <c r="G1544">
        <v>5.7</v>
      </c>
      <c r="H1544">
        <v>4.5</v>
      </c>
      <c r="I1544">
        <v>1.2</v>
      </c>
      <c r="J1544">
        <v>21</v>
      </c>
      <c r="K1544">
        <v>100.7</v>
      </c>
      <c r="L1544">
        <v>2533.9</v>
      </c>
      <c r="M1544">
        <v>429</v>
      </c>
      <c r="N1544">
        <v>397</v>
      </c>
      <c r="O1544">
        <v>549</v>
      </c>
      <c r="P1544">
        <v>152</v>
      </c>
      <c r="Q1544">
        <v>356</v>
      </c>
      <c r="R1544">
        <v>571</v>
      </c>
      <c r="S1544">
        <v>215</v>
      </c>
      <c r="T1544">
        <v>286.8</v>
      </c>
      <c r="U1544">
        <v>408</v>
      </c>
      <c r="V1544">
        <v>398</v>
      </c>
      <c r="W1544">
        <v>500</v>
      </c>
      <c r="X1544">
        <v>2.79</v>
      </c>
    </row>
    <row r="1545" spans="1:24" hidden="1" outlineLevel="2" x14ac:dyDescent="0.25">
      <c r="A1545" t="str">
        <f t="shared" si="244"/>
        <v>AK9 - 2004</v>
      </c>
      <c r="B1545" t="s">
        <v>38</v>
      </c>
      <c r="C1545">
        <v>14</v>
      </c>
      <c r="D1545">
        <v>19</v>
      </c>
      <c r="E1545">
        <v>2004</v>
      </c>
      <c r="F1545">
        <v>164.2</v>
      </c>
      <c r="G1545">
        <v>5.4</v>
      </c>
      <c r="H1545">
        <v>4.5</v>
      </c>
      <c r="I1545">
        <v>0.9</v>
      </c>
      <c r="J1545">
        <v>16</v>
      </c>
      <c r="K1545">
        <v>54.8</v>
      </c>
      <c r="L1545">
        <v>847</v>
      </c>
      <c r="M1545">
        <v>399</v>
      </c>
      <c r="N1545">
        <v>368</v>
      </c>
      <c r="O1545">
        <v>555</v>
      </c>
      <c r="P1545">
        <v>187</v>
      </c>
      <c r="Q1545">
        <v>321</v>
      </c>
      <c r="R1545">
        <v>566</v>
      </c>
      <c r="S1545">
        <v>245</v>
      </c>
      <c r="T1545">
        <v>173.4</v>
      </c>
      <c r="U1545">
        <v>385</v>
      </c>
      <c r="V1545">
        <v>377</v>
      </c>
      <c r="W1545">
        <v>500</v>
      </c>
      <c r="X1545">
        <v>2.79</v>
      </c>
    </row>
    <row r="1546" spans="1:24" outlineLevel="1" collapsed="1" x14ac:dyDescent="0.25">
      <c r="A1546" s="8" t="s">
        <v>160</v>
      </c>
      <c r="D1546">
        <f t="shared" ref="D1546:V1546" si="245">SUBTOTAL(1,D1535:D1545)</f>
        <v>18.90909090909091</v>
      </c>
      <c r="E1546">
        <f t="shared" si="245"/>
        <v>2004</v>
      </c>
      <c r="F1546">
        <f t="shared" si="245"/>
        <v>233.04545454545453</v>
      </c>
      <c r="G1546">
        <f t="shared" si="245"/>
        <v>5.3454545454545457</v>
      </c>
      <c r="H1546">
        <f t="shared" si="245"/>
        <v>4.1454545454545455</v>
      </c>
      <c r="I1546">
        <f t="shared" si="245"/>
        <v>1.2</v>
      </c>
      <c r="J1546">
        <f t="shared" si="245"/>
        <v>19.636363636363637</v>
      </c>
      <c r="K1546">
        <f t="shared" si="245"/>
        <v>79.309090909090912</v>
      </c>
      <c r="L1546">
        <f t="shared" si="245"/>
        <v>1764.2545454545455</v>
      </c>
      <c r="M1546">
        <f t="shared" si="245"/>
        <v>423.45454545454544</v>
      </c>
      <c r="N1546">
        <f t="shared" si="245"/>
        <v>390.63636363636363</v>
      </c>
      <c r="O1546">
        <f t="shared" si="245"/>
        <v>550.4</v>
      </c>
      <c r="P1546">
        <f t="shared" si="245"/>
        <v>160.6</v>
      </c>
      <c r="Q1546">
        <f t="shared" si="245"/>
        <v>344.27272727272725</v>
      </c>
      <c r="R1546">
        <f t="shared" si="245"/>
        <v>563.63636363636363</v>
      </c>
      <c r="S1546">
        <f t="shared" si="245"/>
        <v>219.36363636363637</v>
      </c>
      <c r="T1546">
        <f t="shared" si="245"/>
        <v>247.25454545454548</v>
      </c>
      <c r="U1546">
        <f t="shared" si="245"/>
        <v>401.54545454545456</v>
      </c>
      <c r="V1546">
        <f t="shared" si="245"/>
        <v>393.09090909090907</v>
      </c>
    </row>
    <row r="1547" spans="1:24" hidden="1" outlineLevel="2" x14ac:dyDescent="0.25">
      <c r="A1547" t="str">
        <f t="shared" ref="A1547:A1557" si="246">CONCATENATE(B1547," - ",E1547)</f>
        <v>AK9 - 2005</v>
      </c>
      <c r="B1547" t="s">
        <v>38</v>
      </c>
      <c r="C1547">
        <v>1</v>
      </c>
      <c r="D1547">
        <v>20</v>
      </c>
      <c r="E1547">
        <v>2005</v>
      </c>
      <c r="F1547">
        <v>169.8</v>
      </c>
      <c r="G1547">
        <v>1.5</v>
      </c>
      <c r="H1547">
        <v>1.2</v>
      </c>
      <c r="I1547">
        <v>0.3</v>
      </c>
      <c r="J1547">
        <v>20</v>
      </c>
      <c r="K1547">
        <v>15.9</v>
      </c>
      <c r="L1547">
        <v>905.8</v>
      </c>
      <c r="M1547">
        <v>464</v>
      </c>
      <c r="N1547">
        <v>439</v>
      </c>
      <c r="O1547">
        <v>566</v>
      </c>
      <c r="P1547">
        <v>127</v>
      </c>
      <c r="Q1547">
        <v>396</v>
      </c>
      <c r="R1547">
        <v>566</v>
      </c>
      <c r="S1547">
        <v>170</v>
      </c>
      <c r="T1547">
        <v>170.1</v>
      </c>
      <c r="U1547">
        <v>401</v>
      </c>
      <c r="V1547">
        <v>383</v>
      </c>
      <c r="W1547">
        <v>500</v>
      </c>
      <c r="X1547">
        <v>2.79</v>
      </c>
    </row>
    <row r="1548" spans="1:24" hidden="1" outlineLevel="2" x14ac:dyDescent="0.25">
      <c r="A1548" t="str">
        <f t="shared" si="246"/>
        <v>AK9 - 2005</v>
      </c>
      <c r="B1548" t="s">
        <v>38</v>
      </c>
      <c r="C1548">
        <v>3</v>
      </c>
      <c r="D1548">
        <v>20</v>
      </c>
      <c r="E1548">
        <v>2005</v>
      </c>
      <c r="F1548">
        <v>210.2</v>
      </c>
      <c r="G1548">
        <v>3.3</v>
      </c>
      <c r="H1548">
        <v>2.7</v>
      </c>
      <c r="I1548">
        <v>0.6</v>
      </c>
      <c r="J1548">
        <v>18</v>
      </c>
      <c r="K1548">
        <v>43.2</v>
      </c>
      <c r="L1548">
        <v>1388.1</v>
      </c>
      <c r="M1548">
        <v>433</v>
      </c>
      <c r="N1548">
        <v>416</v>
      </c>
      <c r="O1548">
        <v>513</v>
      </c>
      <c r="P1548">
        <v>97</v>
      </c>
      <c r="Q1548">
        <v>369</v>
      </c>
      <c r="R1548">
        <v>526</v>
      </c>
      <c r="S1548">
        <v>157</v>
      </c>
      <c r="T1548">
        <v>227.4</v>
      </c>
      <c r="U1548">
        <v>423</v>
      </c>
      <c r="V1548">
        <v>424</v>
      </c>
      <c r="W1548">
        <v>500</v>
      </c>
      <c r="X1548">
        <v>2.79</v>
      </c>
    </row>
    <row r="1549" spans="1:24" hidden="1" outlineLevel="2" x14ac:dyDescent="0.25">
      <c r="A1549" t="str">
        <f t="shared" si="246"/>
        <v>AK9 - 2005</v>
      </c>
      <c r="B1549" t="s">
        <v>38</v>
      </c>
      <c r="C1549">
        <v>4</v>
      </c>
      <c r="D1549">
        <v>20</v>
      </c>
      <c r="E1549">
        <v>2005</v>
      </c>
      <c r="F1549">
        <v>224.3</v>
      </c>
      <c r="G1549">
        <v>9</v>
      </c>
      <c r="H1549">
        <v>8.4</v>
      </c>
      <c r="I1549">
        <v>0.6</v>
      </c>
      <c r="J1549">
        <v>6</v>
      </c>
      <c r="K1549">
        <v>124.3</v>
      </c>
      <c r="L1549">
        <v>1580.6</v>
      </c>
      <c r="M1549">
        <v>386</v>
      </c>
      <c r="N1549">
        <v>373</v>
      </c>
      <c r="O1549">
        <v>564</v>
      </c>
      <c r="P1549">
        <v>191</v>
      </c>
      <c r="Q1549">
        <v>330</v>
      </c>
      <c r="R1549">
        <v>568</v>
      </c>
      <c r="S1549">
        <v>238</v>
      </c>
      <c r="T1549">
        <v>244.8</v>
      </c>
      <c r="U1549">
        <v>388</v>
      </c>
      <c r="V1549">
        <v>385</v>
      </c>
      <c r="W1549">
        <v>500</v>
      </c>
      <c r="X1549">
        <v>2.79</v>
      </c>
    </row>
    <row r="1550" spans="1:24" hidden="1" outlineLevel="2" x14ac:dyDescent="0.25">
      <c r="A1550" t="str">
        <f t="shared" si="246"/>
        <v>AK9 - 2005</v>
      </c>
      <c r="B1550" t="s">
        <v>38</v>
      </c>
      <c r="C1550">
        <v>5</v>
      </c>
      <c r="D1550">
        <v>20</v>
      </c>
      <c r="E1550">
        <v>2005</v>
      </c>
      <c r="F1550">
        <v>222.2</v>
      </c>
      <c r="G1550">
        <v>6</v>
      </c>
      <c r="H1550">
        <v>6</v>
      </c>
      <c r="I1550">
        <v>0</v>
      </c>
      <c r="J1550">
        <v>0</v>
      </c>
      <c r="K1550">
        <v>82.6</v>
      </c>
      <c r="L1550">
        <v>1551.1</v>
      </c>
      <c r="M1550">
        <v>427</v>
      </c>
      <c r="N1550">
        <v>427</v>
      </c>
      <c r="Q1550">
        <v>379</v>
      </c>
      <c r="R1550">
        <v>497</v>
      </c>
      <c r="S1550">
        <v>118</v>
      </c>
      <c r="T1550">
        <v>244.5</v>
      </c>
      <c r="U1550">
        <v>434</v>
      </c>
      <c r="V1550">
        <v>429</v>
      </c>
      <c r="W1550">
        <v>500</v>
      </c>
      <c r="X1550">
        <v>2.79</v>
      </c>
    </row>
    <row r="1551" spans="1:24" hidden="1" outlineLevel="2" x14ac:dyDescent="0.25">
      <c r="A1551" t="str">
        <f t="shared" si="246"/>
        <v>AK9 - 2005</v>
      </c>
      <c r="B1551" t="s">
        <v>38</v>
      </c>
      <c r="C1551">
        <v>6</v>
      </c>
      <c r="D1551">
        <v>19</v>
      </c>
      <c r="E1551">
        <v>2005</v>
      </c>
      <c r="F1551">
        <v>254.9</v>
      </c>
      <c r="G1551">
        <v>4.5</v>
      </c>
      <c r="H1551">
        <v>4.2</v>
      </c>
      <c r="I1551">
        <v>0.3</v>
      </c>
      <c r="J1551">
        <v>6</v>
      </c>
      <c r="K1551">
        <v>71.400000000000006</v>
      </c>
      <c r="L1551">
        <v>2041.2</v>
      </c>
      <c r="M1551">
        <v>390</v>
      </c>
      <c r="N1551">
        <v>382</v>
      </c>
      <c r="O1551">
        <v>507</v>
      </c>
      <c r="P1551">
        <v>125</v>
      </c>
      <c r="Q1551">
        <v>343</v>
      </c>
      <c r="R1551">
        <v>507</v>
      </c>
      <c r="S1551">
        <v>164</v>
      </c>
      <c r="T1551">
        <v>256.8</v>
      </c>
      <c r="U1551">
        <v>400</v>
      </c>
      <c r="V1551">
        <v>395</v>
      </c>
      <c r="W1551">
        <v>500</v>
      </c>
      <c r="X1551">
        <v>2.79</v>
      </c>
    </row>
    <row r="1552" spans="1:24" hidden="1" outlineLevel="2" x14ac:dyDescent="0.25">
      <c r="A1552" t="str">
        <f t="shared" si="246"/>
        <v>AK9 - 2005</v>
      </c>
      <c r="B1552" t="s">
        <v>38</v>
      </c>
      <c r="C1552">
        <v>7</v>
      </c>
      <c r="D1552">
        <v>20</v>
      </c>
      <c r="E1552">
        <v>2005</v>
      </c>
      <c r="F1552">
        <v>249</v>
      </c>
      <c r="G1552">
        <v>3.3</v>
      </c>
      <c r="H1552">
        <v>3</v>
      </c>
      <c r="I1552">
        <v>0.3</v>
      </c>
      <c r="J1552">
        <v>9</v>
      </c>
      <c r="K1552">
        <v>51.3</v>
      </c>
      <c r="L1552">
        <v>1947.8</v>
      </c>
      <c r="M1552">
        <v>417</v>
      </c>
      <c r="N1552">
        <v>405</v>
      </c>
      <c r="O1552">
        <v>535</v>
      </c>
      <c r="P1552">
        <v>130</v>
      </c>
      <c r="Q1552">
        <v>344</v>
      </c>
      <c r="R1552">
        <v>535</v>
      </c>
      <c r="S1552">
        <v>191</v>
      </c>
      <c r="T1552">
        <v>245.7</v>
      </c>
      <c r="U1552">
        <v>401</v>
      </c>
      <c r="V1552">
        <v>390</v>
      </c>
      <c r="W1552">
        <v>500</v>
      </c>
      <c r="X1552">
        <v>2.79</v>
      </c>
    </row>
    <row r="1553" spans="1:24" hidden="1" outlineLevel="2" x14ac:dyDescent="0.25">
      <c r="A1553" t="str">
        <f t="shared" si="246"/>
        <v>AK9 - 2005</v>
      </c>
      <c r="B1553" t="s">
        <v>38</v>
      </c>
      <c r="C1553">
        <v>8</v>
      </c>
      <c r="D1553">
        <v>20</v>
      </c>
      <c r="E1553">
        <v>2005</v>
      </c>
      <c r="F1553">
        <v>242.3</v>
      </c>
      <c r="G1553">
        <v>2.1</v>
      </c>
      <c r="H1553">
        <v>1.5</v>
      </c>
      <c r="I1553">
        <v>0.6</v>
      </c>
      <c r="J1553">
        <v>28</v>
      </c>
      <c r="K1553">
        <v>31.8</v>
      </c>
      <c r="L1553">
        <v>1844.4</v>
      </c>
      <c r="M1553">
        <v>471</v>
      </c>
      <c r="N1553">
        <v>444</v>
      </c>
      <c r="O1553">
        <v>537</v>
      </c>
      <c r="P1553">
        <v>93</v>
      </c>
      <c r="Q1553">
        <v>404</v>
      </c>
      <c r="R1553">
        <v>572</v>
      </c>
      <c r="S1553">
        <v>168</v>
      </c>
      <c r="T1553">
        <v>249</v>
      </c>
      <c r="U1553">
        <v>395</v>
      </c>
      <c r="V1553">
        <v>365</v>
      </c>
      <c r="W1553">
        <v>500</v>
      </c>
      <c r="X1553">
        <v>2.79</v>
      </c>
    </row>
    <row r="1554" spans="1:24" hidden="1" outlineLevel="2" x14ac:dyDescent="0.25">
      <c r="A1554" t="str">
        <f t="shared" si="246"/>
        <v>AK9 - 2005</v>
      </c>
      <c r="B1554" t="s">
        <v>38</v>
      </c>
      <c r="C1554">
        <v>10</v>
      </c>
      <c r="D1554">
        <v>20</v>
      </c>
      <c r="E1554">
        <v>2005</v>
      </c>
      <c r="F1554">
        <v>267.3</v>
      </c>
      <c r="G1554">
        <v>7.2</v>
      </c>
      <c r="H1554">
        <v>6.6</v>
      </c>
      <c r="I1554">
        <v>0.6</v>
      </c>
      <c r="J1554">
        <v>8</v>
      </c>
      <c r="K1554">
        <v>119.3</v>
      </c>
      <c r="L1554">
        <v>2244.6</v>
      </c>
      <c r="M1554">
        <v>404</v>
      </c>
      <c r="N1554">
        <v>391</v>
      </c>
      <c r="O1554">
        <v>537</v>
      </c>
      <c r="P1554">
        <v>146</v>
      </c>
      <c r="Q1554">
        <v>346</v>
      </c>
      <c r="R1554">
        <v>565</v>
      </c>
      <c r="S1554">
        <v>219</v>
      </c>
      <c r="T1554">
        <v>289.5</v>
      </c>
      <c r="U1554">
        <v>393</v>
      </c>
      <c r="V1554">
        <v>393</v>
      </c>
      <c r="W1554">
        <v>500</v>
      </c>
      <c r="X1554">
        <v>2.79</v>
      </c>
    </row>
    <row r="1555" spans="1:24" hidden="1" outlineLevel="2" x14ac:dyDescent="0.25">
      <c r="A1555" t="str">
        <f t="shared" si="246"/>
        <v>AK9 - 2005</v>
      </c>
      <c r="B1555" t="s">
        <v>38</v>
      </c>
      <c r="C1555">
        <v>11</v>
      </c>
      <c r="D1555">
        <v>20</v>
      </c>
      <c r="E1555">
        <v>2005</v>
      </c>
      <c r="F1555">
        <v>319.39999999999998</v>
      </c>
      <c r="G1555">
        <v>7.2</v>
      </c>
      <c r="H1555">
        <v>6</v>
      </c>
      <c r="I1555">
        <v>1.2</v>
      </c>
      <c r="J1555">
        <v>16</v>
      </c>
      <c r="K1555">
        <v>142.9</v>
      </c>
      <c r="L1555">
        <v>3204.9</v>
      </c>
      <c r="M1555">
        <v>404</v>
      </c>
      <c r="N1555">
        <v>377</v>
      </c>
      <c r="O1555">
        <v>541</v>
      </c>
      <c r="P1555">
        <v>164</v>
      </c>
      <c r="Q1555">
        <v>333</v>
      </c>
      <c r="R1555">
        <v>586</v>
      </c>
      <c r="S1555">
        <v>253</v>
      </c>
      <c r="T1555">
        <v>331.8</v>
      </c>
      <c r="U1555">
        <v>389</v>
      </c>
      <c r="V1555">
        <v>385</v>
      </c>
      <c r="W1555">
        <v>500</v>
      </c>
      <c r="X1555">
        <v>2.79</v>
      </c>
    </row>
    <row r="1556" spans="1:24" hidden="1" outlineLevel="2" x14ac:dyDescent="0.25">
      <c r="A1556" t="str">
        <f t="shared" si="246"/>
        <v>AK9 - 2005</v>
      </c>
      <c r="B1556" t="s">
        <v>38</v>
      </c>
      <c r="C1556">
        <v>13</v>
      </c>
      <c r="D1556">
        <v>20</v>
      </c>
      <c r="E1556">
        <v>2005</v>
      </c>
      <c r="F1556">
        <v>288.2</v>
      </c>
      <c r="G1556">
        <v>4.2</v>
      </c>
      <c r="H1556">
        <v>3.3</v>
      </c>
      <c r="I1556">
        <v>0.9</v>
      </c>
      <c r="J1556">
        <v>21</v>
      </c>
      <c r="K1556">
        <v>75.5</v>
      </c>
      <c r="L1556">
        <v>2609.4</v>
      </c>
      <c r="M1556">
        <v>415</v>
      </c>
      <c r="N1556">
        <v>380</v>
      </c>
      <c r="O1556">
        <v>545</v>
      </c>
      <c r="P1556">
        <v>165</v>
      </c>
      <c r="Q1556">
        <v>343</v>
      </c>
      <c r="R1556">
        <v>562</v>
      </c>
      <c r="S1556">
        <v>219</v>
      </c>
      <c r="T1556">
        <v>286.8</v>
      </c>
      <c r="U1556">
        <v>408</v>
      </c>
      <c r="V1556">
        <v>398</v>
      </c>
      <c r="W1556">
        <v>500</v>
      </c>
      <c r="X1556">
        <v>2.79</v>
      </c>
    </row>
    <row r="1557" spans="1:24" hidden="1" outlineLevel="2" x14ac:dyDescent="0.25">
      <c r="A1557" t="str">
        <f t="shared" si="246"/>
        <v>AK9 - 2005</v>
      </c>
      <c r="B1557" t="s">
        <v>38</v>
      </c>
      <c r="C1557">
        <v>14</v>
      </c>
      <c r="D1557">
        <v>20</v>
      </c>
      <c r="E1557">
        <v>2005</v>
      </c>
      <c r="F1557">
        <v>168.4</v>
      </c>
      <c r="G1557">
        <v>4.2</v>
      </c>
      <c r="H1557">
        <v>3.9</v>
      </c>
      <c r="I1557">
        <v>0.3</v>
      </c>
      <c r="J1557">
        <v>7</v>
      </c>
      <c r="K1557">
        <v>43.9</v>
      </c>
      <c r="L1557">
        <v>890.9</v>
      </c>
      <c r="M1557">
        <v>394</v>
      </c>
      <c r="N1557">
        <v>379</v>
      </c>
      <c r="O1557">
        <v>580</v>
      </c>
      <c r="P1557">
        <v>201</v>
      </c>
      <c r="Q1557">
        <v>324</v>
      </c>
      <c r="R1557">
        <v>580</v>
      </c>
      <c r="S1557">
        <v>256</v>
      </c>
      <c r="T1557">
        <v>173.4</v>
      </c>
      <c r="U1557">
        <v>385</v>
      </c>
      <c r="V1557">
        <v>377</v>
      </c>
      <c r="W1557">
        <v>500</v>
      </c>
      <c r="X1557">
        <v>2.79</v>
      </c>
    </row>
    <row r="1558" spans="1:24" outlineLevel="1" collapsed="1" x14ac:dyDescent="0.25">
      <c r="A1558" s="8" t="s">
        <v>161</v>
      </c>
      <c r="D1558">
        <f t="shared" ref="D1558:V1558" si="247">SUBTOTAL(1,D1547:D1557)</f>
        <v>19.90909090909091</v>
      </c>
      <c r="E1558">
        <f t="shared" si="247"/>
        <v>2005</v>
      </c>
      <c r="F1558">
        <f t="shared" si="247"/>
        <v>237.81818181818181</v>
      </c>
      <c r="G1558">
        <f t="shared" si="247"/>
        <v>4.7727272727272743</v>
      </c>
      <c r="H1558">
        <f t="shared" si="247"/>
        <v>4.254545454545454</v>
      </c>
      <c r="I1558">
        <f t="shared" si="247"/>
        <v>0.51818181818181819</v>
      </c>
      <c r="J1558">
        <f t="shared" si="247"/>
        <v>12.636363636363637</v>
      </c>
      <c r="K1558">
        <f t="shared" si="247"/>
        <v>72.918181818181807</v>
      </c>
      <c r="L1558">
        <f t="shared" si="247"/>
        <v>1837.1636363636367</v>
      </c>
      <c r="M1558">
        <f t="shared" si="247"/>
        <v>418.63636363636363</v>
      </c>
      <c r="N1558">
        <f t="shared" si="247"/>
        <v>401.18181818181819</v>
      </c>
      <c r="O1558">
        <f t="shared" si="247"/>
        <v>542.5</v>
      </c>
      <c r="P1558">
        <f t="shared" si="247"/>
        <v>143.9</v>
      </c>
      <c r="Q1558">
        <f t="shared" si="247"/>
        <v>355.54545454545456</v>
      </c>
      <c r="R1558">
        <f t="shared" si="247"/>
        <v>551.27272727272725</v>
      </c>
      <c r="S1558">
        <f t="shared" si="247"/>
        <v>195.72727272727272</v>
      </c>
      <c r="T1558">
        <f t="shared" si="247"/>
        <v>247.25454545454548</v>
      </c>
      <c r="U1558">
        <f t="shared" si="247"/>
        <v>401.54545454545456</v>
      </c>
      <c r="V1558">
        <f t="shared" si="247"/>
        <v>393.09090909090907</v>
      </c>
    </row>
    <row r="1559" spans="1:24" hidden="1" outlineLevel="2" x14ac:dyDescent="0.25">
      <c r="A1559" t="str">
        <f t="shared" ref="A1559:A1569" si="248">CONCATENATE(B1559," - ",E1559)</f>
        <v>AK9 - 2006</v>
      </c>
      <c r="B1559" t="s">
        <v>38</v>
      </c>
      <c r="C1559">
        <v>1</v>
      </c>
      <c r="D1559">
        <v>21</v>
      </c>
      <c r="E1559">
        <v>2006</v>
      </c>
      <c r="F1559">
        <v>172.5</v>
      </c>
      <c r="G1559">
        <v>2.7</v>
      </c>
      <c r="H1559">
        <v>2.1</v>
      </c>
      <c r="I1559">
        <v>0.6</v>
      </c>
      <c r="J1559">
        <v>22</v>
      </c>
      <c r="K1559">
        <v>29</v>
      </c>
      <c r="L1559">
        <v>934.8</v>
      </c>
      <c r="M1559">
        <v>456</v>
      </c>
      <c r="N1559">
        <v>432</v>
      </c>
      <c r="O1559">
        <v>539</v>
      </c>
      <c r="P1559">
        <v>107</v>
      </c>
      <c r="Q1559">
        <v>381</v>
      </c>
      <c r="R1559">
        <v>543</v>
      </c>
      <c r="S1559">
        <v>162</v>
      </c>
      <c r="T1559">
        <v>170.1</v>
      </c>
      <c r="U1559">
        <v>401</v>
      </c>
      <c r="V1559">
        <v>383</v>
      </c>
      <c r="W1559">
        <v>500</v>
      </c>
      <c r="X1559">
        <v>2.79</v>
      </c>
    </row>
    <row r="1560" spans="1:24" hidden="1" outlineLevel="2" x14ac:dyDescent="0.25">
      <c r="A1560" t="str">
        <f t="shared" si="248"/>
        <v>AK9 - 2006</v>
      </c>
      <c r="B1560" t="s">
        <v>38</v>
      </c>
      <c r="C1560">
        <v>3</v>
      </c>
      <c r="D1560">
        <v>21</v>
      </c>
      <c r="E1560">
        <v>2006</v>
      </c>
      <c r="F1560">
        <v>212.9</v>
      </c>
      <c r="G1560">
        <v>2.7</v>
      </c>
      <c r="H1560">
        <v>2.1</v>
      </c>
      <c r="I1560">
        <v>0.6</v>
      </c>
      <c r="J1560">
        <v>22</v>
      </c>
      <c r="K1560">
        <v>35.9</v>
      </c>
      <c r="L1560">
        <v>1424</v>
      </c>
      <c r="M1560">
        <v>430</v>
      </c>
      <c r="N1560">
        <v>408</v>
      </c>
      <c r="O1560">
        <v>509</v>
      </c>
      <c r="P1560">
        <v>101</v>
      </c>
      <c r="Q1560">
        <v>366</v>
      </c>
      <c r="R1560">
        <v>517</v>
      </c>
      <c r="S1560">
        <v>151</v>
      </c>
      <c r="T1560">
        <v>227.4</v>
      </c>
      <c r="U1560">
        <v>423</v>
      </c>
      <c r="V1560">
        <v>424</v>
      </c>
      <c r="W1560">
        <v>500</v>
      </c>
      <c r="X1560">
        <v>2.79</v>
      </c>
    </row>
    <row r="1561" spans="1:24" hidden="1" outlineLevel="2" x14ac:dyDescent="0.25">
      <c r="A1561" t="str">
        <f t="shared" si="248"/>
        <v>AK9 - 2006</v>
      </c>
      <c r="B1561" t="s">
        <v>38</v>
      </c>
      <c r="C1561">
        <v>4</v>
      </c>
      <c r="D1561">
        <v>21</v>
      </c>
      <c r="E1561">
        <v>2006</v>
      </c>
      <c r="F1561">
        <v>229.1</v>
      </c>
      <c r="G1561">
        <v>4.8</v>
      </c>
      <c r="H1561">
        <v>4.2</v>
      </c>
      <c r="I1561">
        <v>0.6</v>
      </c>
      <c r="J1561">
        <v>12</v>
      </c>
      <c r="K1561">
        <v>68.400000000000006</v>
      </c>
      <c r="L1561">
        <v>1648.9</v>
      </c>
      <c r="M1561">
        <v>408</v>
      </c>
      <c r="N1561">
        <v>387</v>
      </c>
      <c r="O1561">
        <v>556</v>
      </c>
      <c r="P1561">
        <v>169</v>
      </c>
      <c r="Q1561">
        <v>328</v>
      </c>
      <c r="R1561">
        <v>574</v>
      </c>
      <c r="S1561">
        <v>246</v>
      </c>
      <c r="T1561">
        <v>244.8</v>
      </c>
      <c r="U1561">
        <v>388</v>
      </c>
      <c r="V1561">
        <v>385</v>
      </c>
      <c r="W1561">
        <v>500</v>
      </c>
      <c r="X1561">
        <v>2.79</v>
      </c>
    </row>
    <row r="1562" spans="1:24" hidden="1" outlineLevel="2" x14ac:dyDescent="0.25">
      <c r="A1562" t="str">
        <f t="shared" si="248"/>
        <v>AK9 - 2006</v>
      </c>
      <c r="B1562" t="s">
        <v>38</v>
      </c>
      <c r="C1562">
        <v>5</v>
      </c>
      <c r="D1562">
        <v>21</v>
      </c>
      <c r="E1562">
        <v>2006</v>
      </c>
      <c r="F1562">
        <v>228.5</v>
      </c>
      <c r="G1562">
        <v>6.3</v>
      </c>
      <c r="H1562">
        <v>5.0999999999999996</v>
      </c>
      <c r="I1562">
        <v>1.2</v>
      </c>
      <c r="J1562">
        <v>19</v>
      </c>
      <c r="K1562">
        <v>89.2</v>
      </c>
      <c r="L1562">
        <v>1640.3</v>
      </c>
      <c r="M1562">
        <v>441</v>
      </c>
      <c r="N1562">
        <v>410</v>
      </c>
      <c r="O1562">
        <v>574</v>
      </c>
      <c r="P1562">
        <v>164</v>
      </c>
      <c r="Q1562">
        <v>357</v>
      </c>
      <c r="R1562">
        <v>589</v>
      </c>
      <c r="S1562">
        <v>232</v>
      </c>
      <c r="T1562">
        <v>244.5</v>
      </c>
      <c r="U1562">
        <v>434</v>
      </c>
      <c r="V1562">
        <v>429</v>
      </c>
      <c r="W1562">
        <v>500</v>
      </c>
      <c r="X1562">
        <v>2.79</v>
      </c>
    </row>
    <row r="1563" spans="1:24" hidden="1" outlineLevel="2" x14ac:dyDescent="0.25">
      <c r="A1563" t="str">
        <f t="shared" si="248"/>
        <v>AK9 - 2006</v>
      </c>
      <c r="B1563" t="s">
        <v>38</v>
      </c>
      <c r="C1563">
        <v>6</v>
      </c>
      <c r="D1563">
        <v>20</v>
      </c>
      <c r="E1563">
        <v>2006</v>
      </c>
      <c r="F1563">
        <v>257.60000000000002</v>
      </c>
      <c r="G1563">
        <v>2.7</v>
      </c>
      <c r="H1563">
        <v>2.4</v>
      </c>
      <c r="I1563">
        <v>0.3</v>
      </c>
      <c r="J1563">
        <v>11</v>
      </c>
      <c r="K1563">
        <v>43.5</v>
      </c>
      <c r="L1563">
        <v>2084.6999999999998</v>
      </c>
      <c r="M1563">
        <v>420</v>
      </c>
      <c r="N1563">
        <v>406</v>
      </c>
      <c r="O1563">
        <v>530</v>
      </c>
      <c r="P1563">
        <v>124</v>
      </c>
      <c r="Q1563">
        <v>348</v>
      </c>
      <c r="R1563">
        <v>530</v>
      </c>
      <c r="S1563">
        <v>182</v>
      </c>
      <c r="T1563">
        <v>256.8</v>
      </c>
      <c r="U1563">
        <v>400</v>
      </c>
      <c r="V1563">
        <v>395</v>
      </c>
      <c r="W1563">
        <v>500</v>
      </c>
      <c r="X1563">
        <v>2.79</v>
      </c>
    </row>
    <row r="1564" spans="1:24" hidden="1" outlineLevel="2" x14ac:dyDescent="0.25">
      <c r="A1564" t="str">
        <f t="shared" si="248"/>
        <v>AK9 - 2006</v>
      </c>
      <c r="B1564" t="s">
        <v>38</v>
      </c>
      <c r="C1564">
        <v>7</v>
      </c>
      <c r="D1564">
        <v>21</v>
      </c>
      <c r="E1564">
        <v>2006</v>
      </c>
      <c r="F1564">
        <v>251.1</v>
      </c>
      <c r="G1564">
        <v>2.1</v>
      </c>
      <c r="H1564">
        <v>1.8</v>
      </c>
      <c r="I1564">
        <v>0.3</v>
      </c>
      <c r="J1564">
        <v>14</v>
      </c>
      <c r="K1564">
        <v>33</v>
      </c>
      <c r="L1564">
        <v>1980.8</v>
      </c>
      <c r="M1564">
        <v>422</v>
      </c>
      <c r="N1564">
        <v>399</v>
      </c>
      <c r="O1564">
        <v>563</v>
      </c>
      <c r="P1564">
        <v>164</v>
      </c>
      <c r="Q1564">
        <v>335</v>
      </c>
      <c r="R1564">
        <v>563</v>
      </c>
      <c r="S1564">
        <v>228</v>
      </c>
      <c r="T1564">
        <v>245.7</v>
      </c>
      <c r="U1564">
        <v>401</v>
      </c>
      <c r="V1564">
        <v>390</v>
      </c>
      <c r="W1564">
        <v>500</v>
      </c>
      <c r="X1564">
        <v>2.79</v>
      </c>
    </row>
    <row r="1565" spans="1:24" hidden="1" outlineLevel="2" x14ac:dyDescent="0.25">
      <c r="A1565" t="str">
        <f t="shared" si="248"/>
        <v>AK9 - 2006</v>
      </c>
      <c r="B1565" t="s">
        <v>38</v>
      </c>
      <c r="C1565">
        <v>8</v>
      </c>
      <c r="D1565">
        <v>21</v>
      </c>
      <c r="E1565">
        <v>2006</v>
      </c>
      <c r="F1565">
        <v>244.1</v>
      </c>
      <c r="G1565">
        <v>1.8</v>
      </c>
      <c r="H1565">
        <v>1.5</v>
      </c>
      <c r="I1565">
        <v>0.3</v>
      </c>
      <c r="J1565">
        <v>16</v>
      </c>
      <c r="K1565">
        <v>27.5</v>
      </c>
      <c r="L1565">
        <v>1871.9</v>
      </c>
      <c r="M1565">
        <v>461</v>
      </c>
      <c r="N1565">
        <v>443</v>
      </c>
      <c r="O1565">
        <v>552</v>
      </c>
      <c r="P1565">
        <v>109</v>
      </c>
      <c r="Q1565">
        <v>390</v>
      </c>
      <c r="R1565">
        <v>552</v>
      </c>
      <c r="S1565">
        <v>162</v>
      </c>
      <c r="T1565">
        <v>249</v>
      </c>
      <c r="U1565">
        <v>395</v>
      </c>
      <c r="V1565">
        <v>365</v>
      </c>
      <c r="W1565">
        <v>500</v>
      </c>
      <c r="X1565">
        <v>2.79</v>
      </c>
    </row>
    <row r="1566" spans="1:24" hidden="1" outlineLevel="2" x14ac:dyDescent="0.25">
      <c r="A1566" t="str">
        <f t="shared" si="248"/>
        <v>AK9 - 2006</v>
      </c>
      <c r="B1566" t="s">
        <v>38</v>
      </c>
      <c r="C1566">
        <v>10</v>
      </c>
      <c r="D1566">
        <v>21</v>
      </c>
      <c r="E1566">
        <v>2006</v>
      </c>
      <c r="F1566">
        <v>272.7</v>
      </c>
      <c r="G1566">
        <v>5.4</v>
      </c>
      <c r="H1566">
        <v>4.5</v>
      </c>
      <c r="I1566">
        <v>0.9</v>
      </c>
      <c r="J1566">
        <v>16</v>
      </c>
      <c r="K1566">
        <v>91.6</v>
      </c>
      <c r="L1566">
        <v>2336.3000000000002</v>
      </c>
      <c r="M1566">
        <v>403</v>
      </c>
      <c r="N1566">
        <v>374</v>
      </c>
      <c r="O1566">
        <v>547</v>
      </c>
      <c r="P1566">
        <v>173</v>
      </c>
      <c r="Q1566">
        <v>325</v>
      </c>
      <c r="R1566">
        <v>558</v>
      </c>
      <c r="S1566">
        <v>233</v>
      </c>
      <c r="T1566">
        <v>289.5</v>
      </c>
      <c r="U1566">
        <v>393</v>
      </c>
      <c r="V1566">
        <v>393</v>
      </c>
      <c r="W1566">
        <v>500</v>
      </c>
      <c r="X1566">
        <v>2.79</v>
      </c>
    </row>
    <row r="1567" spans="1:24" hidden="1" outlineLevel="2" x14ac:dyDescent="0.25">
      <c r="A1567" t="str">
        <f t="shared" si="248"/>
        <v>AK9 - 2006</v>
      </c>
      <c r="B1567" t="s">
        <v>38</v>
      </c>
      <c r="C1567">
        <v>11</v>
      </c>
      <c r="D1567">
        <v>21</v>
      </c>
      <c r="E1567">
        <v>2006</v>
      </c>
      <c r="F1567">
        <v>323.89999999999998</v>
      </c>
      <c r="G1567">
        <v>4.5</v>
      </c>
      <c r="H1567">
        <v>3.6</v>
      </c>
      <c r="I1567">
        <v>0.9</v>
      </c>
      <c r="J1567">
        <v>20</v>
      </c>
      <c r="K1567">
        <v>90.9</v>
      </c>
      <c r="L1567">
        <v>3295.9</v>
      </c>
      <c r="M1567">
        <v>423</v>
      </c>
      <c r="N1567">
        <v>383</v>
      </c>
      <c r="O1567">
        <v>581</v>
      </c>
      <c r="P1567">
        <v>198</v>
      </c>
      <c r="Q1567">
        <v>349</v>
      </c>
      <c r="R1567">
        <v>593</v>
      </c>
      <c r="S1567">
        <v>244</v>
      </c>
      <c r="T1567">
        <v>331.8</v>
      </c>
      <c r="U1567">
        <v>389</v>
      </c>
      <c r="V1567">
        <v>385</v>
      </c>
      <c r="W1567">
        <v>500</v>
      </c>
      <c r="X1567">
        <v>2.79</v>
      </c>
    </row>
    <row r="1568" spans="1:24" hidden="1" outlineLevel="2" x14ac:dyDescent="0.25">
      <c r="A1568" t="str">
        <f t="shared" si="248"/>
        <v>AK9 - 2006</v>
      </c>
      <c r="B1568" t="s">
        <v>38</v>
      </c>
      <c r="C1568">
        <v>13</v>
      </c>
      <c r="D1568">
        <v>21</v>
      </c>
      <c r="E1568">
        <v>2006</v>
      </c>
      <c r="F1568">
        <v>290.89999999999998</v>
      </c>
      <c r="G1568">
        <v>2.7</v>
      </c>
      <c r="H1568">
        <v>2.1</v>
      </c>
      <c r="I1568">
        <v>0.6</v>
      </c>
      <c r="J1568">
        <v>22</v>
      </c>
      <c r="K1568">
        <v>49.1</v>
      </c>
      <c r="L1568">
        <v>2658.5</v>
      </c>
      <c r="M1568">
        <v>437</v>
      </c>
      <c r="N1568">
        <v>408</v>
      </c>
      <c r="O1568">
        <v>539</v>
      </c>
      <c r="P1568">
        <v>131</v>
      </c>
      <c r="Q1568">
        <v>333</v>
      </c>
      <c r="R1568">
        <v>546</v>
      </c>
      <c r="S1568">
        <v>213</v>
      </c>
      <c r="T1568">
        <v>286.8</v>
      </c>
      <c r="U1568">
        <v>408</v>
      </c>
      <c r="V1568">
        <v>398</v>
      </c>
      <c r="W1568">
        <v>500</v>
      </c>
      <c r="X1568">
        <v>2.79</v>
      </c>
    </row>
    <row r="1569" spans="1:24" hidden="1" outlineLevel="2" x14ac:dyDescent="0.25">
      <c r="A1569" t="str">
        <f t="shared" si="248"/>
        <v>AK9 - 2006</v>
      </c>
      <c r="B1569" t="s">
        <v>38</v>
      </c>
      <c r="C1569">
        <v>14</v>
      </c>
      <c r="D1569">
        <v>21</v>
      </c>
      <c r="E1569">
        <v>2006</v>
      </c>
      <c r="F1569">
        <v>173.5</v>
      </c>
      <c r="G1569">
        <v>5.0999999999999996</v>
      </c>
      <c r="H1569">
        <v>4.5</v>
      </c>
      <c r="I1569">
        <v>0.6</v>
      </c>
      <c r="J1569">
        <v>11</v>
      </c>
      <c r="K1569">
        <v>54.8</v>
      </c>
      <c r="L1569">
        <v>945.7</v>
      </c>
      <c r="M1569">
        <v>404</v>
      </c>
      <c r="N1569">
        <v>387</v>
      </c>
      <c r="O1569">
        <v>534</v>
      </c>
      <c r="P1569">
        <v>147</v>
      </c>
      <c r="Q1569">
        <v>329</v>
      </c>
      <c r="R1569">
        <v>557</v>
      </c>
      <c r="S1569">
        <v>228</v>
      </c>
      <c r="T1569">
        <v>173.4</v>
      </c>
      <c r="U1569">
        <v>385</v>
      </c>
      <c r="V1569">
        <v>377</v>
      </c>
      <c r="W1569">
        <v>500</v>
      </c>
      <c r="X1569">
        <v>2.79</v>
      </c>
    </row>
    <row r="1570" spans="1:24" outlineLevel="1" collapsed="1" x14ac:dyDescent="0.25">
      <c r="A1570" s="8" t="s">
        <v>162</v>
      </c>
      <c r="D1570">
        <f t="shared" ref="D1570:V1570" si="249">SUBTOTAL(1,D1559:D1569)</f>
        <v>20.90909090909091</v>
      </c>
      <c r="E1570">
        <f t="shared" si="249"/>
        <v>2006</v>
      </c>
      <c r="F1570">
        <f t="shared" si="249"/>
        <v>241.5272727272727</v>
      </c>
      <c r="G1570">
        <f t="shared" si="249"/>
        <v>3.7090909090909094</v>
      </c>
      <c r="H1570">
        <f t="shared" si="249"/>
        <v>3.0818181818181825</v>
      </c>
      <c r="I1570">
        <f t="shared" si="249"/>
        <v>0.6272727272727272</v>
      </c>
      <c r="J1570">
        <f t="shared" si="249"/>
        <v>16.818181818181817</v>
      </c>
      <c r="K1570">
        <f t="shared" si="249"/>
        <v>55.718181818181819</v>
      </c>
      <c r="L1570">
        <f t="shared" si="249"/>
        <v>1892.8909090909094</v>
      </c>
      <c r="M1570">
        <f t="shared" si="249"/>
        <v>427.72727272727275</v>
      </c>
      <c r="N1570">
        <f t="shared" si="249"/>
        <v>403.36363636363637</v>
      </c>
      <c r="O1570">
        <f t="shared" si="249"/>
        <v>547.63636363636363</v>
      </c>
      <c r="P1570">
        <f t="shared" si="249"/>
        <v>144.27272727272728</v>
      </c>
      <c r="Q1570">
        <f t="shared" si="249"/>
        <v>349.18181818181819</v>
      </c>
      <c r="R1570">
        <f t="shared" si="249"/>
        <v>556.5454545454545</v>
      </c>
      <c r="S1570">
        <f t="shared" si="249"/>
        <v>207.36363636363637</v>
      </c>
      <c r="T1570">
        <f t="shared" si="249"/>
        <v>247.25454545454548</v>
      </c>
      <c r="U1570">
        <f t="shared" si="249"/>
        <v>401.54545454545456</v>
      </c>
      <c r="V1570">
        <f t="shared" si="249"/>
        <v>393.09090909090907</v>
      </c>
    </row>
    <row r="1571" spans="1:24" hidden="1" outlineLevel="2" x14ac:dyDescent="0.25">
      <c r="A1571" t="str">
        <f t="shared" ref="A1571:A1581" si="250">CONCATENATE(B1571," - ",E1571)</f>
        <v>AK9 - 2007</v>
      </c>
      <c r="B1571" t="s">
        <v>38</v>
      </c>
      <c r="C1571">
        <v>1</v>
      </c>
      <c r="D1571">
        <v>22</v>
      </c>
      <c r="E1571">
        <v>2007</v>
      </c>
      <c r="F1571">
        <v>174</v>
      </c>
      <c r="G1571">
        <v>1.5</v>
      </c>
      <c r="H1571">
        <v>1.2</v>
      </c>
      <c r="I1571">
        <v>0.3</v>
      </c>
      <c r="J1571">
        <v>20</v>
      </c>
      <c r="K1571">
        <v>16.3</v>
      </c>
      <c r="L1571">
        <v>951.1</v>
      </c>
      <c r="M1571">
        <v>438</v>
      </c>
      <c r="N1571">
        <v>414</v>
      </c>
      <c r="O1571">
        <v>532</v>
      </c>
      <c r="P1571">
        <v>118</v>
      </c>
      <c r="Q1571">
        <v>352</v>
      </c>
      <c r="R1571">
        <v>532</v>
      </c>
      <c r="S1571">
        <v>180</v>
      </c>
      <c r="T1571">
        <v>170.1</v>
      </c>
      <c r="U1571">
        <v>401</v>
      </c>
      <c r="V1571">
        <v>383</v>
      </c>
      <c r="W1571">
        <v>500</v>
      </c>
      <c r="X1571">
        <v>2.79</v>
      </c>
    </row>
    <row r="1572" spans="1:24" hidden="1" outlineLevel="2" x14ac:dyDescent="0.25">
      <c r="A1572" t="str">
        <f t="shared" si="250"/>
        <v>AK9 - 2007</v>
      </c>
      <c r="B1572" t="s">
        <v>38</v>
      </c>
      <c r="C1572">
        <v>3</v>
      </c>
      <c r="D1572">
        <v>22</v>
      </c>
      <c r="E1572">
        <v>2007</v>
      </c>
      <c r="F1572">
        <v>216.2</v>
      </c>
      <c r="G1572">
        <v>3.3</v>
      </c>
      <c r="H1572">
        <v>2.4</v>
      </c>
      <c r="I1572">
        <v>0.9</v>
      </c>
      <c r="J1572">
        <v>27</v>
      </c>
      <c r="K1572">
        <v>44.5</v>
      </c>
      <c r="L1572">
        <v>1468.5</v>
      </c>
      <c r="M1572">
        <v>470</v>
      </c>
      <c r="N1572">
        <v>438</v>
      </c>
      <c r="O1572">
        <v>553</v>
      </c>
      <c r="P1572">
        <v>115</v>
      </c>
      <c r="Q1572">
        <v>369</v>
      </c>
      <c r="R1572">
        <v>575</v>
      </c>
      <c r="S1572">
        <v>206</v>
      </c>
      <c r="T1572">
        <v>227.4</v>
      </c>
      <c r="U1572">
        <v>423</v>
      </c>
      <c r="V1572">
        <v>424</v>
      </c>
      <c r="W1572">
        <v>500</v>
      </c>
      <c r="X1572">
        <v>2.79</v>
      </c>
    </row>
    <row r="1573" spans="1:24" hidden="1" outlineLevel="2" x14ac:dyDescent="0.25">
      <c r="A1573" t="str">
        <f t="shared" si="250"/>
        <v>AK9 - 2007</v>
      </c>
      <c r="B1573" t="s">
        <v>38</v>
      </c>
      <c r="C1573">
        <v>4</v>
      </c>
      <c r="D1573">
        <v>22</v>
      </c>
      <c r="E1573">
        <v>2007</v>
      </c>
      <c r="F1573">
        <v>235.4</v>
      </c>
      <c r="G1573">
        <v>6.3</v>
      </c>
      <c r="H1573">
        <v>5.0999999999999996</v>
      </c>
      <c r="I1573">
        <v>1.2</v>
      </c>
      <c r="J1573">
        <v>19</v>
      </c>
      <c r="K1573">
        <v>91.9</v>
      </c>
      <c r="L1573">
        <v>1740.9</v>
      </c>
      <c r="M1573">
        <v>407</v>
      </c>
      <c r="N1573">
        <v>376</v>
      </c>
      <c r="O1573">
        <v>540</v>
      </c>
      <c r="P1573">
        <v>164</v>
      </c>
      <c r="Q1573">
        <v>330</v>
      </c>
      <c r="R1573">
        <v>549</v>
      </c>
      <c r="S1573">
        <v>219</v>
      </c>
      <c r="T1573">
        <v>244.8</v>
      </c>
      <c r="U1573">
        <v>388</v>
      </c>
      <c r="V1573">
        <v>385</v>
      </c>
      <c r="W1573">
        <v>500</v>
      </c>
      <c r="X1573">
        <v>2.79</v>
      </c>
    </row>
    <row r="1574" spans="1:24" hidden="1" outlineLevel="2" x14ac:dyDescent="0.25">
      <c r="A1574" t="str">
        <f t="shared" si="250"/>
        <v>AK9 - 2007</v>
      </c>
      <c r="B1574" t="s">
        <v>38</v>
      </c>
      <c r="C1574">
        <v>5</v>
      </c>
      <c r="D1574">
        <v>22</v>
      </c>
      <c r="E1574">
        <v>2007</v>
      </c>
      <c r="F1574">
        <v>233.9</v>
      </c>
      <c r="G1574">
        <v>5.4</v>
      </c>
      <c r="H1574">
        <v>3.9</v>
      </c>
      <c r="I1574">
        <v>1.5</v>
      </c>
      <c r="J1574">
        <v>27</v>
      </c>
      <c r="K1574">
        <v>78.400000000000006</v>
      </c>
      <c r="L1574">
        <v>1718.7</v>
      </c>
      <c r="M1574">
        <v>478</v>
      </c>
      <c r="N1574">
        <v>444</v>
      </c>
      <c r="O1574">
        <v>564</v>
      </c>
      <c r="P1574">
        <v>120</v>
      </c>
      <c r="Q1574">
        <v>377</v>
      </c>
      <c r="R1574">
        <v>628</v>
      </c>
      <c r="S1574">
        <v>251</v>
      </c>
      <c r="T1574">
        <v>244.5</v>
      </c>
      <c r="U1574">
        <v>434</v>
      </c>
      <c r="V1574">
        <v>429</v>
      </c>
      <c r="W1574">
        <v>500</v>
      </c>
      <c r="X1574">
        <v>2.79</v>
      </c>
    </row>
    <row r="1575" spans="1:24" hidden="1" outlineLevel="2" x14ac:dyDescent="0.25">
      <c r="A1575" t="str">
        <f t="shared" si="250"/>
        <v>AK9 - 2007</v>
      </c>
      <c r="B1575" t="s">
        <v>38</v>
      </c>
      <c r="C1575">
        <v>6</v>
      </c>
      <c r="D1575">
        <v>21</v>
      </c>
      <c r="E1575">
        <v>2007</v>
      </c>
      <c r="F1575">
        <v>260.3</v>
      </c>
      <c r="G1575">
        <v>2.7</v>
      </c>
      <c r="H1575">
        <v>2.1</v>
      </c>
      <c r="I1575">
        <v>0.6</v>
      </c>
      <c r="J1575">
        <v>22</v>
      </c>
      <c r="K1575">
        <v>43.9</v>
      </c>
      <c r="L1575">
        <v>2128.6</v>
      </c>
      <c r="M1575">
        <v>442</v>
      </c>
      <c r="N1575">
        <v>418</v>
      </c>
      <c r="O1575">
        <v>524</v>
      </c>
      <c r="P1575">
        <v>106</v>
      </c>
      <c r="Q1575">
        <v>369</v>
      </c>
      <c r="R1575">
        <v>536</v>
      </c>
      <c r="S1575">
        <v>167</v>
      </c>
      <c r="T1575">
        <v>256.8</v>
      </c>
      <c r="U1575">
        <v>400</v>
      </c>
      <c r="V1575">
        <v>395</v>
      </c>
      <c r="W1575">
        <v>500</v>
      </c>
      <c r="X1575">
        <v>2.79</v>
      </c>
    </row>
    <row r="1576" spans="1:24" hidden="1" outlineLevel="2" x14ac:dyDescent="0.25">
      <c r="A1576" t="str">
        <f t="shared" si="250"/>
        <v>AK9 - 2007</v>
      </c>
      <c r="B1576" t="s">
        <v>38</v>
      </c>
      <c r="C1576">
        <v>7</v>
      </c>
      <c r="D1576">
        <v>22</v>
      </c>
      <c r="E1576">
        <v>2007</v>
      </c>
      <c r="F1576">
        <v>253.8</v>
      </c>
      <c r="G1576">
        <v>2.7</v>
      </c>
      <c r="H1576">
        <v>1.8</v>
      </c>
      <c r="I1576">
        <v>0.9</v>
      </c>
      <c r="J1576">
        <v>33</v>
      </c>
      <c r="K1576">
        <v>42.8</v>
      </c>
      <c r="L1576">
        <v>2023.6</v>
      </c>
      <c r="M1576">
        <v>447</v>
      </c>
      <c r="N1576">
        <v>413</v>
      </c>
      <c r="O1576">
        <v>516</v>
      </c>
      <c r="P1576">
        <v>103</v>
      </c>
      <c r="Q1576">
        <v>341</v>
      </c>
      <c r="R1576">
        <v>539</v>
      </c>
      <c r="S1576">
        <v>198</v>
      </c>
      <c r="T1576">
        <v>245.7</v>
      </c>
      <c r="U1576">
        <v>401</v>
      </c>
      <c r="V1576">
        <v>390</v>
      </c>
      <c r="W1576">
        <v>500</v>
      </c>
      <c r="X1576">
        <v>2.79</v>
      </c>
    </row>
    <row r="1577" spans="1:24" hidden="1" outlineLevel="2" x14ac:dyDescent="0.25">
      <c r="A1577" t="str">
        <f t="shared" si="250"/>
        <v>AK9 - 2007</v>
      </c>
      <c r="B1577" t="s">
        <v>38</v>
      </c>
      <c r="C1577">
        <v>8</v>
      </c>
      <c r="D1577">
        <v>22</v>
      </c>
      <c r="E1577">
        <v>2007</v>
      </c>
      <c r="F1577">
        <v>245.6</v>
      </c>
      <c r="G1577">
        <v>1.5</v>
      </c>
      <c r="H1577">
        <v>1.2</v>
      </c>
      <c r="I1577">
        <v>0.3</v>
      </c>
      <c r="J1577">
        <v>20</v>
      </c>
      <c r="K1577">
        <v>23.1</v>
      </c>
      <c r="L1577">
        <v>1895</v>
      </c>
      <c r="M1577">
        <v>468</v>
      </c>
      <c r="N1577">
        <v>454</v>
      </c>
      <c r="O1577">
        <v>524</v>
      </c>
      <c r="P1577">
        <v>70</v>
      </c>
      <c r="Q1577">
        <v>408</v>
      </c>
      <c r="R1577">
        <v>524</v>
      </c>
      <c r="S1577">
        <v>116</v>
      </c>
      <c r="T1577">
        <v>249</v>
      </c>
      <c r="U1577">
        <v>395</v>
      </c>
      <c r="V1577">
        <v>365</v>
      </c>
      <c r="W1577">
        <v>500</v>
      </c>
      <c r="X1577">
        <v>2.79</v>
      </c>
    </row>
    <row r="1578" spans="1:24" hidden="1" outlineLevel="2" x14ac:dyDescent="0.25">
      <c r="A1578" t="str">
        <f t="shared" si="250"/>
        <v>AK9 - 2007</v>
      </c>
      <c r="B1578" t="s">
        <v>38</v>
      </c>
      <c r="C1578">
        <v>10</v>
      </c>
      <c r="D1578">
        <v>22</v>
      </c>
      <c r="E1578">
        <v>2007</v>
      </c>
      <c r="F1578">
        <v>278.7</v>
      </c>
      <c r="G1578">
        <v>6</v>
      </c>
      <c r="H1578">
        <v>5.4</v>
      </c>
      <c r="I1578">
        <v>0.6</v>
      </c>
      <c r="J1578">
        <v>10</v>
      </c>
      <c r="K1578">
        <v>103.9</v>
      </c>
      <c r="L1578">
        <v>2440.1999999999998</v>
      </c>
      <c r="M1578">
        <v>409</v>
      </c>
      <c r="N1578">
        <v>393</v>
      </c>
      <c r="O1578">
        <v>555</v>
      </c>
      <c r="P1578">
        <v>162</v>
      </c>
      <c r="Q1578">
        <v>311</v>
      </c>
      <c r="R1578">
        <v>579</v>
      </c>
      <c r="S1578">
        <v>268</v>
      </c>
      <c r="T1578">
        <v>289.5</v>
      </c>
      <c r="U1578">
        <v>393</v>
      </c>
      <c r="V1578">
        <v>393</v>
      </c>
      <c r="W1578">
        <v>500</v>
      </c>
      <c r="X1578">
        <v>2.79</v>
      </c>
    </row>
    <row r="1579" spans="1:24" hidden="1" outlineLevel="2" x14ac:dyDescent="0.25">
      <c r="A1579" t="str">
        <f t="shared" si="250"/>
        <v>AK9 - 2007</v>
      </c>
      <c r="B1579" t="s">
        <v>38</v>
      </c>
      <c r="C1579">
        <v>11</v>
      </c>
      <c r="D1579">
        <v>22</v>
      </c>
      <c r="E1579">
        <v>2007</v>
      </c>
      <c r="F1579">
        <v>327.8</v>
      </c>
      <c r="G1579">
        <v>3.9</v>
      </c>
      <c r="H1579">
        <v>2.7</v>
      </c>
      <c r="I1579">
        <v>1.2</v>
      </c>
      <c r="J1579">
        <v>30</v>
      </c>
      <c r="K1579">
        <v>79.8</v>
      </c>
      <c r="L1579">
        <v>3375.7</v>
      </c>
      <c r="M1579">
        <v>477</v>
      </c>
      <c r="N1579">
        <v>428</v>
      </c>
      <c r="O1579">
        <v>588</v>
      </c>
      <c r="P1579">
        <v>160</v>
      </c>
      <c r="Q1579">
        <v>363</v>
      </c>
      <c r="R1579">
        <v>649</v>
      </c>
      <c r="S1579">
        <v>286</v>
      </c>
      <c r="T1579">
        <v>331.8</v>
      </c>
      <c r="U1579">
        <v>389</v>
      </c>
      <c r="V1579">
        <v>385</v>
      </c>
      <c r="W1579">
        <v>500</v>
      </c>
      <c r="X1579">
        <v>2.79</v>
      </c>
    </row>
    <row r="1580" spans="1:24" hidden="1" outlineLevel="2" x14ac:dyDescent="0.25">
      <c r="A1580" t="str">
        <f t="shared" si="250"/>
        <v>AK9 - 2007</v>
      </c>
      <c r="B1580" t="s">
        <v>38</v>
      </c>
      <c r="C1580">
        <v>13</v>
      </c>
      <c r="D1580">
        <v>22</v>
      </c>
      <c r="E1580">
        <v>2007</v>
      </c>
      <c r="F1580">
        <v>293.89999999999998</v>
      </c>
      <c r="G1580">
        <v>3</v>
      </c>
      <c r="H1580">
        <v>1.2</v>
      </c>
      <c r="I1580">
        <v>1.8</v>
      </c>
      <c r="J1580">
        <v>60</v>
      </c>
      <c r="K1580">
        <v>55.1</v>
      </c>
      <c r="L1580">
        <v>2713.6</v>
      </c>
      <c r="M1580">
        <v>474</v>
      </c>
      <c r="N1580">
        <v>391</v>
      </c>
      <c r="O1580">
        <v>529</v>
      </c>
      <c r="P1580">
        <v>138</v>
      </c>
      <c r="Q1580">
        <v>344</v>
      </c>
      <c r="R1580">
        <v>586</v>
      </c>
      <c r="S1580">
        <v>242</v>
      </c>
      <c r="T1580">
        <v>286.8</v>
      </c>
      <c r="U1580">
        <v>408</v>
      </c>
      <c r="V1580">
        <v>398</v>
      </c>
      <c r="W1580">
        <v>500</v>
      </c>
      <c r="X1580">
        <v>2.79</v>
      </c>
    </row>
    <row r="1581" spans="1:24" hidden="1" outlineLevel="2" x14ac:dyDescent="0.25">
      <c r="A1581" t="str">
        <f t="shared" si="250"/>
        <v>AK9 - 2007</v>
      </c>
      <c r="B1581" t="s">
        <v>38</v>
      </c>
      <c r="C1581">
        <v>14</v>
      </c>
      <c r="D1581">
        <v>22</v>
      </c>
      <c r="E1581">
        <v>2007</v>
      </c>
      <c r="F1581">
        <v>177.7</v>
      </c>
      <c r="G1581">
        <v>4.2</v>
      </c>
      <c r="H1581">
        <v>3.6</v>
      </c>
      <c r="I1581">
        <v>0.6</v>
      </c>
      <c r="J1581">
        <v>14</v>
      </c>
      <c r="K1581">
        <v>46.3</v>
      </c>
      <c r="L1581">
        <v>992</v>
      </c>
      <c r="M1581">
        <v>413</v>
      </c>
      <c r="N1581">
        <v>388</v>
      </c>
      <c r="O1581">
        <v>559</v>
      </c>
      <c r="P1581">
        <v>171</v>
      </c>
      <c r="Q1581">
        <v>330</v>
      </c>
      <c r="R1581">
        <v>587</v>
      </c>
      <c r="S1581">
        <v>257</v>
      </c>
      <c r="T1581">
        <v>173.4</v>
      </c>
      <c r="U1581">
        <v>385</v>
      </c>
      <c r="V1581">
        <v>377</v>
      </c>
      <c r="W1581">
        <v>500</v>
      </c>
      <c r="X1581">
        <v>2.79</v>
      </c>
    </row>
    <row r="1582" spans="1:24" outlineLevel="1" collapsed="1" x14ac:dyDescent="0.25">
      <c r="A1582" s="8" t="s">
        <v>163</v>
      </c>
      <c r="D1582">
        <f t="shared" ref="D1582:V1582" si="251">SUBTOTAL(1,D1571:D1581)</f>
        <v>21.90909090909091</v>
      </c>
      <c r="E1582">
        <f t="shared" si="251"/>
        <v>2007</v>
      </c>
      <c r="F1582">
        <f t="shared" si="251"/>
        <v>245.20909090909089</v>
      </c>
      <c r="G1582">
        <f t="shared" si="251"/>
        <v>3.6818181818181817</v>
      </c>
      <c r="H1582">
        <f t="shared" si="251"/>
        <v>2.7818181818181817</v>
      </c>
      <c r="I1582">
        <f t="shared" si="251"/>
        <v>0.9</v>
      </c>
      <c r="J1582">
        <f t="shared" si="251"/>
        <v>25.636363636363637</v>
      </c>
      <c r="K1582">
        <f t="shared" si="251"/>
        <v>56.909090909090907</v>
      </c>
      <c r="L1582">
        <f t="shared" si="251"/>
        <v>1949.8090909090906</v>
      </c>
      <c r="M1582">
        <f t="shared" si="251"/>
        <v>447.54545454545456</v>
      </c>
      <c r="N1582">
        <f t="shared" si="251"/>
        <v>414.27272727272725</v>
      </c>
      <c r="O1582">
        <f t="shared" si="251"/>
        <v>544</v>
      </c>
      <c r="P1582">
        <f t="shared" si="251"/>
        <v>129.72727272727272</v>
      </c>
      <c r="Q1582">
        <f t="shared" si="251"/>
        <v>354</v>
      </c>
      <c r="R1582">
        <f t="shared" si="251"/>
        <v>571.27272727272725</v>
      </c>
      <c r="S1582">
        <f t="shared" si="251"/>
        <v>217.27272727272728</v>
      </c>
      <c r="T1582">
        <f t="shared" si="251"/>
        <v>247.25454545454548</v>
      </c>
      <c r="U1582">
        <f t="shared" si="251"/>
        <v>401.54545454545456</v>
      </c>
      <c r="V1582">
        <f t="shared" si="251"/>
        <v>393.09090909090907</v>
      </c>
    </row>
    <row r="1583" spans="1:24" hidden="1" outlineLevel="2" x14ac:dyDescent="0.25">
      <c r="A1583" t="str">
        <f t="shared" ref="A1583:A1593" si="252">CONCATENATE(B1583," - ",E1583)</f>
        <v>AK9 - 2008</v>
      </c>
      <c r="B1583" t="s">
        <v>38</v>
      </c>
      <c r="C1583">
        <v>1</v>
      </c>
      <c r="D1583">
        <v>23</v>
      </c>
      <c r="E1583">
        <v>2008</v>
      </c>
      <c r="F1583">
        <v>176.4</v>
      </c>
      <c r="G1583">
        <v>2.4</v>
      </c>
      <c r="H1583">
        <v>1.8</v>
      </c>
      <c r="I1583">
        <v>0.6</v>
      </c>
      <c r="J1583">
        <v>24</v>
      </c>
      <c r="K1583">
        <v>26.4</v>
      </c>
      <c r="L1583">
        <v>977.6</v>
      </c>
      <c r="M1583">
        <v>442</v>
      </c>
      <c r="N1583">
        <v>405</v>
      </c>
      <c r="O1583">
        <v>552</v>
      </c>
      <c r="P1583">
        <v>147</v>
      </c>
      <c r="Q1583">
        <v>353</v>
      </c>
      <c r="R1583">
        <v>562</v>
      </c>
      <c r="S1583">
        <v>209</v>
      </c>
      <c r="T1583">
        <v>170.1</v>
      </c>
      <c r="U1583">
        <v>401</v>
      </c>
      <c r="V1583">
        <v>383</v>
      </c>
      <c r="W1583">
        <v>500</v>
      </c>
      <c r="X1583">
        <v>2.79</v>
      </c>
    </row>
    <row r="1584" spans="1:24" hidden="1" outlineLevel="2" x14ac:dyDescent="0.25">
      <c r="A1584" t="str">
        <f t="shared" si="252"/>
        <v>AK9 - 2008</v>
      </c>
      <c r="B1584" t="s">
        <v>38</v>
      </c>
      <c r="C1584">
        <v>3</v>
      </c>
      <c r="D1584">
        <v>23</v>
      </c>
      <c r="E1584">
        <v>2008</v>
      </c>
      <c r="F1584">
        <v>219.8</v>
      </c>
      <c r="G1584">
        <v>3.6</v>
      </c>
      <c r="H1584">
        <v>3</v>
      </c>
      <c r="I1584">
        <v>0.6</v>
      </c>
      <c r="J1584">
        <v>16</v>
      </c>
      <c r="K1584">
        <v>49.3</v>
      </c>
      <c r="L1584">
        <v>1517.8</v>
      </c>
      <c r="M1584">
        <v>429</v>
      </c>
      <c r="N1584">
        <v>406</v>
      </c>
      <c r="O1584">
        <v>546</v>
      </c>
      <c r="P1584">
        <v>140</v>
      </c>
      <c r="Q1584">
        <v>343</v>
      </c>
      <c r="R1584">
        <v>560</v>
      </c>
      <c r="S1584">
        <v>217</v>
      </c>
      <c r="T1584">
        <v>227.4</v>
      </c>
      <c r="U1584">
        <v>423</v>
      </c>
      <c r="V1584">
        <v>424</v>
      </c>
      <c r="W1584">
        <v>500</v>
      </c>
      <c r="X1584">
        <v>2.79</v>
      </c>
    </row>
    <row r="1585" spans="1:24" hidden="1" outlineLevel="2" x14ac:dyDescent="0.25">
      <c r="A1585" t="str">
        <f t="shared" si="252"/>
        <v>AK9 - 2008</v>
      </c>
      <c r="B1585" t="s">
        <v>38</v>
      </c>
      <c r="C1585">
        <v>4</v>
      </c>
      <c r="D1585">
        <v>23</v>
      </c>
      <c r="E1585">
        <v>2008</v>
      </c>
      <c r="F1585">
        <v>241.7</v>
      </c>
      <c r="G1585">
        <v>6.3</v>
      </c>
      <c r="H1585">
        <v>5.4</v>
      </c>
      <c r="I1585">
        <v>0.9</v>
      </c>
      <c r="J1585">
        <v>14</v>
      </c>
      <c r="K1585">
        <v>94.4</v>
      </c>
      <c r="L1585">
        <v>1835.3</v>
      </c>
      <c r="M1585">
        <v>400</v>
      </c>
      <c r="N1585">
        <v>375</v>
      </c>
      <c r="O1585">
        <v>551</v>
      </c>
      <c r="P1585">
        <v>176</v>
      </c>
      <c r="Q1585">
        <v>320</v>
      </c>
      <c r="R1585">
        <v>573</v>
      </c>
      <c r="S1585">
        <v>253</v>
      </c>
      <c r="T1585">
        <v>244.8</v>
      </c>
      <c r="U1585">
        <v>388</v>
      </c>
      <c r="V1585">
        <v>385</v>
      </c>
      <c r="W1585">
        <v>500</v>
      </c>
      <c r="X1585">
        <v>2.79</v>
      </c>
    </row>
    <row r="1586" spans="1:24" hidden="1" outlineLevel="2" x14ac:dyDescent="0.25">
      <c r="A1586" t="str">
        <f t="shared" si="252"/>
        <v>AK9 - 2008</v>
      </c>
      <c r="B1586" t="s">
        <v>38</v>
      </c>
      <c r="C1586">
        <v>5</v>
      </c>
      <c r="D1586">
        <v>23</v>
      </c>
      <c r="E1586">
        <v>2008</v>
      </c>
      <c r="F1586">
        <v>240.2</v>
      </c>
      <c r="G1586">
        <v>6.3</v>
      </c>
      <c r="H1586">
        <v>4.5</v>
      </c>
      <c r="I1586">
        <v>1.8</v>
      </c>
      <c r="J1586">
        <v>28</v>
      </c>
      <c r="K1586">
        <v>93.8</v>
      </c>
      <c r="L1586">
        <v>1812.6</v>
      </c>
      <c r="M1586">
        <v>457</v>
      </c>
      <c r="N1586">
        <v>419</v>
      </c>
      <c r="O1586">
        <v>552</v>
      </c>
      <c r="P1586">
        <v>133</v>
      </c>
      <c r="Q1586">
        <v>383</v>
      </c>
      <c r="R1586">
        <v>600</v>
      </c>
      <c r="S1586">
        <v>217</v>
      </c>
      <c r="T1586">
        <v>244.5</v>
      </c>
      <c r="U1586">
        <v>434</v>
      </c>
      <c r="V1586">
        <v>429</v>
      </c>
      <c r="W1586">
        <v>500</v>
      </c>
      <c r="X1586">
        <v>2.79</v>
      </c>
    </row>
    <row r="1587" spans="1:24" hidden="1" outlineLevel="2" x14ac:dyDescent="0.25">
      <c r="A1587" t="str">
        <f t="shared" si="252"/>
        <v>AK9 - 2008</v>
      </c>
      <c r="B1587" t="s">
        <v>38</v>
      </c>
      <c r="C1587">
        <v>6</v>
      </c>
      <c r="D1587">
        <v>22</v>
      </c>
      <c r="E1587">
        <v>2008</v>
      </c>
      <c r="F1587">
        <v>263.89999999999998</v>
      </c>
      <c r="G1587">
        <v>3.6</v>
      </c>
      <c r="H1587">
        <v>3</v>
      </c>
      <c r="I1587">
        <v>0.6</v>
      </c>
      <c r="J1587">
        <v>16</v>
      </c>
      <c r="K1587">
        <v>59.3</v>
      </c>
      <c r="L1587">
        <v>2187.9</v>
      </c>
      <c r="M1587">
        <v>418</v>
      </c>
      <c r="N1587">
        <v>394</v>
      </c>
      <c r="O1587">
        <v>540</v>
      </c>
      <c r="P1587">
        <v>146</v>
      </c>
      <c r="Q1587">
        <v>347</v>
      </c>
      <c r="R1587">
        <v>556</v>
      </c>
      <c r="S1587">
        <v>209</v>
      </c>
      <c r="T1587">
        <v>256.8</v>
      </c>
      <c r="U1587">
        <v>400</v>
      </c>
      <c r="V1587">
        <v>395</v>
      </c>
      <c r="W1587">
        <v>500</v>
      </c>
      <c r="X1587">
        <v>2.79</v>
      </c>
    </row>
    <row r="1588" spans="1:24" hidden="1" outlineLevel="2" x14ac:dyDescent="0.25">
      <c r="A1588" t="str">
        <f t="shared" si="252"/>
        <v>AK9 - 2008</v>
      </c>
      <c r="B1588" t="s">
        <v>38</v>
      </c>
      <c r="C1588">
        <v>7</v>
      </c>
      <c r="D1588">
        <v>23</v>
      </c>
      <c r="E1588">
        <v>2008</v>
      </c>
      <c r="F1588">
        <v>257.39999999999998</v>
      </c>
      <c r="G1588">
        <v>3.6</v>
      </c>
      <c r="H1588">
        <v>3</v>
      </c>
      <c r="I1588">
        <v>0.6</v>
      </c>
      <c r="J1588">
        <v>16</v>
      </c>
      <c r="K1588">
        <v>57.8</v>
      </c>
      <c r="L1588">
        <v>2081.5</v>
      </c>
      <c r="M1588">
        <v>423</v>
      </c>
      <c r="N1588">
        <v>398</v>
      </c>
      <c r="O1588">
        <v>547</v>
      </c>
      <c r="P1588">
        <v>149</v>
      </c>
      <c r="Q1588">
        <v>351</v>
      </c>
      <c r="R1588">
        <v>567</v>
      </c>
      <c r="S1588">
        <v>216</v>
      </c>
      <c r="T1588">
        <v>245.7</v>
      </c>
      <c r="U1588">
        <v>401</v>
      </c>
      <c r="V1588">
        <v>390</v>
      </c>
      <c r="W1588">
        <v>500</v>
      </c>
      <c r="X1588">
        <v>2.79</v>
      </c>
    </row>
    <row r="1589" spans="1:24" hidden="1" outlineLevel="2" x14ac:dyDescent="0.25">
      <c r="A1589" t="str">
        <f t="shared" si="252"/>
        <v>AK9 - 2008</v>
      </c>
      <c r="B1589" t="s">
        <v>38</v>
      </c>
      <c r="C1589">
        <v>8</v>
      </c>
      <c r="D1589">
        <v>23</v>
      </c>
      <c r="E1589">
        <v>2008</v>
      </c>
      <c r="F1589">
        <v>247.7</v>
      </c>
      <c r="G1589">
        <v>2.1</v>
      </c>
      <c r="H1589">
        <v>1.5</v>
      </c>
      <c r="I1589">
        <v>0.6</v>
      </c>
      <c r="J1589">
        <v>28</v>
      </c>
      <c r="K1589">
        <v>32.5</v>
      </c>
      <c r="L1589">
        <v>1927.5</v>
      </c>
      <c r="M1589">
        <v>456</v>
      </c>
      <c r="N1589">
        <v>429</v>
      </c>
      <c r="O1589">
        <v>524</v>
      </c>
      <c r="P1589">
        <v>95</v>
      </c>
      <c r="Q1589">
        <v>412</v>
      </c>
      <c r="R1589">
        <v>542</v>
      </c>
      <c r="S1589">
        <v>130</v>
      </c>
      <c r="T1589">
        <v>249</v>
      </c>
      <c r="U1589">
        <v>395</v>
      </c>
      <c r="V1589">
        <v>365</v>
      </c>
      <c r="W1589">
        <v>500</v>
      </c>
      <c r="X1589">
        <v>2.79</v>
      </c>
    </row>
    <row r="1590" spans="1:24" hidden="1" outlineLevel="2" x14ac:dyDescent="0.25">
      <c r="A1590" t="str">
        <f t="shared" si="252"/>
        <v>AK9 - 2008</v>
      </c>
      <c r="B1590" t="s">
        <v>38</v>
      </c>
      <c r="C1590">
        <v>10</v>
      </c>
      <c r="D1590">
        <v>23</v>
      </c>
      <c r="E1590">
        <v>2008</v>
      </c>
      <c r="F1590">
        <v>284.7</v>
      </c>
      <c r="G1590">
        <v>6</v>
      </c>
      <c r="H1590">
        <v>5.7</v>
      </c>
      <c r="I1590">
        <v>0.3</v>
      </c>
      <c r="J1590">
        <v>5</v>
      </c>
      <c r="K1590">
        <v>106.2</v>
      </c>
      <c r="L1590">
        <v>2546.4</v>
      </c>
      <c r="M1590">
        <v>379</v>
      </c>
      <c r="N1590">
        <v>370</v>
      </c>
      <c r="O1590">
        <v>550</v>
      </c>
      <c r="P1590">
        <v>180</v>
      </c>
      <c r="Q1590">
        <v>319</v>
      </c>
      <c r="R1590">
        <v>550</v>
      </c>
      <c r="S1590">
        <v>231</v>
      </c>
      <c r="T1590">
        <v>289.5</v>
      </c>
      <c r="U1590">
        <v>393</v>
      </c>
      <c r="V1590">
        <v>393</v>
      </c>
      <c r="W1590">
        <v>500</v>
      </c>
      <c r="X1590">
        <v>2.79</v>
      </c>
    </row>
    <row r="1591" spans="1:24" hidden="1" outlineLevel="2" x14ac:dyDescent="0.25">
      <c r="A1591" t="str">
        <f t="shared" si="252"/>
        <v>AK9 - 2008</v>
      </c>
      <c r="B1591" t="s">
        <v>38</v>
      </c>
      <c r="C1591">
        <v>11</v>
      </c>
      <c r="D1591">
        <v>23</v>
      </c>
      <c r="E1591">
        <v>2008</v>
      </c>
      <c r="F1591">
        <v>332.3</v>
      </c>
      <c r="G1591">
        <v>4.5</v>
      </c>
      <c r="H1591">
        <v>3.9</v>
      </c>
      <c r="I1591">
        <v>0.6</v>
      </c>
      <c r="J1591">
        <v>13</v>
      </c>
      <c r="K1591">
        <v>93.3</v>
      </c>
      <c r="L1591">
        <v>3469.1</v>
      </c>
      <c r="M1591">
        <v>436</v>
      </c>
      <c r="N1591">
        <v>411</v>
      </c>
      <c r="O1591">
        <v>598</v>
      </c>
      <c r="P1591">
        <v>187</v>
      </c>
      <c r="Q1591">
        <v>367</v>
      </c>
      <c r="R1591">
        <v>601</v>
      </c>
      <c r="S1591">
        <v>234</v>
      </c>
      <c r="T1591">
        <v>331.8</v>
      </c>
      <c r="U1591">
        <v>389</v>
      </c>
      <c r="V1591">
        <v>385</v>
      </c>
      <c r="W1591">
        <v>500</v>
      </c>
      <c r="X1591">
        <v>2.79</v>
      </c>
    </row>
    <row r="1592" spans="1:24" hidden="1" outlineLevel="2" x14ac:dyDescent="0.25">
      <c r="A1592" t="str">
        <f t="shared" si="252"/>
        <v>AK9 - 2008</v>
      </c>
      <c r="B1592" t="s">
        <v>38</v>
      </c>
      <c r="C1592">
        <v>13</v>
      </c>
      <c r="D1592">
        <v>23</v>
      </c>
      <c r="E1592">
        <v>2008</v>
      </c>
      <c r="F1592">
        <v>297.2</v>
      </c>
      <c r="G1592">
        <v>3.3</v>
      </c>
      <c r="H1592">
        <v>2.7</v>
      </c>
      <c r="I1592">
        <v>0.6</v>
      </c>
      <c r="J1592">
        <v>18</v>
      </c>
      <c r="K1592">
        <v>61.3</v>
      </c>
      <c r="L1592">
        <v>2774.9</v>
      </c>
      <c r="M1592">
        <v>439</v>
      </c>
      <c r="N1592">
        <v>413</v>
      </c>
      <c r="O1592">
        <v>557</v>
      </c>
      <c r="P1592">
        <v>144</v>
      </c>
      <c r="Q1592">
        <v>363</v>
      </c>
      <c r="R1592">
        <v>577</v>
      </c>
      <c r="S1592">
        <v>214</v>
      </c>
      <c r="T1592">
        <v>286.8</v>
      </c>
      <c r="U1592">
        <v>408</v>
      </c>
      <c r="V1592">
        <v>398</v>
      </c>
      <c r="W1592">
        <v>500</v>
      </c>
      <c r="X1592">
        <v>2.79</v>
      </c>
    </row>
    <row r="1593" spans="1:24" hidden="1" outlineLevel="2" x14ac:dyDescent="0.25">
      <c r="A1593" t="str">
        <f t="shared" si="252"/>
        <v>AK9 - 2008</v>
      </c>
      <c r="B1593" t="s">
        <v>38</v>
      </c>
      <c r="C1593">
        <v>14</v>
      </c>
      <c r="D1593">
        <v>23</v>
      </c>
      <c r="E1593">
        <v>2008</v>
      </c>
      <c r="F1593">
        <v>182.5</v>
      </c>
      <c r="G1593">
        <v>4.8</v>
      </c>
      <c r="H1593">
        <v>4.2</v>
      </c>
      <c r="I1593">
        <v>0.6</v>
      </c>
      <c r="J1593">
        <v>12</v>
      </c>
      <c r="K1593">
        <v>54.3</v>
      </c>
      <c r="L1593">
        <v>1046.3</v>
      </c>
      <c r="M1593">
        <v>402</v>
      </c>
      <c r="N1593">
        <v>382</v>
      </c>
      <c r="O1593">
        <v>544</v>
      </c>
      <c r="P1593">
        <v>162</v>
      </c>
      <c r="Q1593">
        <v>331</v>
      </c>
      <c r="R1593">
        <v>551</v>
      </c>
      <c r="S1593">
        <v>220</v>
      </c>
      <c r="T1593">
        <v>173.4</v>
      </c>
      <c r="U1593">
        <v>385</v>
      </c>
      <c r="V1593">
        <v>377</v>
      </c>
      <c r="W1593">
        <v>500</v>
      </c>
      <c r="X1593">
        <v>2.79</v>
      </c>
    </row>
    <row r="1594" spans="1:24" outlineLevel="1" collapsed="1" x14ac:dyDescent="0.25">
      <c r="A1594" s="8" t="s">
        <v>164</v>
      </c>
      <c r="D1594">
        <f t="shared" ref="D1594:V1594" si="253">SUBTOTAL(1,D1583:D1593)</f>
        <v>22.90909090909091</v>
      </c>
      <c r="E1594">
        <f t="shared" si="253"/>
        <v>2008</v>
      </c>
      <c r="F1594">
        <f t="shared" si="253"/>
        <v>249.43636363636367</v>
      </c>
      <c r="G1594">
        <f t="shared" si="253"/>
        <v>4.2272727272727275</v>
      </c>
      <c r="H1594">
        <f t="shared" si="253"/>
        <v>3.5181818181818185</v>
      </c>
      <c r="I1594">
        <f t="shared" si="253"/>
        <v>0.70909090909090888</v>
      </c>
      <c r="J1594">
        <f t="shared" si="253"/>
        <v>17.272727272727273</v>
      </c>
      <c r="K1594">
        <f t="shared" si="253"/>
        <v>66.236363636363635</v>
      </c>
      <c r="L1594">
        <f t="shared" si="253"/>
        <v>2016.0818181818179</v>
      </c>
      <c r="M1594">
        <f t="shared" si="253"/>
        <v>425.54545454545456</v>
      </c>
      <c r="N1594">
        <f t="shared" si="253"/>
        <v>400.18181818181819</v>
      </c>
      <c r="O1594">
        <f t="shared" si="253"/>
        <v>551</v>
      </c>
      <c r="P1594">
        <f t="shared" si="253"/>
        <v>150.81818181818181</v>
      </c>
      <c r="Q1594">
        <f t="shared" si="253"/>
        <v>353.54545454545456</v>
      </c>
      <c r="R1594">
        <f t="shared" si="253"/>
        <v>567.18181818181813</v>
      </c>
      <c r="S1594">
        <f t="shared" si="253"/>
        <v>213.63636363636363</v>
      </c>
      <c r="T1594">
        <f t="shared" si="253"/>
        <v>247.25454545454548</v>
      </c>
      <c r="U1594">
        <f t="shared" si="253"/>
        <v>401.54545454545456</v>
      </c>
      <c r="V1594">
        <f t="shared" si="253"/>
        <v>393.09090909090907</v>
      </c>
    </row>
    <row r="1595" spans="1:24" hidden="1" outlineLevel="2" x14ac:dyDescent="0.25">
      <c r="A1595" t="str">
        <f t="shared" ref="A1595:A1605" si="254">CONCATENATE(B1595," - ",E1595)</f>
        <v>AK9 - 2009</v>
      </c>
      <c r="B1595" t="s">
        <v>38</v>
      </c>
      <c r="C1595">
        <v>1</v>
      </c>
      <c r="D1595">
        <v>24</v>
      </c>
      <c r="E1595">
        <v>2009</v>
      </c>
      <c r="F1595">
        <v>178.8</v>
      </c>
      <c r="G1595">
        <v>2.4</v>
      </c>
      <c r="H1595">
        <v>2.4</v>
      </c>
      <c r="I1595">
        <v>0</v>
      </c>
      <c r="J1595">
        <v>0</v>
      </c>
      <c r="K1595">
        <v>26.8</v>
      </c>
      <c r="L1595">
        <v>1004.3</v>
      </c>
      <c r="M1595">
        <v>434</v>
      </c>
      <c r="N1595">
        <v>434</v>
      </c>
      <c r="Q1595">
        <v>349</v>
      </c>
      <c r="R1595">
        <v>489</v>
      </c>
      <c r="S1595">
        <v>140</v>
      </c>
      <c r="T1595">
        <v>170.1</v>
      </c>
      <c r="U1595">
        <v>401</v>
      </c>
      <c r="V1595">
        <v>383</v>
      </c>
      <c r="W1595">
        <v>500</v>
      </c>
      <c r="X1595">
        <v>2.79</v>
      </c>
    </row>
    <row r="1596" spans="1:24" hidden="1" outlineLevel="2" x14ac:dyDescent="0.25">
      <c r="A1596" t="str">
        <f t="shared" si="254"/>
        <v>AK9 - 2009</v>
      </c>
      <c r="B1596" t="s">
        <v>38</v>
      </c>
      <c r="C1596">
        <v>3</v>
      </c>
      <c r="D1596">
        <v>24</v>
      </c>
      <c r="E1596">
        <v>2009</v>
      </c>
      <c r="F1596">
        <v>224</v>
      </c>
      <c r="G1596">
        <v>4.2</v>
      </c>
      <c r="H1596">
        <v>2.7</v>
      </c>
      <c r="I1596">
        <v>1.5</v>
      </c>
      <c r="J1596">
        <v>35</v>
      </c>
      <c r="K1596">
        <v>58.6</v>
      </c>
      <c r="L1596">
        <v>1576.3</v>
      </c>
      <c r="M1596">
        <v>470</v>
      </c>
      <c r="N1596">
        <v>421</v>
      </c>
      <c r="O1596">
        <v>558</v>
      </c>
      <c r="P1596">
        <v>137</v>
      </c>
      <c r="Q1596">
        <v>386</v>
      </c>
      <c r="R1596">
        <v>592</v>
      </c>
      <c r="S1596">
        <v>206</v>
      </c>
      <c r="T1596">
        <v>227.4</v>
      </c>
      <c r="U1596">
        <v>423</v>
      </c>
      <c r="V1596">
        <v>424</v>
      </c>
      <c r="W1596">
        <v>500</v>
      </c>
      <c r="X1596">
        <v>2.79</v>
      </c>
    </row>
    <row r="1597" spans="1:24" hidden="1" outlineLevel="2" x14ac:dyDescent="0.25">
      <c r="A1597" t="str">
        <f t="shared" si="254"/>
        <v>AK9 - 2009</v>
      </c>
      <c r="B1597" t="s">
        <v>38</v>
      </c>
      <c r="C1597">
        <v>4</v>
      </c>
      <c r="D1597">
        <v>24</v>
      </c>
      <c r="E1597">
        <v>2009</v>
      </c>
      <c r="F1597">
        <v>248.3</v>
      </c>
      <c r="G1597">
        <v>6.6</v>
      </c>
      <c r="H1597">
        <v>5.0999999999999996</v>
      </c>
      <c r="I1597">
        <v>1.5</v>
      </c>
      <c r="J1597">
        <v>22</v>
      </c>
      <c r="K1597">
        <v>101.6</v>
      </c>
      <c r="L1597">
        <v>1936.9</v>
      </c>
      <c r="M1597">
        <v>416</v>
      </c>
      <c r="N1597">
        <v>383</v>
      </c>
      <c r="O1597">
        <v>530</v>
      </c>
      <c r="P1597">
        <v>147</v>
      </c>
      <c r="Q1597">
        <v>326</v>
      </c>
      <c r="R1597">
        <v>553</v>
      </c>
      <c r="S1597">
        <v>227</v>
      </c>
      <c r="T1597">
        <v>244.8</v>
      </c>
      <c r="U1597">
        <v>388</v>
      </c>
      <c r="V1597">
        <v>385</v>
      </c>
      <c r="W1597">
        <v>500</v>
      </c>
      <c r="X1597">
        <v>2.79</v>
      </c>
    </row>
    <row r="1598" spans="1:24" hidden="1" outlineLevel="2" x14ac:dyDescent="0.25">
      <c r="A1598" t="str">
        <f t="shared" si="254"/>
        <v>AK9 - 2009</v>
      </c>
      <c r="B1598" t="s">
        <v>38</v>
      </c>
      <c r="C1598">
        <v>5</v>
      </c>
      <c r="D1598">
        <v>24</v>
      </c>
      <c r="E1598">
        <v>2009</v>
      </c>
      <c r="F1598">
        <v>247.4</v>
      </c>
      <c r="G1598">
        <v>7.2</v>
      </c>
      <c r="H1598">
        <v>5.0999999999999996</v>
      </c>
      <c r="I1598">
        <v>2.1</v>
      </c>
      <c r="J1598">
        <v>29</v>
      </c>
      <c r="K1598">
        <v>110.3</v>
      </c>
      <c r="L1598">
        <v>1922.9</v>
      </c>
      <c r="M1598">
        <v>482</v>
      </c>
      <c r="N1598">
        <v>440</v>
      </c>
      <c r="O1598">
        <v>586</v>
      </c>
      <c r="P1598">
        <v>146</v>
      </c>
      <c r="Q1598">
        <v>392</v>
      </c>
      <c r="R1598">
        <v>646</v>
      </c>
      <c r="S1598">
        <v>254</v>
      </c>
      <c r="T1598">
        <v>244.5</v>
      </c>
      <c r="U1598">
        <v>434</v>
      </c>
      <c r="V1598">
        <v>429</v>
      </c>
      <c r="W1598">
        <v>500</v>
      </c>
      <c r="X1598">
        <v>2.79</v>
      </c>
    </row>
    <row r="1599" spans="1:24" hidden="1" outlineLevel="2" x14ac:dyDescent="0.25">
      <c r="A1599" t="str">
        <f t="shared" si="254"/>
        <v>AK9 - 2009</v>
      </c>
      <c r="B1599" t="s">
        <v>38</v>
      </c>
      <c r="C1599">
        <v>6</v>
      </c>
      <c r="D1599">
        <v>23</v>
      </c>
      <c r="E1599">
        <v>2009</v>
      </c>
      <c r="F1599">
        <v>268.10000000000002</v>
      </c>
      <c r="G1599">
        <v>4.2</v>
      </c>
      <c r="H1599">
        <v>3.3</v>
      </c>
      <c r="I1599">
        <v>0.9</v>
      </c>
      <c r="J1599">
        <v>21</v>
      </c>
      <c r="K1599">
        <v>70.2</v>
      </c>
      <c r="L1599">
        <v>2258.1</v>
      </c>
      <c r="M1599">
        <v>435</v>
      </c>
      <c r="N1599">
        <v>406</v>
      </c>
      <c r="O1599">
        <v>543</v>
      </c>
      <c r="P1599">
        <v>137</v>
      </c>
      <c r="Q1599">
        <v>337</v>
      </c>
      <c r="R1599">
        <v>576</v>
      </c>
      <c r="S1599">
        <v>239</v>
      </c>
      <c r="T1599">
        <v>256.8</v>
      </c>
      <c r="U1599">
        <v>400</v>
      </c>
      <c r="V1599">
        <v>395</v>
      </c>
      <c r="W1599">
        <v>500</v>
      </c>
      <c r="X1599">
        <v>2.79</v>
      </c>
    </row>
    <row r="1600" spans="1:24" hidden="1" outlineLevel="2" x14ac:dyDescent="0.25">
      <c r="A1600" t="str">
        <f t="shared" si="254"/>
        <v>AK9 - 2009</v>
      </c>
      <c r="B1600" t="s">
        <v>38</v>
      </c>
      <c r="C1600">
        <v>7</v>
      </c>
      <c r="D1600">
        <v>24</v>
      </c>
      <c r="E1600">
        <v>2009</v>
      </c>
      <c r="F1600">
        <v>259.8</v>
      </c>
      <c r="G1600">
        <v>2.4</v>
      </c>
      <c r="H1600">
        <v>2.4</v>
      </c>
      <c r="I1600">
        <v>0</v>
      </c>
      <c r="J1600">
        <v>0</v>
      </c>
      <c r="K1600">
        <v>39</v>
      </c>
      <c r="L1600">
        <v>2120.5</v>
      </c>
      <c r="M1600">
        <v>394</v>
      </c>
      <c r="N1600">
        <v>394</v>
      </c>
      <c r="Q1600">
        <v>337</v>
      </c>
      <c r="R1600">
        <v>488</v>
      </c>
      <c r="S1600">
        <v>151</v>
      </c>
      <c r="T1600">
        <v>245.7</v>
      </c>
      <c r="U1600">
        <v>401</v>
      </c>
      <c r="V1600">
        <v>390</v>
      </c>
      <c r="W1600">
        <v>500</v>
      </c>
      <c r="X1600">
        <v>2.79</v>
      </c>
    </row>
    <row r="1601" spans="1:24" hidden="1" outlineLevel="2" x14ac:dyDescent="0.25">
      <c r="A1601" t="str">
        <f t="shared" si="254"/>
        <v>AK9 - 2009</v>
      </c>
      <c r="B1601" t="s">
        <v>38</v>
      </c>
      <c r="C1601">
        <v>8</v>
      </c>
      <c r="D1601">
        <v>24</v>
      </c>
      <c r="E1601">
        <v>2009</v>
      </c>
      <c r="F1601">
        <v>249.5</v>
      </c>
      <c r="G1601">
        <v>1.8</v>
      </c>
      <c r="H1601">
        <v>1.5</v>
      </c>
      <c r="I1601">
        <v>0.3</v>
      </c>
      <c r="J1601">
        <v>16</v>
      </c>
      <c r="K1601">
        <v>28.1</v>
      </c>
      <c r="L1601">
        <v>1955.6</v>
      </c>
      <c r="M1601">
        <v>468</v>
      </c>
      <c r="N1601">
        <v>453</v>
      </c>
      <c r="O1601">
        <v>545</v>
      </c>
      <c r="P1601">
        <v>92</v>
      </c>
      <c r="Q1601">
        <v>414</v>
      </c>
      <c r="R1601">
        <v>545</v>
      </c>
      <c r="S1601">
        <v>131</v>
      </c>
      <c r="T1601">
        <v>249</v>
      </c>
      <c r="U1601">
        <v>395</v>
      </c>
      <c r="V1601">
        <v>365</v>
      </c>
      <c r="W1601">
        <v>500</v>
      </c>
      <c r="X1601">
        <v>2.79</v>
      </c>
    </row>
    <row r="1602" spans="1:24" hidden="1" outlineLevel="2" x14ac:dyDescent="0.25">
      <c r="A1602" t="str">
        <f t="shared" si="254"/>
        <v>AK9 - 2009</v>
      </c>
      <c r="B1602" t="s">
        <v>38</v>
      </c>
      <c r="C1602">
        <v>10</v>
      </c>
      <c r="D1602">
        <v>24</v>
      </c>
      <c r="E1602">
        <v>2009</v>
      </c>
      <c r="F1602">
        <v>289.5</v>
      </c>
      <c r="G1602">
        <v>4.8</v>
      </c>
      <c r="H1602">
        <v>3.9</v>
      </c>
      <c r="I1602">
        <v>0.9</v>
      </c>
      <c r="J1602">
        <v>18</v>
      </c>
      <c r="K1602">
        <v>86.6</v>
      </c>
      <c r="L1602">
        <v>2633</v>
      </c>
      <c r="M1602">
        <v>415</v>
      </c>
      <c r="N1602">
        <v>379</v>
      </c>
      <c r="O1602">
        <v>570</v>
      </c>
      <c r="P1602">
        <v>191</v>
      </c>
      <c r="Q1602">
        <v>324</v>
      </c>
      <c r="R1602">
        <v>599</v>
      </c>
      <c r="S1602">
        <v>275</v>
      </c>
      <c r="T1602">
        <v>289.5</v>
      </c>
      <c r="U1602">
        <v>393</v>
      </c>
      <c r="V1602">
        <v>393</v>
      </c>
      <c r="W1602">
        <v>500</v>
      </c>
      <c r="X1602">
        <v>2.79</v>
      </c>
    </row>
    <row r="1603" spans="1:24" hidden="1" outlineLevel="2" x14ac:dyDescent="0.25">
      <c r="A1603" t="str">
        <f t="shared" si="254"/>
        <v>AK9 - 2009</v>
      </c>
      <c r="B1603" t="s">
        <v>38</v>
      </c>
      <c r="C1603">
        <v>11</v>
      </c>
      <c r="D1603">
        <v>24</v>
      </c>
      <c r="E1603">
        <v>2009</v>
      </c>
      <c r="F1603">
        <v>336.8</v>
      </c>
      <c r="G1603">
        <v>4.5</v>
      </c>
      <c r="H1603">
        <v>3.6</v>
      </c>
      <c r="I1603">
        <v>0.9</v>
      </c>
      <c r="J1603">
        <v>20</v>
      </c>
      <c r="K1603">
        <v>94.6</v>
      </c>
      <c r="L1603">
        <v>3563.6</v>
      </c>
      <c r="M1603">
        <v>435</v>
      </c>
      <c r="N1603">
        <v>401</v>
      </c>
      <c r="O1603">
        <v>570</v>
      </c>
      <c r="P1603">
        <v>169</v>
      </c>
      <c r="Q1603">
        <v>356</v>
      </c>
      <c r="R1603">
        <v>582</v>
      </c>
      <c r="S1603">
        <v>226</v>
      </c>
      <c r="T1603">
        <v>331.8</v>
      </c>
      <c r="U1603">
        <v>389</v>
      </c>
      <c r="V1603">
        <v>385</v>
      </c>
      <c r="W1603">
        <v>500</v>
      </c>
      <c r="X1603">
        <v>2.79</v>
      </c>
    </row>
    <row r="1604" spans="1:24" hidden="1" outlineLevel="2" x14ac:dyDescent="0.25">
      <c r="A1604" t="str">
        <f t="shared" si="254"/>
        <v>AK9 - 2009</v>
      </c>
      <c r="B1604" t="s">
        <v>38</v>
      </c>
      <c r="C1604">
        <v>13</v>
      </c>
      <c r="D1604">
        <v>24</v>
      </c>
      <c r="E1604">
        <v>2009</v>
      </c>
      <c r="F1604">
        <v>300.5</v>
      </c>
      <c r="G1604">
        <v>3.3</v>
      </c>
      <c r="H1604">
        <v>2.4</v>
      </c>
      <c r="I1604">
        <v>0.9</v>
      </c>
      <c r="J1604">
        <v>27</v>
      </c>
      <c r="K1604">
        <v>62</v>
      </c>
      <c r="L1604">
        <v>2836.9</v>
      </c>
      <c r="M1604">
        <v>433</v>
      </c>
      <c r="N1604">
        <v>383</v>
      </c>
      <c r="O1604">
        <v>566</v>
      </c>
      <c r="P1604">
        <v>183</v>
      </c>
      <c r="Q1604">
        <v>280</v>
      </c>
      <c r="R1604">
        <v>594</v>
      </c>
      <c r="S1604">
        <v>314</v>
      </c>
      <c r="T1604">
        <v>286.8</v>
      </c>
      <c r="U1604">
        <v>408</v>
      </c>
      <c r="V1604">
        <v>398</v>
      </c>
      <c r="W1604">
        <v>500</v>
      </c>
      <c r="X1604">
        <v>2.79</v>
      </c>
    </row>
    <row r="1605" spans="1:24" hidden="1" outlineLevel="2" x14ac:dyDescent="0.25">
      <c r="A1605" t="str">
        <f t="shared" si="254"/>
        <v>AK9 - 2009</v>
      </c>
      <c r="B1605" t="s">
        <v>38</v>
      </c>
      <c r="C1605">
        <v>14</v>
      </c>
      <c r="D1605">
        <v>24</v>
      </c>
      <c r="E1605">
        <v>2009</v>
      </c>
      <c r="F1605">
        <v>187</v>
      </c>
      <c r="G1605">
        <v>4.5</v>
      </c>
      <c r="H1605">
        <v>3.6</v>
      </c>
      <c r="I1605">
        <v>0.9</v>
      </c>
      <c r="J1605">
        <v>20</v>
      </c>
      <c r="K1605">
        <v>52.2</v>
      </c>
      <c r="L1605">
        <v>1098.5999999999999</v>
      </c>
      <c r="M1605">
        <v>404</v>
      </c>
      <c r="N1605">
        <v>368</v>
      </c>
      <c r="O1605">
        <v>547</v>
      </c>
      <c r="P1605">
        <v>179</v>
      </c>
      <c r="Q1605">
        <v>314</v>
      </c>
      <c r="R1605">
        <v>582</v>
      </c>
      <c r="S1605">
        <v>268</v>
      </c>
      <c r="T1605">
        <v>173.4</v>
      </c>
      <c r="U1605">
        <v>385</v>
      </c>
      <c r="V1605">
        <v>377</v>
      </c>
      <c r="W1605">
        <v>500</v>
      </c>
      <c r="X1605">
        <v>2.79</v>
      </c>
    </row>
    <row r="1606" spans="1:24" outlineLevel="1" collapsed="1" x14ac:dyDescent="0.25">
      <c r="A1606" s="8" t="s">
        <v>165</v>
      </c>
      <c r="D1606">
        <f t="shared" ref="D1606:V1606" si="255">SUBTOTAL(1,D1595:D1605)</f>
        <v>23.90909090909091</v>
      </c>
      <c r="E1606">
        <f t="shared" si="255"/>
        <v>2009</v>
      </c>
      <c r="F1606">
        <f t="shared" si="255"/>
        <v>253.6090909090909</v>
      </c>
      <c r="G1606">
        <f t="shared" si="255"/>
        <v>4.172727272727272</v>
      </c>
      <c r="H1606">
        <f t="shared" si="255"/>
        <v>3.2727272727272729</v>
      </c>
      <c r="I1606">
        <f t="shared" si="255"/>
        <v>0.9</v>
      </c>
      <c r="J1606">
        <f t="shared" si="255"/>
        <v>18.90909090909091</v>
      </c>
      <c r="K1606">
        <f t="shared" si="255"/>
        <v>66.363636363636374</v>
      </c>
      <c r="L1606">
        <f t="shared" si="255"/>
        <v>2082.4272727272728</v>
      </c>
      <c r="M1606">
        <f t="shared" si="255"/>
        <v>435.09090909090907</v>
      </c>
      <c r="N1606">
        <f t="shared" si="255"/>
        <v>405.63636363636363</v>
      </c>
      <c r="O1606">
        <f t="shared" si="255"/>
        <v>557.22222222222217</v>
      </c>
      <c r="P1606">
        <f t="shared" si="255"/>
        <v>153.44444444444446</v>
      </c>
      <c r="Q1606">
        <f t="shared" si="255"/>
        <v>346.81818181818181</v>
      </c>
      <c r="R1606">
        <f t="shared" si="255"/>
        <v>567.81818181818187</v>
      </c>
      <c r="S1606">
        <f t="shared" si="255"/>
        <v>221</v>
      </c>
      <c r="T1606">
        <f t="shared" si="255"/>
        <v>247.25454545454548</v>
      </c>
      <c r="U1606">
        <f t="shared" si="255"/>
        <v>401.54545454545456</v>
      </c>
      <c r="V1606">
        <f t="shared" si="255"/>
        <v>393.09090909090907</v>
      </c>
    </row>
    <row r="1607" spans="1:24" hidden="1" outlineLevel="2" x14ac:dyDescent="0.25">
      <c r="A1607" t="str">
        <f t="shared" ref="A1607:A1617" si="256">CONCATENATE(B1607," - ",E1607)</f>
        <v>AK9 - 2010</v>
      </c>
      <c r="B1607" t="s">
        <v>38</v>
      </c>
      <c r="C1607">
        <v>1</v>
      </c>
      <c r="D1607">
        <v>25</v>
      </c>
      <c r="E1607">
        <v>2010</v>
      </c>
      <c r="F1607">
        <v>180.9</v>
      </c>
      <c r="G1607">
        <v>2.1</v>
      </c>
      <c r="H1607">
        <v>1.5</v>
      </c>
      <c r="I1607">
        <v>0.6</v>
      </c>
      <c r="J1607">
        <v>28</v>
      </c>
      <c r="K1607">
        <v>23.7</v>
      </c>
      <c r="L1607">
        <v>1028.0999999999999</v>
      </c>
      <c r="M1607">
        <v>446</v>
      </c>
      <c r="N1607">
        <v>403</v>
      </c>
      <c r="O1607">
        <v>554</v>
      </c>
      <c r="P1607">
        <v>151</v>
      </c>
      <c r="Q1607">
        <v>370</v>
      </c>
      <c r="R1607">
        <v>575</v>
      </c>
      <c r="S1607">
        <v>205</v>
      </c>
      <c r="T1607">
        <v>170.1</v>
      </c>
      <c r="U1607">
        <v>401</v>
      </c>
      <c r="V1607">
        <v>383</v>
      </c>
      <c r="W1607">
        <v>500</v>
      </c>
      <c r="X1607">
        <v>2.79</v>
      </c>
    </row>
    <row r="1608" spans="1:24" hidden="1" outlineLevel="2" x14ac:dyDescent="0.25">
      <c r="A1608" t="str">
        <f t="shared" si="256"/>
        <v>AK9 - 2010</v>
      </c>
      <c r="B1608" t="s">
        <v>38</v>
      </c>
      <c r="C1608">
        <v>3</v>
      </c>
      <c r="D1608">
        <v>25</v>
      </c>
      <c r="E1608">
        <v>2010</v>
      </c>
      <c r="F1608">
        <v>227.3</v>
      </c>
      <c r="G1608">
        <v>3.3</v>
      </c>
      <c r="H1608">
        <v>2.4</v>
      </c>
      <c r="I1608">
        <v>0.9</v>
      </c>
      <c r="J1608">
        <v>27</v>
      </c>
      <c r="K1608">
        <v>46.8</v>
      </c>
      <c r="L1608">
        <v>1623.1</v>
      </c>
      <c r="M1608">
        <v>444</v>
      </c>
      <c r="N1608">
        <v>400</v>
      </c>
      <c r="O1608">
        <v>560</v>
      </c>
      <c r="P1608">
        <v>160</v>
      </c>
      <c r="Q1608">
        <v>365</v>
      </c>
      <c r="R1608">
        <v>588</v>
      </c>
      <c r="S1608">
        <v>223</v>
      </c>
      <c r="T1608">
        <v>227.4</v>
      </c>
      <c r="U1608">
        <v>423</v>
      </c>
      <c r="V1608">
        <v>424</v>
      </c>
      <c r="W1608">
        <v>500</v>
      </c>
      <c r="X1608">
        <v>2.79</v>
      </c>
    </row>
    <row r="1609" spans="1:24" hidden="1" outlineLevel="2" x14ac:dyDescent="0.25">
      <c r="A1609" t="str">
        <f t="shared" si="256"/>
        <v>AK9 - 2010</v>
      </c>
      <c r="B1609" t="s">
        <v>38</v>
      </c>
      <c r="C1609">
        <v>4</v>
      </c>
      <c r="D1609">
        <v>25</v>
      </c>
      <c r="E1609">
        <v>2010</v>
      </c>
      <c r="F1609">
        <v>254</v>
      </c>
      <c r="G1609">
        <v>5.7</v>
      </c>
      <c r="H1609">
        <v>5.0999999999999996</v>
      </c>
      <c r="I1609">
        <v>0.6</v>
      </c>
      <c r="J1609">
        <v>10</v>
      </c>
      <c r="K1609">
        <v>89.9</v>
      </c>
      <c r="L1609">
        <v>2026.8</v>
      </c>
      <c r="M1609">
        <v>397</v>
      </c>
      <c r="N1609">
        <v>378</v>
      </c>
      <c r="O1609">
        <v>555</v>
      </c>
      <c r="P1609">
        <v>177</v>
      </c>
      <c r="Q1609">
        <v>313</v>
      </c>
      <c r="R1609">
        <v>581</v>
      </c>
      <c r="S1609">
        <v>268</v>
      </c>
      <c r="T1609">
        <v>244.8</v>
      </c>
      <c r="U1609">
        <v>388</v>
      </c>
      <c r="V1609">
        <v>385</v>
      </c>
      <c r="W1609">
        <v>500</v>
      </c>
      <c r="X1609">
        <v>2.79</v>
      </c>
    </row>
    <row r="1610" spans="1:24" hidden="1" outlineLevel="2" x14ac:dyDescent="0.25">
      <c r="A1610" t="str">
        <f t="shared" si="256"/>
        <v>AK9 - 2010</v>
      </c>
      <c r="B1610" t="s">
        <v>38</v>
      </c>
      <c r="C1610">
        <v>5</v>
      </c>
      <c r="D1610">
        <v>25</v>
      </c>
      <c r="E1610">
        <v>2010</v>
      </c>
      <c r="F1610">
        <v>252.8</v>
      </c>
      <c r="G1610">
        <v>5.4</v>
      </c>
      <c r="H1610">
        <v>3.9</v>
      </c>
      <c r="I1610">
        <v>1.5</v>
      </c>
      <c r="J1610">
        <v>27</v>
      </c>
      <c r="K1610">
        <v>84.9</v>
      </c>
      <c r="L1610">
        <v>2007.7</v>
      </c>
      <c r="M1610">
        <v>466</v>
      </c>
      <c r="N1610">
        <v>437</v>
      </c>
      <c r="O1610">
        <v>541</v>
      </c>
      <c r="P1610">
        <v>104</v>
      </c>
      <c r="Q1610">
        <v>408</v>
      </c>
      <c r="R1610">
        <v>589</v>
      </c>
      <c r="S1610">
        <v>181</v>
      </c>
      <c r="T1610">
        <v>244.5</v>
      </c>
      <c r="U1610">
        <v>434</v>
      </c>
      <c r="V1610">
        <v>429</v>
      </c>
      <c r="W1610">
        <v>500</v>
      </c>
      <c r="X1610">
        <v>2.79</v>
      </c>
    </row>
    <row r="1611" spans="1:24" hidden="1" outlineLevel="2" x14ac:dyDescent="0.25">
      <c r="A1611" t="str">
        <f t="shared" si="256"/>
        <v>AK9 - 2010</v>
      </c>
      <c r="B1611" t="s">
        <v>38</v>
      </c>
      <c r="C1611">
        <v>6</v>
      </c>
      <c r="D1611">
        <v>24</v>
      </c>
      <c r="E1611">
        <v>2010</v>
      </c>
      <c r="F1611">
        <v>271.39999999999998</v>
      </c>
      <c r="G1611">
        <v>3.3</v>
      </c>
      <c r="H1611">
        <v>3</v>
      </c>
      <c r="I1611">
        <v>0.3</v>
      </c>
      <c r="J1611">
        <v>9</v>
      </c>
      <c r="K1611">
        <v>55.9</v>
      </c>
      <c r="L1611">
        <v>2314</v>
      </c>
      <c r="M1611">
        <v>416</v>
      </c>
      <c r="N1611">
        <v>406</v>
      </c>
      <c r="O1611">
        <v>516</v>
      </c>
      <c r="P1611">
        <v>110</v>
      </c>
      <c r="Q1611">
        <v>353</v>
      </c>
      <c r="R1611">
        <v>516</v>
      </c>
      <c r="S1611">
        <v>163</v>
      </c>
      <c r="T1611">
        <v>256.8</v>
      </c>
      <c r="U1611">
        <v>400</v>
      </c>
      <c r="V1611">
        <v>395</v>
      </c>
      <c r="W1611">
        <v>500</v>
      </c>
      <c r="X1611">
        <v>2.79</v>
      </c>
    </row>
    <row r="1612" spans="1:24" hidden="1" outlineLevel="2" x14ac:dyDescent="0.25">
      <c r="A1612" t="str">
        <f t="shared" si="256"/>
        <v>AK9 - 2010</v>
      </c>
      <c r="B1612" t="s">
        <v>38</v>
      </c>
      <c r="C1612">
        <v>7</v>
      </c>
      <c r="D1612">
        <v>25</v>
      </c>
      <c r="E1612">
        <v>2010</v>
      </c>
      <c r="F1612">
        <v>261.60000000000002</v>
      </c>
      <c r="G1612">
        <v>1.8</v>
      </c>
      <c r="H1612">
        <v>1.2</v>
      </c>
      <c r="I1612">
        <v>0.6</v>
      </c>
      <c r="J1612">
        <v>33</v>
      </c>
      <c r="K1612">
        <v>29.5</v>
      </c>
      <c r="L1612">
        <v>2149.9</v>
      </c>
      <c r="M1612">
        <v>451</v>
      </c>
      <c r="N1612">
        <v>404</v>
      </c>
      <c r="O1612">
        <v>546</v>
      </c>
      <c r="P1612">
        <v>142</v>
      </c>
      <c r="Q1612">
        <v>380</v>
      </c>
      <c r="R1612">
        <v>551</v>
      </c>
      <c r="S1612">
        <v>171</v>
      </c>
      <c r="T1612">
        <v>245.7</v>
      </c>
      <c r="U1612">
        <v>401</v>
      </c>
      <c r="V1612">
        <v>390</v>
      </c>
      <c r="W1612">
        <v>500</v>
      </c>
      <c r="X1612">
        <v>2.79</v>
      </c>
    </row>
    <row r="1613" spans="1:24" hidden="1" outlineLevel="2" x14ac:dyDescent="0.25">
      <c r="A1613" t="str">
        <f t="shared" si="256"/>
        <v>AK9 - 2010</v>
      </c>
      <c r="B1613" t="s">
        <v>38</v>
      </c>
      <c r="C1613">
        <v>8</v>
      </c>
      <c r="D1613">
        <v>25</v>
      </c>
      <c r="E1613">
        <v>2010</v>
      </c>
      <c r="F1613">
        <v>251.6</v>
      </c>
      <c r="G1613">
        <v>2.1</v>
      </c>
      <c r="H1613">
        <v>2.1</v>
      </c>
      <c r="I1613">
        <v>0</v>
      </c>
      <c r="J1613">
        <v>0</v>
      </c>
      <c r="K1613">
        <v>33.1</v>
      </c>
      <c r="L1613">
        <v>1988.7</v>
      </c>
      <c r="M1613">
        <v>437</v>
      </c>
      <c r="N1613">
        <v>437</v>
      </c>
      <c r="Q1613">
        <v>395</v>
      </c>
      <c r="R1613">
        <v>496</v>
      </c>
      <c r="S1613">
        <v>101</v>
      </c>
      <c r="T1613">
        <v>249</v>
      </c>
      <c r="U1613">
        <v>395</v>
      </c>
      <c r="V1613">
        <v>365</v>
      </c>
      <c r="W1613">
        <v>500</v>
      </c>
      <c r="X1613">
        <v>2.79</v>
      </c>
    </row>
    <row r="1614" spans="1:24" hidden="1" outlineLevel="2" x14ac:dyDescent="0.25">
      <c r="A1614" t="str">
        <f t="shared" si="256"/>
        <v>AK9 - 2010</v>
      </c>
      <c r="B1614" t="s">
        <v>38</v>
      </c>
      <c r="C1614">
        <v>10</v>
      </c>
      <c r="D1614">
        <v>25</v>
      </c>
      <c r="E1614">
        <v>2010</v>
      </c>
      <c r="F1614">
        <v>295.5</v>
      </c>
      <c r="G1614">
        <v>6</v>
      </c>
      <c r="H1614">
        <v>4.8</v>
      </c>
      <c r="I1614">
        <v>1.2</v>
      </c>
      <c r="J1614">
        <v>20</v>
      </c>
      <c r="K1614">
        <v>110.3</v>
      </c>
      <c r="L1614">
        <v>2743.2</v>
      </c>
      <c r="M1614">
        <v>426</v>
      </c>
      <c r="N1614">
        <v>394</v>
      </c>
      <c r="O1614">
        <v>552</v>
      </c>
      <c r="P1614">
        <v>158</v>
      </c>
      <c r="Q1614">
        <v>325</v>
      </c>
      <c r="R1614">
        <v>587</v>
      </c>
      <c r="S1614">
        <v>262</v>
      </c>
      <c r="T1614">
        <v>289.5</v>
      </c>
      <c r="U1614">
        <v>393</v>
      </c>
      <c r="V1614">
        <v>393</v>
      </c>
      <c r="W1614">
        <v>500</v>
      </c>
      <c r="X1614">
        <v>2.79</v>
      </c>
    </row>
    <row r="1615" spans="1:24" hidden="1" outlineLevel="2" x14ac:dyDescent="0.25">
      <c r="A1615" t="str">
        <f t="shared" si="256"/>
        <v>AK9 - 2010</v>
      </c>
      <c r="B1615" t="s">
        <v>38</v>
      </c>
      <c r="C1615">
        <v>11</v>
      </c>
      <c r="D1615">
        <v>25</v>
      </c>
      <c r="E1615">
        <v>2010</v>
      </c>
      <c r="F1615">
        <v>341.9</v>
      </c>
      <c r="G1615">
        <v>5.0999999999999996</v>
      </c>
      <c r="H1615">
        <v>4.5</v>
      </c>
      <c r="I1615">
        <v>0.6</v>
      </c>
      <c r="J1615">
        <v>11</v>
      </c>
      <c r="K1615">
        <v>108.7</v>
      </c>
      <c r="L1615">
        <v>3672.4</v>
      </c>
      <c r="M1615">
        <v>414</v>
      </c>
      <c r="N1615">
        <v>390</v>
      </c>
      <c r="O1615">
        <v>588</v>
      </c>
      <c r="P1615">
        <v>198</v>
      </c>
      <c r="Q1615">
        <v>340</v>
      </c>
      <c r="R1615">
        <v>640</v>
      </c>
      <c r="S1615">
        <v>300</v>
      </c>
      <c r="T1615">
        <v>331.8</v>
      </c>
      <c r="U1615">
        <v>389</v>
      </c>
      <c r="V1615">
        <v>385</v>
      </c>
      <c r="W1615">
        <v>500</v>
      </c>
      <c r="X1615">
        <v>2.79</v>
      </c>
    </row>
    <row r="1616" spans="1:24" hidden="1" outlineLevel="2" x14ac:dyDescent="0.25">
      <c r="A1616" t="str">
        <f t="shared" si="256"/>
        <v>AK9 - 2010</v>
      </c>
      <c r="B1616" t="s">
        <v>38</v>
      </c>
      <c r="C1616">
        <v>13</v>
      </c>
      <c r="D1616">
        <v>25</v>
      </c>
      <c r="E1616">
        <v>2010</v>
      </c>
      <c r="F1616">
        <v>303.5</v>
      </c>
      <c r="G1616">
        <v>3</v>
      </c>
      <c r="H1616">
        <v>2.1</v>
      </c>
      <c r="I1616">
        <v>0.9</v>
      </c>
      <c r="J1616">
        <v>30</v>
      </c>
      <c r="K1616">
        <v>56.9</v>
      </c>
      <c r="L1616">
        <v>2893.8</v>
      </c>
      <c r="M1616">
        <v>436</v>
      </c>
      <c r="N1616">
        <v>385</v>
      </c>
      <c r="O1616">
        <v>554</v>
      </c>
      <c r="P1616">
        <v>169</v>
      </c>
      <c r="Q1616">
        <v>326</v>
      </c>
      <c r="R1616">
        <v>598</v>
      </c>
      <c r="S1616">
        <v>272</v>
      </c>
      <c r="T1616">
        <v>286.8</v>
      </c>
      <c r="U1616">
        <v>408</v>
      </c>
      <c r="V1616">
        <v>398</v>
      </c>
      <c r="W1616">
        <v>500</v>
      </c>
      <c r="X1616">
        <v>2.79</v>
      </c>
    </row>
    <row r="1617" spans="1:24" hidden="1" outlineLevel="2" x14ac:dyDescent="0.25">
      <c r="A1617" t="str">
        <f t="shared" si="256"/>
        <v>AK9 - 2010</v>
      </c>
      <c r="B1617" t="s">
        <v>38</v>
      </c>
      <c r="C1617">
        <v>14</v>
      </c>
      <c r="D1617">
        <v>25</v>
      </c>
      <c r="E1617">
        <v>2010</v>
      </c>
      <c r="F1617">
        <v>190.9</v>
      </c>
      <c r="G1617">
        <v>3.9</v>
      </c>
      <c r="H1617">
        <v>3.6</v>
      </c>
      <c r="I1617">
        <v>0.3</v>
      </c>
      <c r="J1617">
        <v>7</v>
      </c>
      <c r="K1617">
        <v>46.3</v>
      </c>
      <c r="L1617">
        <v>1144.9000000000001</v>
      </c>
      <c r="M1617">
        <v>398</v>
      </c>
      <c r="N1617">
        <v>381</v>
      </c>
      <c r="O1617">
        <v>594</v>
      </c>
      <c r="P1617">
        <v>213</v>
      </c>
      <c r="Q1617">
        <v>324</v>
      </c>
      <c r="R1617">
        <v>594</v>
      </c>
      <c r="S1617">
        <v>270</v>
      </c>
      <c r="T1617">
        <v>173.4</v>
      </c>
      <c r="U1617">
        <v>385</v>
      </c>
      <c r="V1617">
        <v>377</v>
      </c>
      <c r="W1617">
        <v>500</v>
      </c>
      <c r="X1617">
        <v>2.79</v>
      </c>
    </row>
    <row r="1618" spans="1:24" outlineLevel="1" collapsed="1" x14ac:dyDescent="0.25">
      <c r="A1618" s="8" t="s">
        <v>166</v>
      </c>
      <c r="D1618">
        <f t="shared" ref="D1618:V1618" si="257">SUBTOTAL(1,D1607:D1617)</f>
        <v>24.90909090909091</v>
      </c>
      <c r="E1618">
        <f t="shared" si="257"/>
        <v>2010</v>
      </c>
      <c r="F1618">
        <f t="shared" si="257"/>
        <v>257.40000000000003</v>
      </c>
      <c r="G1618">
        <f t="shared" si="257"/>
        <v>3.790909090909091</v>
      </c>
      <c r="H1618">
        <f t="shared" si="257"/>
        <v>3.1090909090909093</v>
      </c>
      <c r="I1618">
        <f t="shared" si="257"/>
        <v>0.68181818181818177</v>
      </c>
      <c r="J1618">
        <f t="shared" si="257"/>
        <v>18.363636363636363</v>
      </c>
      <c r="K1618">
        <f t="shared" si="257"/>
        <v>62.363636363636367</v>
      </c>
      <c r="L1618">
        <f t="shared" si="257"/>
        <v>2144.7818181818184</v>
      </c>
      <c r="M1618">
        <f t="shared" si="257"/>
        <v>430.09090909090907</v>
      </c>
      <c r="N1618">
        <f t="shared" si="257"/>
        <v>401.36363636363637</v>
      </c>
      <c r="O1618">
        <f t="shared" si="257"/>
        <v>556</v>
      </c>
      <c r="P1618">
        <f t="shared" si="257"/>
        <v>158.19999999999999</v>
      </c>
      <c r="Q1618">
        <f t="shared" si="257"/>
        <v>354.45454545454544</v>
      </c>
      <c r="R1618">
        <f t="shared" si="257"/>
        <v>574.09090909090912</v>
      </c>
      <c r="S1618">
        <f t="shared" si="257"/>
        <v>219.63636363636363</v>
      </c>
      <c r="T1618">
        <f t="shared" si="257"/>
        <v>247.25454545454548</v>
      </c>
      <c r="U1618">
        <f t="shared" si="257"/>
        <v>401.54545454545456</v>
      </c>
      <c r="V1618">
        <f t="shared" si="257"/>
        <v>393.09090909090907</v>
      </c>
    </row>
    <row r="1619" spans="1:24" hidden="1" outlineLevel="2" x14ac:dyDescent="0.25">
      <c r="A1619" t="str">
        <f t="shared" ref="A1619:A1629" si="258">CONCATENATE(B1619," - ",E1619)</f>
        <v>AK9 - 2011</v>
      </c>
      <c r="B1619" t="s">
        <v>38</v>
      </c>
      <c r="C1619">
        <v>1</v>
      </c>
      <c r="D1619">
        <v>26</v>
      </c>
      <c r="E1619">
        <v>2011</v>
      </c>
      <c r="F1619">
        <v>183</v>
      </c>
      <c r="G1619">
        <v>2.1</v>
      </c>
      <c r="H1619">
        <v>1.2</v>
      </c>
      <c r="I1619">
        <v>0.9</v>
      </c>
      <c r="J1619">
        <v>42</v>
      </c>
      <c r="K1619">
        <v>24</v>
      </c>
      <c r="L1619">
        <v>1052.0999999999999</v>
      </c>
      <c r="M1619">
        <v>481</v>
      </c>
      <c r="N1619">
        <v>444</v>
      </c>
      <c r="O1619">
        <v>531</v>
      </c>
      <c r="P1619">
        <v>87</v>
      </c>
      <c r="Q1619">
        <v>410</v>
      </c>
      <c r="R1619">
        <v>585</v>
      </c>
      <c r="S1619">
        <v>175</v>
      </c>
      <c r="T1619">
        <v>170.1</v>
      </c>
      <c r="U1619">
        <v>401</v>
      </c>
      <c r="V1619">
        <v>383</v>
      </c>
      <c r="W1619">
        <v>500</v>
      </c>
      <c r="X1619">
        <v>2.79</v>
      </c>
    </row>
    <row r="1620" spans="1:24" hidden="1" outlineLevel="2" x14ac:dyDescent="0.25">
      <c r="A1620" t="str">
        <f t="shared" si="258"/>
        <v>AK9 - 2011</v>
      </c>
      <c r="B1620" t="s">
        <v>38</v>
      </c>
      <c r="C1620">
        <v>3</v>
      </c>
      <c r="D1620">
        <v>26</v>
      </c>
      <c r="E1620">
        <v>2011</v>
      </c>
      <c r="F1620">
        <v>230</v>
      </c>
      <c r="G1620">
        <v>2.7</v>
      </c>
      <c r="H1620">
        <v>1.8</v>
      </c>
      <c r="I1620">
        <v>0.9</v>
      </c>
      <c r="J1620">
        <v>33</v>
      </c>
      <c r="K1620">
        <v>38.799999999999997</v>
      </c>
      <c r="L1620">
        <v>1661.9</v>
      </c>
      <c r="M1620">
        <v>463</v>
      </c>
      <c r="N1620">
        <v>415</v>
      </c>
      <c r="O1620">
        <v>561</v>
      </c>
      <c r="P1620">
        <v>146</v>
      </c>
      <c r="Q1620">
        <v>379</v>
      </c>
      <c r="R1620">
        <v>601</v>
      </c>
      <c r="S1620">
        <v>222</v>
      </c>
      <c r="T1620">
        <v>227.4</v>
      </c>
      <c r="U1620">
        <v>423</v>
      </c>
      <c r="V1620">
        <v>424</v>
      </c>
      <c r="W1620">
        <v>500</v>
      </c>
      <c r="X1620">
        <v>2.79</v>
      </c>
    </row>
    <row r="1621" spans="1:24" hidden="1" outlineLevel="2" x14ac:dyDescent="0.25">
      <c r="A1621" t="str">
        <f t="shared" si="258"/>
        <v>AK9 - 2011</v>
      </c>
      <c r="B1621" t="s">
        <v>38</v>
      </c>
      <c r="C1621">
        <v>4</v>
      </c>
      <c r="D1621">
        <v>26</v>
      </c>
      <c r="E1621">
        <v>2011</v>
      </c>
      <c r="F1621">
        <v>260.89999999999998</v>
      </c>
      <c r="G1621">
        <v>6.9</v>
      </c>
      <c r="H1621">
        <v>5.7</v>
      </c>
      <c r="I1621">
        <v>1.2</v>
      </c>
      <c r="J1621">
        <v>17</v>
      </c>
      <c r="K1621">
        <v>111.6</v>
      </c>
      <c r="L1621">
        <v>2138.4</v>
      </c>
      <c r="M1621">
        <v>391</v>
      </c>
      <c r="N1621">
        <v>357</v>
      </c>
      <c r="O1621">
        <v>551</v>
      </c>
      <c r="P1621">
        <v>194</v>
      </c>
      <c r="Q1621">
        <v>303</v>
      </c>
      <c r="R1621">
        <v>580</v>
      </c>
      <c r="S1621">
        <v>277</v>
      </c>
      <c r="T1621">
        <v>244.8</v>
      </c>
      <c r="U1621">
        <v>388</v>
      </c>
      <c r="V1621">
        <v>385</v>
      </c>
      <c r="W1621">
        <v>500</v>
      </c>
      <c r="X1621">
        <v>2.79</v>
      </c>
    </row>
    <row r="1622" spans="1:24" hidden="1" outlineLevel="2" x14ac:dyDescent="0.25">
      <c r="A1622" t="str">
        <f t="shared" si="258"/>
        <v>AK9 - 2011</v>
      </c>
      <c r="B1622" t="s">
        <v>38</v>
      </c>
      <c r="C1622">
        <v>5</v>
      </c>
      <c r="D1622">
        <v>26</v>
      </c>
      <c r="E1622">
        <v>2011</v>
      </c>
      <c r="F1622">
        <v>259.39999999999998</v>
      </c>
      <c r="G1622">
        <v>6.6</v>
      </c>
      <c r="H1622">
        <v>4.8</v>
      </c>
      <c r="I1622">
        <v>1.8</v>
      </c>
      <c r="J1622">
        <v>27</v>
      </c>
      <c r="K1622">
        <v>106.2</v>
      </c>
      <c r="L1622">
        <v>2113.9</v>
      </c>
      <c r="M1622">
        <v>465</v>
      </c>
      <c r="N1622">
        <v>430</v>
      </c>
      <c r="O1622">
        <v>558</v>
      </c>
      <c r="P1622">
        <v>128</v>
      </c>
      <c r="Q1622">
        <v>387</v>
      </c>
      <c r="R1622">
        <v>622</v>
      </c>
      <c r="S1622">
        <v>235</v>
      </c>
      <c r="T1622">
        <v>244.5</v>
      </c>
      <c r="U1622">
        <v>434</v>
      </c>
      <c r="V1622">
        <v>429</v>
      </c>
      <c r="W1622">
        <v>500</v>
      </c>
      <c r="X1622">
        <v>2.79</v>
      </c>
    </row>
    <row r="1623" spans="1:24" hidden="1" outlineLevel="2" x14ac:dyDescent="0.25">
      <c r="A1623" t="str">
        <f t="shared" si="258"/>
        <v>AK9 - 2011</v>
      </c>
      <c r="B1623" t="s">
        <v>38</v>
      </c>
      <c r="C1623">
        <v>6</v>
      </c>
      <c r="D1623">
        <v>25</v>
      </c>
      <c r="E1623">
        <v>2011</v>
      </c>
      <c r="F1623">
        <v>274.39999999999998</v>
      </c>
      <c r="G1623">
        <v>3</v>
      </c>
      <c r="H1623">
        <v>2.7</v>
      </c>
      <c r="I1623">
        <v>0.3</v>
      </c>
      <c r="J1623">
        <v>10</v>
      </c>
      <c r="K1623">
        <v>51.4</v>
      </c>
      <c r="L1623">
        <v>2365.5</v>
      </c>
      <c r="M1623">
        <v>436</v>
      </c>
      <c r="N1623">
        <v>428</v>
      </c>
      <c r="O1623">
        <v>512</v>
      </c>
      <c r="P1623">
        <v>84</v>
      </c>
      <c r="Q1623">
        <v>390</v>
      </c>
      <c r="R1623">
        <v>512</v>
      </c>
      <c r="S1623">
        <v>122</v>
      </c>
      <c r="T1623">
        <v>256.8</v>
      </c>
      <c r="U1623">
        <v>400</v>
      </c>
      <c r="V1623">
        <v>395</v>
      </c>
      <c r="W1623">
        <v>500</v>
      </c>
      <c r="X1623">
        <v>2.79</v>
      </c>
    </row>
    <row r="1624" spans="1:24" hidden="1" outlineLevel="2" x14ac:dyDescent="0.25">
      <c r="A1624" t="str">
        <f t="shared" si="258"/>
        <v>AK9 - 2011</v>
      </c>
      <c r="B1624" t="s">
        <v>38</v>
      </c>
      <c r="C1624">
        <v>7</v>
      </c>
      <c r="D1624">
        <v>26</v>
      </c>
      <c r="E1624">
        <v>2011</v>
      </c>
      <c r="F1624">
        <v>263.10000000000002</v>
      </c>
      <c r="G1624">
        <v>1.5</v>
      </c>
      <c r="H1624">
        <v>0.9</v>
      </c>
      <c r="I1624">
        <v>0.6</v>
      </c>
      <c r="J1624">
        <v>40</v>
      </c>
      <c r="K1624">
        <v>24.7</v>
      </c>
      <c r="L1624">
        <v>2174.6999999999998</v>
      </c>
      <c r="M1624">
        <v>435</v>
      </c>
      <c r="N1624">
        <v>380</v>
      </c>
      <c r="O1624">
        <v>519</v>
      </c>
      <c r="P1624">
        <v>139</v>
      </c>
      <c r="Q1624">
        <v>352</v>
      </c>
      <c r="R1624">
        <v>528</v>
      </c>
      <c r="S1624">
        <v>176</v>
      </c>
      <c r="T1624">
        <v>245.7</v>
      </c>
      <c r="U1624">
        <v>401</v>
      </c>
      <c r="V1624">
        <v>390</v>
      </c>
      <c r="W1624">
        <v>500</v>
      </c>
      <c r="X1624">
        <v>2.79</v>
      </c>
    </row>
    <row r="1625" spans="1:24" hidden="1" outlineLevel="2" x14ac:dyDescent="0.25">
      <c r="A1625" t="str">
        <f t="shared" si="258"/>
        <v>AK9 - 2011</v>
      </c>
      <c r="B1625" t="s">
        <v>38</v>
      </c>
      <c r="C1625">
        <v>8</v>
      </c>
      <c r="D1625">
        <v>26</v>
      </c>
      <c r="E1625">
        <v>2011</v>
      </c>
      <c r="F1625">
        <v>252.8</v>
      </c>
      <c r="G1625">
        <v>1.2</v>
      </c>
      <c r="H1625">
        <v>1.2</v>
      </c>
      <c r="I1625">
        <v>0</v>
      </c>
      <c r="J1625">
        <v>0</v>
      </c>
      <c r="K1625">
        <v>19</v>
      </c>
      <c r="L1625">
        <v>2007.7</v>
      </c>
      <c r="M1625">
        <v>445</v>
      </c>
      <c r="N1625">
        <v>445</v>
      </c>
      <c r="Q1625">
        <v>418</v>
      </c>
      <c r="R1625">
        <v>481</v>
      </c>
      <c r="S1625">
        <v>63</v>
      </c>
      <c r="T1625">
        <v>249</v>
      </c>
      <c r="U1625">
        <v>395</v>
      </c>
      <c r="V1625">
        <v>365</v>
      </c>
      <c r="W1625">
        <v>500</v>
      </c>
      <c r="X1625">
        <v>2.79</v>
      </c>
    </row>
    <row r="1626" spans="1:24" hidden="1" outlineLevel="2" x14ac:dyDescent="0.25">
      <c r="A1626" t="str">
        <f t="shared" si="258"/>
        <v>AK9 - 2011</v>
      </c>
      <c r="B1626" t="s">
        <v>38</v>
      </c>
      <c r="C1626">
        <v>10</v>
      </c>
      <c r="D1626">
        <v>26</v>
      </c>
      <c r="E1626">
        <v>2011</v>
      </c>
      <c r="F1626">
        <v>301.2</v>
      </c>
      <c r="G1626">
        <v>5.7</v>
      </c>
      <c r="H1626">
        <v>4.5</v>
      </c>
      <c r="I1626">
        <v>1.2</v>
      </c>
      <c r="J1626">
        <v>21</v>
      </c>
      <c r="K1626">
        <v>106.9</v>
      </c>
      <c r="L1626">
        <v>2850.1</v>
      </c>
      <c r="M1626">
        <v>422</v>
      </c>
      <c r="N1626">
        <v>390</v>
      </c>
      <c r="O1626">
        <v>542</v>
      </c>
      <c r="P1626">
        <v>152</v>
      </c>
      <c r="Q1626">
        <v>347</v>
      </c>
      <c r="R1626">
        <v>587</v>
      </c>
      <c r="S1626">
        <v>240</v>
      </c>
      <c r="T1626">
        <v>289.5</v>
      </c>
      <c r="U1626">
        <v>393</v>
      </c>
      <c r="V1626">
        <v>393</v>
      </c>
      <c r="W1626">
        <v>500</v>
      </c>
      <c r="X1626">
        <v>2.79</v>
      </c>
    </row>
    <row r="1627" spans="1:24" hidden="1" outlineLevel="2" x14ac:dyDescent="0.25">
      <c r="A1627" t="str">
        <f t="shared" si="258"/>
        <v>AK9 - 2011</v>
      </c>
      <c r="B1627" t="s">
        <v>38</v>
      </c>
      <c r="C1627">
        <v>11</v>
      </c>
      <c r="D1627">
        <v>26</v>
      </c>
      <c r="E1627">
        <v>2011</v>
      </c>
      <c r="F1627">
        <v>346.4</v>
      </c>
      <c r="G1627">
        <v>4.5</v>
      </c>
      <c r="H1627">
        <v>3.6</v>
      </c>
      <c r="I1627">
        <v>0.9</v>
      </c>
      <c r="J1627">
        <v>20</v>
      </c>
      <c r="K1627">
        <v>97.3</v>
      </c>
      <c r="L1627">
        <v>3769.7</v>
      </c>
      <c r="M1627">
        <v>428</v>
      </c>
      <c r="N1627">
        <v>387</v>
      </c>
      <c r="O1627">
        <v>593</v>
      </c>
      <c r="P1627">
        <v>206</v>
      </c>
      <c r="Q1627">
        <v>356</v>
      </c>
      <c r="R1627">
        <v>619</v>
      </c>
      <c r="S1627">
        <v>263</v>
      </c>
      <c r="T1627">
        <v>331.8</v>
      </c>
      <c r="U1627">
        <v>389</v>
      </c>
      <c r="V1627">
        <v>385</v>
      </c>
      <c r="W1627">
        <v>500</v>
      </c>
      <c r="X1627">
        <v>2.79</v>
      </c>
    </row>
    <row r="1628" spans="1:24" hidden="1" outlineLevel="2" x14ac:dyDescent="0.25">
      <c r="A1628" t="str">
        <f t="shared" si="258"/>
        <v>AK9 - 2011</v>
      </c>
      <c r="B1628" t="s">
        <v>38</v>
      </c>
      <c r="C1628">
        <v>13</v>
      </c>
      <c r="D1628">
        <v>26</v>
      </c>
      <c r="E1628">
        <v>2011</v>
      </c>
      <c r="F1628">
        <v>305.3</v>
      </c>
      <c r="G1628">
        <v>1.8</v>
      </c>
      <c r="H1628">
        <v>1.2</v>
      </c>
      <c r="I1628">
        <v>0.6</v>
      </c>
      <c r="J1628">
        <v>33</v>
      </c>
      <c r="K1628">
        <v>34.4</v>
      </c>
      <c r="L1628">
        <v>2928.2</v>
      </c>
      <c r="M1628">
        <v>477</v>
      </c>
      <c r="N1628">
        <v>429</v>
      </c>
      <c r="O1628">
        <v>574</v>
      </c>
      <c r="P1628">
        <v>145</v>
      </c>
      <c r="Q1628">
        <v>387</v>
      </c>
      <c r="R1628">
        <v>605</v>
      </c>
      <c r="S1628">
        <v>218</v>
      </c>
      <c r="T1628">
        <v>286.8</v>
      </c>
      <c r="U1628">
        <v>408</v>
      </c>
      <c r="V1628">
        <v>398</v>
      </c>
      <c r="W1628">
        <v>500</v>
      </c>
      <c r="X1628">
        <v>2.79</v>
      </c>
    </row>
    <row r="1629" spans="1:24" hidden="1" outlineLevel="2" x14ac:dyDescent="0.25">
      <c r="A1629" t="str">
        <f t="shared" si="258"/>
        <v>AK9 - 2011</v>
      </c>
      <c r="B1629" t="s">
        <v>38</v>
      </c>
      <c r="C1629">
        <v>14</v>
      </c>
      <c r="D1629">
        <v>26</v>
      </c>
      <c r="E1629">
        <v>2011</v>
      </c>
      <c r="F1629">
        <v>195.1</v>
      </c>
      <c r="G1629">
        <v>4.2</v>
      </c>
      <c r="H1629">
        <v>3.9</v>
      </c>
      <c r="I1629">
        <v>0.3</v>
      </c>
      <c r="J1629">
        <v>7</v>
      </c>
      <c r="K1629">
        <v>50.9</v>
      </c>
      <c r="L1629">
        <v>1195.8</v>
      </c>
      <c r="M1629">
        <v>400</v>
      </c>
      <c r="N1629">
        <v>388</v>
      </c>
      <c r="O1629">
        <v>552</v>
      </c>
      <c r="P1629">
        <v>164</v>
      </c>
      <c r="Q1629">
        <v>347</v>
      </c>
      <c r="R1629">
        <v>552</v>
      </c>
      <c r="S1629">
        <v>205</v>
      </c>
      <c r="T1629">
        <v>173.4</v>
      </c>
      <c r="U1629">
        <v>385</v>
      </c>
      <c r="V1629">
        <v>377</v>
      </c>
      <c r="W1629">
        <v>500</v>
      </c>
      <c r="X1629">
        <v>2.79</v>
      </c>
    </row>
    <row r="1630" spans="1:24" outlineLevel="1" collapsed="1" x14ac:dyDescent="0.25">
      <c r="A1630" s="8" t="s">
        <v>167</v>
      </c>
      <c r="D1630">
        <f t="shared" ref="D1630:V1630" si="259">SUBTOTAL(1,D1619:D1629)</f>
        <v>25.90909090909091</v>
      </c>
      <c r="E1630">
        <f t="shared" si="259"/>
        <v>2011</v>
      </c>
      <c r="F1630">
        <f t="shared" si="259"/>
        <v>261.05454545454546</v>
      </c>
      <c r="G1630">
        <f t="shared" si="259"/>
        <v>3.6545454545454548</v>
      </c>
      <c r="H1630">
        <f t="shared" si="259"/>
        <v>2.8636363636363633</v>
      </c>
      <c r="I1630">
        <f t="shared" si="259"/>
        <v>0.79090909090909101</v>
      </c>
      <c r="J1630">
        <f t="shared" si="259"/>
        <v>22.727272727272727</v>
      </c>
      <c r="K1630">
        <f t="shared" si="259"/>
        <v>60.472727272727255</v>
      </c>
      <c r="L1630">
        <f t="shared" si="259"/>
        <v>2205.2727272727275</v>
      </c>
      <c r="M1630">
        <f t="shared" si="259"/>
        <v>440.27272727272725</v>
      </c>
      <c r="N1630">
        <f t="shared" si="259"/>
        <v>408.45454545454544</v>
      </c>
      <c r="O1630">
        <f t="shared" si="259"/>
        <v>549.29999999999995</v>
      </c>
      <c r="P1630">
        <f t="shared" si="259"/>
        <v>144.5</v>
      </c>
      <c r="Q1630">
        <f t="shared" si="259"/>
        <v>370.54545454545456</v>
      </c>
      <c r="R1630">
        <f t="shared" si="259"/>
        <v>570.18181818181813</v>
      </c>
      <c r="S1630">
        <f t="shared" si="259"/>
        <v>199.63636363636363</v>
      </c>
      <c r="T1630">
        <f t="shared" si="259"/>
        <v>247.25454545454548</v>
      </c>
      <c r="U1630">
        <f t="shared" si="259"/>
        <v>401.54545454545456</v>
      </c>
      <c r="V1630">
        <f t="shared" si="259"/>
        <v>393.09090909090907</v>
      </c>
    </row>
    <row r="1631" spans="1:24" hidden="1" outlineLevel="2" x14ac:dyDescent="0.25">
      <c r="A1631" t="str">
        <f t="shared" ref="A1631:A1641" si="260">CONCATENATE(B1631," - ",E1631)</f>
        <v>AK9 - 2012</v>
      </c>
      <c r="B1631" t="s">
        <v>38</v>
      </c>
      <c r="C1631">
        <v>1</v>
      </c>
      <c r="D1631">
        <v>27</v>
      </c>
      <c r="E1631">
        <v>2012</v>
      </c>
      <c r="F1631">
        <v>185.1</v>
      </c>
      <c r="G1631">
        <v>2.1</v>
      </c>
      <c r="H1631">
        <v>2.1</v>
      </c>
      <c r="I1631">
        <v>0</v>
      </c>
      <c r="J1631">
        <v>0</v>
      </c>
      <c r="K1631">
        <v>24.3</v>
      </c>
      <c r="L1631">
        <v>1076.4000000000001</v>
      </c>
      <c r="M1631">
        <v>417</v>
      </c>
      <c r="N1631">
        <v>417</v>
      </c>
      <c r="Q1631">
        <v>383</v>
      </c>
      <c r="R1631">
        <v>493</v>
      </c>
      <c r="S1631">
        <v>110</v>
      </c>
      <c r="T1631">
        <v>170.1</v>
      </c>
      <c r="U1631">
        <v>401</v>
      </c>
      <c r="V1631">
        <v>383</v>
      </c>
      <c r="W1631">
        <v>500</v>
      </c>
      <c r="X1631">
        <v>2.79</v>
      </c>
    </row>
    <row r="1632" spans="1:24" hidden="1" outlineLevel="2" x14ac:dyDescent="0.25">
      <c r="A1632" t="str">
        <f t="shared" si="260"/>
        <v>AK9 - 2012</v>
      </c>
      <c r="B1632" t="s">
        <v>38</v>
      </c>
      <c r="C1632">
        <v>3</v>
      </c>
      <c r="D1632">
        <v>27</v>
      </c>
      <c r="E1632">
        <v>2012</v>
      </c>
      <c r="F1632">
        <v>232.4</v>
      </c>
      <c r="G1632">
        <v>2.4</v>
      </c>
      <c r="H1632">
        <v>2.1</v>
      </c>
      <c r="I1632">
        <v>0.3</v>
      </c>
      <c r="J1632">
        <v>12</v>
      </c>
      <c r="K1632">
        <v>34.9</v>
      </c>
      <c r="L1632">
        <v>1696.8</v>
      </c>
      <c r="M1632">
        <v>419</v>
      </c>
      <c r="N1632">
        <v>400</v>
      </c>
      <c r="O1632">
        <v>550</v>
      </c>
      <c r="P1632">
        <v>150</v>
      </c>
      <c r="Q1632">
        <v>273</v>
      </c>
      <c r="R1632">
        <v>550</v>
      </c>
      <c r="S1632">
        <v>277</v>
      </c>
      <c r="T1632">
        <v>227.4</v>
      </c>
      <c r="U1632">
        <v>423</v>
      </c>
      <c r="V1632">
        <v>424</v>
      </c>
      <c r="W1632">
        <v>500</v>
      </c>
      <c r="X1632">
        <v>2.79</v>
      </c>
    </row>
    <row r="1633" spans="1:24" hidden="1" outlineLevel="2" x14ac:dyDescent="0.25">
      <c r="A1633" t="str">
        <f t="shared" si="260"/>
        <v>AK9 - 2012</v>
      </c>
      <c r="B1633" t="s">
        <v>38</v>
      </c>
      <c r="C1633">
        <v>4</v>
      </c>
      <c r="D1633">
        <v>27</v>
      </c>
      <c r="E1633">
        <v>2012</v>
      </c>
      <c r="F1633">
        <v>264.8</v>
      </c>
      <c r="G1633">
        <v>3.9</v>
      </c>
      <c r="H1633">
        <v>3.6</v>
      </c>
      <c r="I1633">
        <v>0.3</v>
      </c>
      <c r="J1633">
        <v>7</v>
      </c>
      <c r="K1633">
        <v>64.400000000000006</v>
      </c>
      <c r="L1633">
        <v>2202.9</v>
      </c>
      <c r="M1633">
        <v>351</v>
      </c>
      <c r="N1633">
        <v>335</v>
      </c>
      <c r="O1633">
        <v>539</v>
      </c>
      <c r="P1633">
        <v>204</v>
      </c>
      <c r="Q1633">
        <v>178</v>
      </c>
      <c r="R1633">
        <v>539</v>
      </c>
      <c r="S1633">
        <v>361</v>
      </c>
      <c r="T1633">
        <v>244.8</v>
      </c>
      <c r="U1633">
        <v>388</v>
      </c>
      <c r="V1633">
        <v>385</v>
      </c>
      <c r="W1633">
        <v>500</v>
      </c>
      <c r="X1633">
        <v>2.79</v>
      </c>
    </row>
    <row r="1634" spans="1:24" hidden="1" outlineLevel="2" x14ac:dyDescent="0.25">
      <c r="A1634" t="str">
        <f t="shared" si="260"/>
        <v>AK9 - 2012</v>
      </c>
      <c r="B1634" t="s">
        <v>38</v>
      </c>
      <c r="C1634">
        <v>5</v>
      </c>
      <c r="D1634">
        <v>27</v>
      </c>
      <c r="E1634">
        <v>2012</v>
      </c>
      <c r="F1634">
        <v>264.5</v>
      </c>
      <c r="G1634">
        <v>5.0999999999999996</v>
      </c>
      <c r="H1634">
        <v>4.5</v>
      </c>
      <c r="I1634">
        <v>0.6</v>
      </c>
      <c r="J1634">
        <v>11</v>
      </c>
      <c r="K1634">
        <v>83.9</v>
      </c>
      <c r="L1634">
        <v>2197.9</v>
      </c>
      <c r="M1634">
        <v>451</v>
      </c>
      <c r="N1634">
        <v>437</v>
      </c>
      <c r="O1634">
        <v>556</v>
      </c>
      <c r="P1634">
        <v>119</v>
      </c>
      <c r="Q1634">
        <v>412</v>
      </c>
      <c r="R1634">
        <v>570</v>
      </c>
      <c r="S1634">
        <v>158</v>
      </c>
      <c r="T1634">
        <v>244.5</v>
      </c>
      <c r="U1634">
        <v>434</v>
      </c>
      <c r="V1634">
        <v>429</v>
      </c>
      <c r="W1634">
        <v>500</v>
      </c>
      <c r="X1634">
        <v>2.79</v>
      </c>
    </row>
    <row r="1635" spans="1:24" hidden="1" outlineLevel="2" x14ac:dyDescent="0.25">
      <c r="A1635" t="str">
        <f t="shared" si="260"/>
        <v>AK9 - 2012</v>
      </c>
      <c r="B1635" t="s">
        <v>38</v>
      </c>
      <c r="C1635">
        <v>6</v>
      </c>
      <c r="D1635">
        <v>26</v>
      </c>
      <c r="E1635">
        <v>2012</v>
      </c>
      <c r="F1635">
        <v>276.8</v>
      </c>
      <c r="G1635">
        <v>2.4</v>
      </c>
      <c r="H1635">
        <v>2.1</v>
      </c>
      <c r="I1635">
        <v>0.3</v>
      </c>
      <c r="J1635">
        <v>12</v>
      </c>
      <c r="K1635">
        <v>41.6</v>
      </c>
      <c r="L1635">
        <v>2407</v>
      </c>
      <c r="M1635">
        <v>431</v>
      </c>
      <c r="N1635">
        <v>416</v>
      </c>
      <c r="O1635">
        <v>535</v>
      </c>
      <c r="P1635">
        <v>119</v>
      </c>
      <c r="Q1635">
        <v>366</v>
      </c>
      <c r="R1635">
        <v>535</v>
      </c>
      <c r="S1635">
        <v>169</v>
      </c>
      <c r="T1635">
        <v>256.8</v>
      </c>
      <c r="U1635">
        <v>400</v>
      </c>
      <c r="V1635">
        <v>395</v>
      </c>
      <c r="W1635">
        <v>500</v>
      </c>
      <c r="X1635">
        <v>2.79</v>
      </c>
    </row>
    <row r="1636" spans="1:24" hidden="1" outlineLevel="2" x14ac:dyDescent="0.25">
      <c r="A1636" t="str">
        <f t="shared" si="260"/>
        <v>AK9 - 2012</v>
      </c>
      <c r="B1636" t="s">
        <v>38</v>
      </c>
      <c r="C1636">
        <v>7</v>
      </c>
      <c r="D1636">
        <v>27</v>
      </c>
      <c r="E1636">
        <v>2012</v>
      </c>
      <c r="F1636">
        <v>263.7</v>
      </c>
      <c r="G1636">
        <v>0.6</v>
      </c>
      <c r="H1636">
        <v>0.3</v>
      </c>
      <c r="I1636">
        <v>0.3</v>
      </c>
      <c r="J1636">
        <v>49</v>
      </c>
      <c r="K1636">
        <v>9.9</v>
      </c>
      <c r="L1636">
        <v>2184.6</v>
      </c>
      <c r="M1636">
        <v>497</v>
      </c>
      <c r="N1636">
        <v>484</v>
      </c>
      <c r="O1636">
        <v>511</v>
      </c>
      <c r="P1636">
        <v>27</v>
      </c>
      <c r="Q1636">
        <v>484</v>
      </c>
      <c r="R1636">
        <v>511</v>
      </c>
      <c r="S1636">
        <v>27</v>
      </c>
      <c r="T1636">
        <v>245.7</v>
      </c>
      <c r="U1636">
        <v>401</v>
      </c>
      <c r="V1636">
        <v>390</v>
      </c>
      <c r="W1636">
        <v>500</v>
      </c>
      <c r="X1636">
        <v>2.79</v>
      </c>
    </row>
    <row r="1637" spans="1:24" hidden="1" outlineLevel="2" x14ac:dyDescent="0.25">
      <c r="A1637" t="str">
        <f t="shared" si="260"/>
        <v>AK9 - 2012</v>
      </c>
      <c r="B1637" t="s">
        <v>38</v>
      </c>
      <c r="C1637">
        <v>8</v>
      </c>
      <c r="D1637">
        <v>27</v>
      </c>
      <c r="E1637">
        <v>2012</v>
      </c>
      <c r="F1637">
        <v>254</v>
      </c>
      <c r="G1637">
        <v>1.2</v>
      </c>
      <c r="H1637">
        <v>1.2</v>
      </c>
      <c r="I1637">
        <v>0</v>
      </c>
      <c r="J1637">
        <v>0</v>
      </c>
      <c r="K1637">
        <v>19.100000000000001</v>
      </c>
      <c r="L1637">
        <v>2026.8</v>
      </c>
      <c r="M1637">
        <v>456</v>
      </c>
      <c r="N1637">
        <v>456</v>
      </c>
      <c r="Q1637">
        <v>427</v>
      </c>
      <c r="R1637">
        <v>499</v>
      </c>
      <c r="S1637">
        <v>72</v>
      </c>
      <c r="T1637">
        <v>249</v>
      </c>
      <c r="U1637">
        <v>395</v>
      </c>
      <c r="V1637">
        <v>365</v>
      </c>
      <c r="W1637">
        <v>500</v>
      </c>
      <c r="X1637">
        <v>2.79</v>
      </c>
    </row>
    <row r="1638" spans="1:24" hidden="1" outlineLevel="2" x14ac:dyDescent="0.25">
      <c r="A1638" t="str">
        <f t="shared" si="260"/>
        <v>AK9 - 2012</v>
      </c>
      <c r="B1638" t="s">
        <v>38</v>
      </c>
      <c r="C1638">
        <v>10</v>
      </c>
      <c r="D1638">
        <v>27</v>
      </c>
      <c r="E1638">
        <v>2012</v>
      </c>
      <c r="F1638">
        <v>304.2</v>
      </c>
      <c r="G1638">
        <v>3</v>
      </c>
      <c r="H1638">
        <v>2.7</v>
      </c>
      <c r="I1638">
        <v>0.3</v>
      </c>
      <c r="J1638">
        <v>10</v>
      </c>
      <c r="K1638">
        <v>57.1</v>
      </c>
      <c r="L1638">
        <v>2907.2</v>
      </c>
      <c r="M1638">
        <v>405</v>
      </c>
      <c r="N1638">
        <v>392</v>
      </c>
      <c r="O1638">
        <v>522</v>
      </c>
      <c r="P1638">
        <v>130</v>
      </c>
      <c r="Q1638">
        <v>347</v>
      </c>
      <c r="R1638">
        <v>522</v>
      </c>
      <c r="S1638">
        <v>175</v>
      </c>
      <c r="T1638">
        <v>289.5</v>
      </c>
      <c r="U1638">
        <v>393</v>
      </c>
      <c r="V1638">
        <v>393</v>
      </c>
      <c r="W1638">
        <v>500</v>
      </c>
      <c r="X1638">
        <v>2.79</v>
      </c>
    </row>
    <row r="1639" spans="1:24" hidden="1" outlineLevel="2" x14ac:dyDescent="0.25">
      <c r="A1639" t="str">
        <f t="shared" si="260"/>
        <v>AK9 - 2012</v>
      </c>
      <c r="B1639" t="s">
        <v>38</v>
      </c>
      <c r="C1639">
        <v>11</v>
      </c>
      <c r="D1639">
        <v>27</v>
      </c>
      <c r="E1639">
        <v>2012</v>
      </c>
      <c r="F1639">
        <v>351.8</v>
      </c>
      <c r="G1639">
        <v>5.4</v>
      </c>
      <c r="H1639">
        <v>5.0999999999999996</v>
      </c>
      <c r="I1639">
        <v>0.3</v>
      </c>
      <c r="J1639">
        <v>5</v>
      </c>
      <c r="K1639">
        <v>118.4</v>
      </c>
      <c r="L1639">
        <v>3888.1</v>
      </c>
      <c r="M1639">
        <v>400</v>
      </c>
      <c r="N1639">
        <v>390</v>
      </c>
      <c r="O1639">
        <v>568</v>
      </c>
      <c r="P1639">
        <v>178</v>
      </c>
      <c r="Q1639">
        <v>106</v>
      </c>
      <c r="R1639">
        <v>568</v>
      </c>
      <c r="S1639">
        <v>462</v>
      </c>
      <c r="T1639">
        <v>331.8</v>
      </c>
      <c r="U1639">
        <v>389</v>
      </c>
      <c r="V1639">
        <v>385</v>
      </c>
      <c r="W1639">
        <v>500</v>
      </c>
      <c r="X1639">
        <v>2.79</v>
      </c>
    </row>
    <row r="1640" spans="1:24" hidden="1" outlineLevel="2" x14ac:dyDescent="0.25">
      <c r="A1640" t="str">
        <f t="shared" si="260"/>
        <v>AK9 - 2012</v>
      </c>
      <c r="B1640" t="s">
        <v>38</v>
      </c>
      <c r="C1640">
        <v>13</v>
      </c>
      <c r="D1640">
        <v>27</v>
      </c>
      <c r="E1640">
        <v>2012</v>
      </c>
      <c r="F1640">
        <v>306.8</v>
      </c>
      <c r="G1640">
        <v>1.5</v>
      </c>
      <c r="H1640">
        <v>1.2</v>
      </c>
      <c r="I1640">
        <v>0.3</v>
      </c>
      <c r="J1640">
        <v>20</v>
      </c>
      <c r="K1640">
        <v>28.8</v>
      </c>
      <c r="L1640">
        <v>2957.1</v>
      </c>
      <c r="M1640">
        <v>463</v>
      </c>
      <c r="N1640">
        <v>433</v>
      </c>
      <c r="O1640">
        <v>584</v>
      </c>
      <c r="P1640">
        <v>151</v>
      </c>
      <c r="Q1640">
        <v>376</v>
      </c>
      <c r="R1640">
        <v>584</v>
      </c>
      <c r="S1640">
        <v>208</v>
      </c>
      <c r="T1640">
        <v>286.8</v>
      </c>
      <c r="U1640">
        <v>408</v>
      </c>
      <c r="V1640">
        <v>398</v>
      </c>
      <c r="W1640">
        <v>500</v>
      </c>
      <c r="X1640">
        <v>2.79</v>
      </c>
    </row>
    <row r="1641" spans="1:24" hidden="1" outlineLevel="2" x14ac:dyDescent="0.25">
      <c r="A1641" t="str">
        <f t="shared" si="260"/>
        <v>AK9 - 2012</v>
      </c>
      <c r="B1641" t="s">
        <v>38</v>
      </c>
      <c r="C1641">
        <v>14</v>
      </c>
      <c r="D1641">
        <v>27</v>
      </c>
      <c r="E1641">
        <v>2012</v>
      </c>
      <c r="F1641">
        <v>198.4</v>
      </c>
      <c r="G1641">
        <v>3.3</v>
      </c>
      <c r="H1641">
        <v>3</v>
      </c>
      <c r="I1641">
        <v>0.3</v>
      </c>
      <c r="J1641">
        <v>9</v>
      </c>
      <c r="K1641">
        <v>40.799999999999997</v>
      </c>
      <c r="L1641">
        <v>1236.5999999999999</v>
      </c>
      <c r="M1641">
        <v>408</v>
      </c>
      <c r="N1641">
        <v>395</v>
      </c>
      <c r="O1641">
        <v>543</v>
      </c>
      <c r="P1641">
        <v>148</v>
      </c>
      <c r="Q1641">
        <v>350</v>
      </c>
      <c r="R1641">
        <v>543</v>
      </c>
      <c r="S1641">
        <v>193</v>
      </c>
      <c r="T1641">
        <v>173.4</v>
      </c>
      <c r="U1641">
        <v>385</v>
      </c>
      <c r="V1641">
        <v>377</v>
      </c>
      <c r="W1641">
        <v>500</v>
      </c>
      <c r="X1641">
        <v>2.79</v>
      </c>
    </row>
    <row r="1642" spans="1:24" outlineLevel="1" collapsed="1" x14ac:dyDescent="0.25">
      <c r="A1642" s="8" t="s">
        <v>168</v>
      </c>
      <c r="D1642">
        <f t="shared" ref="D1642:V1642" si="261">SUBTOTAL(1,D1631:D1641)</f>
        <v>26.90909090909091</v>
      </c>
      <c r="E1642">
        <f t="shared" si="261"/>
        <v>2012</v>
      </c>
      <c r="F1642">
        <f t="shared" si="261"/>
        <v>263.86363636363643</v>
      </c>
      <c r="G1642">
        <f t="shared" si="261"/>
        <v>2.8090909090909091</v>
      </c>
      <c r="H1642">
        <f t="shared" si="261"/>
        <v>2.5363636363636366</v>
      </c>
      <c r="I1642">
        <f t="shared" si="261"/>
        <v>0.27272727272727271</v>
      </c>
      <c r="J1642">
        <f t="shared" si="261"/>
        <v>12.272727272727273</v>
      </c>
      <c r="K1642">
        <f t="shared" si="261"/>
        <v>47.56363636363637</v>
      </c>
      <c r="L1642">
        <f t="shared" si="261"/>
        <v>2252.8545454545451</v>
      </c>
      <c r="M1642">
        <f t="shared" si="261"/>
        <v>427.09090909090907</v>
      </c>
      <c r="N1642">
        <f t="shared" si="261"/>
        <v>414.09090909090907</v>
      </c>
      <c r="O1642">
        <f t="shared" si="261"/>
        <v>545.33333333333337</v>
      </c>
      <c r="P1642">
        <f t="shared" si="261"/>
        <v>136.22222222222223</v>
      </c>
      <c r="Q1642">
        <f t="shared" si="261"/>
        <v>336.54545454545456</v>
      </c>
      <c r="R1642">
        <f t="shared" si="261"/>
        <v>537.63636363636363</v>
      </c>
      <c r="S1642">
        <f t="shared" si="261"/>
        <v>201.09090909090909</v>
      </c>
      <c r="T1642">
        <f t="shared" si="261"/>
        <v>247.25454545454548</v>
      </c>
      <c r="U1642">
        <f t="shared" si="261"/>
        <v>401.54545454545456</v>
      </c>
      <c r="V1642">
        <f t="shared" si="261"/>
        <v>393.09090909090907</v>
      </c>
    </row>
    <row r="1643" spans="1:24" x14ac:dyDescent="0.25">
      <c r="A1643" s="8" t="s">
        <v>195</v>
      </c>
      <c r="D1643">
        <f t="shared" ref="D1643:V1643" si="262">SUBTOTAL(1,D2:D1641)</f>
        <v>14.670869276708693</v>
      </c>
      <c r="E1643">
        <f t="shared" si="262"/>
        <v>1999.6456536164565</v>
      </c>
      <c r="F1643">
        <f t="shared" si="262"/>
        <v>162.85189117451876</v>
      </c>
      <c r="G1643">
        <f t="shared" si="262"/>
        <v>9.5364299933643117</v>
      </c>
      <c r="H1643">
        <f t="shared" si="262"/>
        <v>8.2174518911745178</v>
      </c>
      <c r="I1643">
        <f t="shared" si="262"/>
        <v>0.86775049767750168</v>
      </c>
      <c r="J1643">
        <f t="shared" si="262"/>
        <v>12.597213005972129</v>
      </c>
      <c r="K1643">
        <f t="shared" si="262"/>
        <v>73.171134704711477</v>
      </c>
      <c r="L1643">
        <f t="shared" si="262"/>
        <v>991.64558725945608</v>
      </c>
      <c r="M1643">
        <f t="shared" si="262"/>
        <v>404.65096217650961</v>
      </c>
      <c r="N1643">
        <f t="shared" si="262"/>
        <v>386.31453218314533</v>
      </c>
      <c r="O1643">
        <f t="shared" si="262"/>
        <v>535.56144578313251</v>
      </c>
      <c r="P1643">
        <f t="shared" si="262"/>
        <v>146.30763052208835</v>
      </c>
      <c r="Q1643">
        <f t="shared" si="262"/>
        <v>327.24751161247514</v>
      </c>
      <c r="R1643">
        <f t="shared" si="262"/>
        <v>539.55806237558068</v>
      </c>
      <c r="S1643">
        <f t="shared" si="262"/>
        <v>212.31055076310551</v>
      </c>
      <c r="T1643">
        <f t="shared" si="262"/>
        <v>226.53224950232254</v>
      </c>
      <c r="U1643">
        <f t="shared" si="262"/>
        <v>404.1247511612475</v>
      </c>
      <c r="V1643">
        <f t="shared" si="262"/>
        <v>400.98938287989381</v>
      </c>
    </row>
  </sheetData>
  <sortState xmlns:xlrd2="http://schemas.microsoft.com/office/spreadsheetml/2017/richdata2" ref="A2:XFD1508">
    <sortCondition ref="A2:A150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69"/>
  <sheetViews>
    <sheetView workbookViewId="0">
      <selection sqref="A1:XFD1048576"/>
    </sheetView>
  </sheetViews>
  <sheetFormatPr defaultRowHeight="15" x14ac:dyDescent="0.25"/>
  <cols>
    <col min="4" max="7" width="9.140625" style="5"/>
    <col min="8" max="8" width="9.140625" style="6"/>
    <col min="9" max="10" width="9.140625" style="5"/>
    <col min="11" max="17" width="9.140625" style="6"/>
    <col min="18" max="18" width="9.140625" style="5"/>
    <col min="19" max="20" width="9.140625" style="6"/>
  </cols>
  <sheetData>
    <row r="1" spans="1:22" x14ac:dyDescent="0.25">
      <c r="A1" t="s">
        <v>196</v>
      </c>
      <c r="B1" t="s">
        <v>0</v>
      </c>
      <c r="C1" t="s">
        <v>3</v>
      </c>
      <c r="D1" s="5" t="s">
        <v>41</v>
      </c>
      <c r="E1" s="5" t="s">
        <v>42</v>
      </c>
      <c r="F1" s="5" t="s">
        <v>43</v>
      </c>
      <c r="G1" s="5" t="s">
        <v>44</v>
      </c>
      <c r="H1" s="6" t="s">
        <v>45</v>
      </c>
      <c r="I1" s="5" t="s">
        <v>46</v>
      </c>
      <c r="J1" s="5" t="s">
        <v>47</v>
      </c>
      <c r="K1" s="6" t="s">
        <v>48</v>
      </c>
      <c r="L1" s="6" t="s">
        <v>49</v>
      </c>
      <c r="M1" s="6" t="s">
        <v>50</v>
      </c>
      <c r="N1" s="6" t="s">
        <v>51</v>
      </c>
      <c r="O1" s="6" t="s">
        <v>52</v>
      </c>
      <c r="P1" s="6" t="s">
        <v>53</v>
      </c>
      <c r="Q1" s="6" t="s">
        <v>54</v>
      </c>
      <c r="R1" s="5" t="s">
        <v>55</v>
      </c>
      <c r="S1" s="6" t="s">
        <v>56</v>
      </c>
      <c r="T1" s="6" t="s">
        <v>57</v>
      </c>
      <c r="U1" t="s">
        <v>58</v>
      </c>
      <c r="V1" t="s">
        <v>59</v>
      </c>
    </row>
    <row r="2" spans="1:22" x14ac:dyDescent="0.25">
      <c r="A2" t="s">
        <v>61</v>
      </c>
      <c r="C2">
        <v>1985</v>
      </c>
      <c r="D2" s="5">
        <v>3.3</v>
      </c>
      <c r="E2" s="5">
        <v>3.3</v>
      </c>
      <c r="F2" s="5">
        <v>3.3</v>
      </c>
      <c r="G2" s="5">
        <v>0</v>
      </c>
      <c r="H2" s="6">
        <v>0</v>
      </c>
      <c r="I2" s="5">
        <v>0.4</v>
      </c>
      <c r="J2" s="5">
        <v>0.4</v>
      </c>
      <c r="K2" s="6">
        <v>377.5</v>
      </c>
      <c r="L2" s="6">
        <v>377.5</v>
      </c>
      <c r="M2" s="6">
        <v>0</v>
      </c>
      <c r="N2" s="6">
        <v>0</v>
      </c>
      <c r="O2" s="6">
        <v>307</v>
      </c>
      <c r="P2" s="6">
        <v>442</v>
      </c>
      <c r="Q2" s="6">
        <v>135</v>
      </c>
      <c r="R2" s="5">
        <v>205.2</v>
      </c>
      <c r="S2" s="6">
        <v>395.5</v>
      </c>
      <c r="T2" s="6">
        <v>397</v>
      </c>
    </row>
    <row r="3" spans="1:22" x14ac:dyDescent="0.25">
      <c r="A3" t="s">
        <v>62</v>
      </c>
      <c r="C3">
        <v>1986</v>
      </c>
      <c r="D3" s="5">
        <v>15.074999999999999</v>
      </c>
      <c r="E3" s="5">
        <v>13.425000000000001</v>
      </c>
      <c r="F3" s="5">
        <v>10.425000000000001</v>
      </c>
      <c r="G3" s="5">
        <v>0</v>
      </c>
      <c r="H3" s="6">
        <v>0</v>
      </c>
      <c r="I3" s="5">
        <v>8.375</v>
      </c>
      <c r="J3" s="5">
        <v>8.5749999999999993</v>
      </c>
      <c r="K3" s="6">
        <v>350</v>
      </c>
      <c r="L3" s="6">
        <v>350</v>
      </c>
      <c r="M3" s="6">
        <v>0</v>
      </c>
      <c r="N3" s="6">
        <v>0</v>
      </c>
      <c r="O3" s="6">
        <v>291.25</v>
      </c>
      <c r="P3" s="6">
        <v>434</v>
      </c>
      <c r="Q3" s="6">
        <v>142.75</v>
      </c>
      <c r="R3" s="5">
        <v>238.57499999999999</v>
      </c>
      <c r="S3" s="6">
        <v>400.25</v>
      </c>
      <c r="T3" s="6">
        <v>403</v>
      </c>
    </row>
    <row r="4" spans="1:22" x14ac:dyDescent="0.25">
      <c r="A4" t="s">
        <v>63</v>
      </c>
      <c r="C4">
        <v>1987</v>
      </c>
      <c r="D4" s="5">
        <v>30.087499999999999</v>
      </c>
      <c r="E4" s="5">
        <v>22.55</v>
      </c>
      <c r="F4" s="5">
        <v>17.55</v>
      </c>
      <c r="G4" s="5">
        <v>0</v>
      </c>
      <c r="H4" s="6">
        <v>0</v>
      </c>
      <c r="I4" s="5">
        <v>26.412500000000001</v>
      </c>
      <c r="J4" s="5">
        <v>30.712499999999999</v>
      </c>
      <c r="K4" s="6">
        <v>346</v>
      </c>
      <c r="L4" s="6">
        <v>346</v>
      </c>
      <c r="M4" s="6">
        <v>0</v>
      </c>
      <c r="N4" s="6">
        <v>0</v>
      </c>
      <c r="O4" s="6">
        <v>250.875</v>
      </c>
      <c r="P4" s="6">
        <v>469.625</v>
      </c>
      <c r="Q4" s="6">
        <v>218.75</v>
      </c>
      <c r="R4" s="5">
        <v>231.22499999999999</v>
      </c>
      <c r="S4" s="6">
        <v>406.875</v>
      </c>
      <c r="T4" s="6">
        <v>406.625</v>
      </c>
    </row>
    <row r="5" spans="1:22" x14ac:dyDescent="0.25">
      <c r="A5" t="s">
        <v>64</v>
      </c>
      <c r="C5">
        <v>1988</v>
      </c>
      <c r="D5" s="5">
        <v>44.835714289999999</v>
      </c>
      <c r="E5" s="5">
        <v>27.64285714</v>
      </c>
      <c r="F5" s="5">
        <v>21.06428571</v>
      </c>
      <c r="G5" s="5">
        <v>0.15</v>
      </c>
      <c r="H5" s="6">
        <v>0.85714285700000004</v>
      </c>
      <c r="I5" s="5">
        <v>50.264285710000003</v>
      </c>
      <c r="J5" s="5">
        <v>67.807142859999999</v>
      </c>
      <c r="K5" s="6">
        <v>348.7857143</v>
      </c>
      <c r="L5" s="6">
        <v>347.2857143</v>
      </c>
      <c r="M5" s="6">
        <v>144.7857143</v>
      </c>
      <c r="N5" s="6">
        <v>42.285714290000001</v>
      </c>
      <c r="O5" s="6">
        <v>272.35714289999999</v>
      </c>
      <c r="P5" s="6">
        <v>466.07142859999999</v>
      </c>
      <c r="Q5" s="6">
        <v>193.7142857</v>
      </c>
      <c r="R5" s="5">
        <v>221.63571429999999</v>
      </c>
      <c r="S5" s="6">
        <v>404.92857140000001</v>
      </c>
      <c r="T5" s="6">
        <v>402.14285710000001</v>
      </c>
    </row>
    <row r="6" spans="1:22" x14ac:dyDescent="0.25">
      <c r="A6" t="s">
        <v>65</v>
      </c>
      <c r="C6">
        <v>1989</v>
      </c>
      <c r="D6" s="5">
        <v>57.62</v>
      </c>
      <c r="E6" s="5">
        <v>15.77333333</v>
      </c>
      <c r="F6" s="5">
        <v>15.06</v>
      </c>
      <c r="G6" s="5">
        <v>0.38</v>
      </c>
      <c r="H6" s="6">
        <v>2.1333333329999999</v>
      </c>
      <c r="I6" s="5">
        <v>48.933333330000004</v>
      </c>
      <c r="J6" s="5">
        <v>112.2</v>
      </c>
      <c r="K6" s="6">
        <v>354.6</v>
      </c>
      <c r="L6" s="6">
        <v>350.6</v>
      </c>
      <c r="M6" s="6">
        <v>380.06666669999998</v>
      </c>
      <c r="N6" s="6">
        <v>118.8666667</v>
      </c>
      <c r="O6" s="6">
        <v>287.66666670000001</v>
      </c>
      <c r="P6" s="6">
        <v>506.8</v>
      </c>
      <c r="Q6" s="6">
        <v>219.1333333</v>
      </c>
      <c r="R6" s="5">
        <v>214.06</v>
      </c>
      <c r="S6" s="6">
        <v>403.8666667</v>
      </c>
      <c r="T6" s="6">
        <v>401.4</v>
      </c>
    </row>
    <row r="7" spans="1:22" x14ac:dyDescent="0.25">
      <c r="A7" t="s">
        <v>66</v>
      </c>
      <c r="C7">
        <v>1990</v>
      </c>
      <c r="D7" s="5">
        <v>70.72</v>
      </c>
      <c r="E7" s="5">
        <v>13.1</v>
      </c>
      <c r="F7" s="5">
        <v>12.52</v>
      </c>
      <c r="G7" s="5">
        <v>0.57999999999999996</v>
      </c>
      <c r="H7" s="6">
        <v>4.4666666670000001</v>
      </c>
      <c r="I7" s="5">
        <v>53.95333333</v>
      </c>
      <c r="J7" s="5">
        <v>166.16</v>
      </c>
      <c r="K7" s="6">
        <v>357.46666670000002</v>
      </c>
      <c r="L7" s="6">
        <v>349.46666670000002</v>
      </c>
      <c r="M7" s="6">
        <v>418.4</v>
      </c>
      <c r="N7" s="6">
        <v>138</v>
      </c>
      <c r="O7" s="6">
        <v>284.8666667</v>
      </c>
      <c r="P7" s="6">
        <v>523.33333330000005</v>
      </c>
      <c r="Q7" s="6">
        <v>238.46666669999999</v>
      </c>
      <c r="R7" s="5">
        <v>214.06</v>
      </c>
      <c r="S7" s="6">
        <v>403.8666667</v>
      </c>
      <c r="T7" s="6">
        <v>401.4</v>
      </c>
    </row>
    <row r="8" spans="1:22" x14ac:dyDescent="0.25">
      <c r="A8" t="s">
        <v>67</v>
      </c>
      <c r="C8">
        <v>1991</v>
      </c>
      <c r="D8" s="5">
        <v>82.82</v>
      </c>
      <c r="E8" s="5">
        <v>12.1</v>
      </c>
      <c r="F8" s="5">
        <v>10.96</v>
      </c>
      <c r="G8" s="5">
        <v>1.1399999999999999</v>
      </c>
      <c r="H8" s="6">
        <v>9.7333333329999991</v>
      </c>
      <c r="I8" s="5">
        <v>58.513333330000002</v>
      </c>
      <c r="J8" s="5">
        <v>224.6733333</v>
      </c>
      <c r="K8" s="6">
        <v>374.26666669999997</v>
      </c>
      <c r="L8" s="6">
        <v>357.33333329999999</v>
      </c>
      <c r="M8" s="6">
        <v>490.53333329999998</v>
      </c>
      <c r="N8" s="6">
        <v>156.93333329999999</v>
      </c>
      <c r="O8" s="6">
        <v>294.06666669999998</v>
      </c>
      <c r="P8" s="6">
        <v>538.26666669999997</v>
      </c>
      <c r="Q8" s="6">
        <v>244.2</v>
      </c>
      <c r="R8" s="5">
        <v>214.06</v>
      </c>
      <c r="S8" s="6">
        <v>403.8666667</v>
      </c>
      <c r="T8" s="6">
        <v>401.4</v>
      </c>
    </row>
    <row r="9" spans="1:22" x14ac:dyDescent="0.25">
      <c r="A9" t="s">
        <v>68</v>
      </c>
      <c r="C9">
        <v>1992</v>
      </c>
      <c r="D9" s="5">
        <v>97.52</v>
      </c>
      <c r="E9" s="5">
        <v>14.7</v>
      </c>
      <c r="F9" s="5">
        <v>13.6</v>
      </c>
      <c r="G9" s="5">
        <v>1.1000000000000001</v>
      </c>
      <c r="H9" s="6">
        <v>7.4</v>
      </c>
      <c r="I9" s="5">
        <v>84.54</v>
      </c>
      <c r="J9" s="5">
        <v>309.18666669999999</v>
      </c>
      <c r="K9" s="6">
        <v>373.73333330000003</v>
      </c>
      <c r="L9" s="6">
        <v>361.4</v>
      </c>
      <c r="M9" s="6">
        <v>419.2</v>
      </c>
      <c r="N9" s="6">
        <v>126.8666667</v>
      </c>
      <c r="O9" s="6">
        <v>302.66666670000001</v>
      </c>
      <c r="P9" s="6">
        <v>529.66666669999995</v>
      </c>
      <c r="Q9" s="6">
        <v>227</v>
      </c>
      <c r="R9" s="5">
        <v>214.06</v>
      </c>
      <c r="S9" s="6">
        <v>403.8666667</v>
      </c>
      <c r="T9" s="6">
        <v>401.4</v>
      </c>
    </row>
    <row r="10" spans="1:22" x14ac:dyDescent="0.25">
      <c r="A10" t="s">
        <v>69</v>
      </c>
      <c r="C10">
        <v>1993</v>
      </c>
      <c r="D10" s="5">
        <v>110.46</v>
      </c>
      <c r="E10" s="5">
        <v>12.94</v>
      </c>
      <c r="F10" s="5">
        <v>11.72</v>
      </c>
      <c r="G10" s="5">
        <v>1.22</v>
      </c>
      <c r="H10" s="6">
        <v>9</v>
      </c>
      <c r="I10" s="5">
        <v>85.82</v>
      </c>
      <c r="J10" s="5">
        <v>395.0133333</v>
      </c>
      <c r="K10" s="6">
        <v>375.2</v>
      </c>
      <c r="L10" s="6">
        <v>360.53333329999998</v>
      </c>
      <c r="M10" s="6">
        <v>451.6</v>
      </c>
      <c r="N10" s="6">
        <v>135.46666669999999</v>
      </c>
      <c r="O10" s="6">
        <v>296.06666669999998</v>
      </c>
      <c r="P10" s="6">
        <v>529</v>
      </c>
      <c r="Q10" s="6">
        <v>232.93333329999999</v>
      </c>
      <c r="R10" s="5">
        <v>214.06</v>
      </c>
      <c r="S10" s="6">
        <v>403.8666667</v>
      </c>
      <c r="T10" s="6">
        <v>401.4</v>
      </c>
    </row>
    <row r="11" spans="1:22" x14ac:dyDescent="0.25">
      <c r="A11" t="s">
        <v>70</v>
      </c>
      <c r="C11">
        <v>1994</v>
      </c>
      <c r="D11" s="5">
        <v>122.36</v>
      </c>
      <c r="E11" s="5">
        <v>11.9</v>
      </c>
      <c r="F11" s="5">
        <v>11</v>
      </c>
      <c r="G11" s="5">
        <v>0.9</v>
      </c>
      <c r="H11" s="6">
        <v>7.9333333330000002</v>
      </c>
      <c r="I11" s="5">
        <v>89.066666670000004</v>
      </c>
      <c r="J11" s="5">
        <v>484.09333329999998</v>
      </c>
      <c r="K11" s="6">
        <v>385</v>
      </c>
      <c r="L11" s="6">
        <v>372.46666670000002</v>
      </c>
      <c r="M11" s="6">
        <v>531.4</v>
      </c>
      <c r="N11" s="6">
        <v>158.93333329999999</v>
      </c>
      <c r="O11" s="6">
        <v>302.33333329999999</v>
      </c>
      <c r="P11" s="6">
        <v>543.8666667</v>
      </c>
      <c r="Q11" s="6">
        <v>241.53333330000001</v>
      </c>
      <c r="R11" s="5">
        <v>214.06</v>
      </c>
      <c r="S11" s="6">
        <v>403.8666667</v>
      </c>
      <c r="T11" s="6">
        <v>401.4</v>
      </c>
    </row>
    <row r="12" spans="1:22" x14ac:dyDescent="0.25">
      <c r="A12" t="s">
        <v>71</v>
      </c>
      <c r="C12">
        <v>1995</v>
      </c>
      <c r="D12" s="5">
        <v>132.56</v>
      </c>
      <c r="E12" s="5">
        <v>10.199999999999999</v>
      </c>
      <c r="F12" s="5">
        <v>9.4</v>
      </c>
      <c r="G12" s="5">
        <v>0.8</v>
      </c>
      <c r="H12" s="6">
        <v>7.8666666669999996</v>
      </c>
      <c r="I12" s="5">
        <v>82.28</v>
      </c>
      <c r="J12" s="5">
        <v>566.3666667</v>
      </c>
      <c r="K12" s="6">
        <v>389</v>
      </c>
      <c r="L12" s="6">
        <v>376.26666669999997</v>
      </c>
      <c r="M12" s="6">
        <v>427.66666670000001</v>
      </c>
      <c r="N12" s="6">
        <v>126.6</v>
      </c>
      <c r="O12" s="6">
        <v>304.53333329999998</v>
      </c>
      <c r="P12" s="6">
        <v>540.73333330000003</v>
      </c>
      <c r="Q12" s="6">
        <v>236.2</v>
      </c>
      <c r="R12" s="5">
        <v>214.06</v>
      </c>
      <c r="S12" s="6">
        <v>403.8666667</v>
      </c>
      <c r="T12" s="6">
        <v>401.4</v>
      </c>
    </row>
    <row r="13" spans="1:22" x14ac:dyDescent="0.25">
      <c r="A13" t="s">
        <v>72</v>
      </c>
      <c r="C13">
        <v>1996</v>
      </c>
      <c r="D13" s="5">
        <v>142.30000000000001</v>
      </c>
      <c r="E13" s="5">
        <v>9.74</v>
      </c>
      <c r="F13" s="5">
        <v>8.58</v>
      </c>
      <c r="G13" s="5">
        <v>1.1599999999999999</v>
      </c>
      <c r="H13" s="6">
        <v>11.33333333</v>
      </c>
      <c r="I13" s="5">
        <v>86.066666670000004</v>
      </c>
      <c r="J13" s="5">
        <v>652.44000000000005</v>
      </c>
      <c r="K13" s="6">
        <v>381.73333330000003</v>
      </c>
      <c r="L13" s="6">
        <v>362.4</v>
      </c>
      <c r="M13" s="6">
        <v>525.26666669999997</v>
      </c>
      <c r="N13" s="6">
        <v>162.8666667</v>
      </c>
      <c r="O13" s="6">
        <v>302.8666667</v>
      </c>
      <c r="P13" s="6">
        <v>541.79999999999995</v>
      </c>
      <c r="Q13" s="6">
        <v>238.93333329999999</v>
      </c>
      <c r="R13" s="5">
        <v>214.06</v>
      </c>
      <c r="S13" s="6">
        <v>403.8666667</v>
      </c>
      <c r="T13" s="6">
        <v>401.4</v>
      </c>
    </row>
    <row r="14" spans="1:22" x14ac:dyDescent="0.25">
      <c r="A14" t="s">
        <v>73</v>
      </c>
      <c r="C14">
        <v>1997</v>
      </c>
      <c r="D14" s="5">
        <v>153.13999999999999</v>
      </c>
      <c r="E14" s="5">
        <v>10.84</v>
      </c>
      <c r="F14" s="5">
        <v>9.42</v>
      </c>
      <c r="G14" s="5">
        <v>1.42</v>
      </c>
      <c r="H14" s="6">
        <v>13.4</v>
      </c>
      <c r="I14" s="5">
        <v>103.7333333</v>
      </c>
      <c r="J14" s="5">
        <v>756.16666669999995</v>
      </c>
      <c r="K14" s="6">
        <v>392.1333333</v>
      </c>
      <c r="L14" s="6">
        <v>370.66666670000001</v>
      </c>
      <c r="M14" s="6">
        <v>529.06666670000004</v>
      </c>
      <c r="N14" s="6">
        <v>158.4</v>
      </c>
      <c r="O14" s="6">
        <v>315.46666670000002</v>
      </c>
      <c r="P14" s="6">
        <v>548.8666667</v>
      </c>
      <c r="Q14" s="6">
        <v>233.4</v>
      </c>
      <c r="R14" s="5">
        <v>214.06</v>
      </c>
      <c r="S14" s="6">
        <v>403.8666667</v>
      </c>
      <c r="T14" s="6">
        <v>401.4</v>
      </c>
    </row>
    <row r="15" spans="1:22" x14ac:dyDescent="0.25">
      <c r="A15" t="s">
        <v>74</v>
      </c>
      <c r="C15">
        <v>1998</v>
      </c>
      <c r="D15" s="5">
        <v>160.32</v>
      </c>
      <c r="E15" s="5">
        <v>7.18</v>
      </c>
      <c r="F15" s="5">
        <v>5.9</v>
      </c>
      <c r="G15" s="5">
        <v>1.28</v>
      </c>
      <c r="H15" s="6">
        <v>17.600000000000001</v>
      </c>
      <c r="I15" s="5">
        <v>72.293333329999996</v>
      </c>
      <c r="J15" s="5">
        <v>828.44666670000004</v>
      </c>
      <c r="K15" s="6">
        <v>408.4</v>
      </c>
      <c r="L15" s="6">
        <v>380.73333330000003</v>
      </c>
      <c r="M15" s="6">
        <v>537.79999999999995</v>
      </c>
      <c r="N15" s="6">
        <v>157.06666670000001</v>
      </c>
      <c r="O15" s="6">
        <v>315.39999999999998</v>
      </c>
      <c r="P15" s="6">
        <v>561.6</v>
      </c>
      <c r="Q15" s="6">
        <v>246.2</v>
      </c>
      <c r="R15" s="5">
        <v>214.06</v>
      </c>
      <c r="S15" s="6">
        <v>403.8666667</v>
      </c>
      <c r="T15" s="6">
        <v>401.4</v>
      </c>
    </row>
    <row r="16" spans="1:22" x14ac:dyDescent="0.25">
      <c r="A16" t="s">
        <v>75</v>
      </c>
      <c r="C16">
        <v>1999</v>
      </c>
      <c r="D16" s="5">
        <v>168.36</v>
      </c>
      <c r="E16" s="5">
        <v>8.0399999999999991</v>
      </c>
      <c r="F16" s="5">
        <v>7.32</v>
      </c>
      <c r="G16" s="5">
        <v>0.72</v>
      </c>
      <c r="H16" s="6">
        <v>9.1333333329999995</v>
      </c>
      <c r="I16" s="5">
        <v>85.653333329999995</v>
      </c>
      <c r="J16" s="5">
        <v>914.10666670000001</v>
      </c>
      <c r="K16" s="6">
        <v>403.26666669999997</v>
      </c>
      <c r="L16" s="6">
        <v>390.1333333</v>
      </c>
      <c r="M16" s="6">
        <v>394.8</v>
      </c>
      <c r="N16" s="6">
        <v>105.0666667</v>
      </c>
      <c r="O16" s="6">
        <v>337.2</v>
      </c>
      <c r="P16" s="6">
        <v>537.33333330000005</v>
      </c>
      <c r="Q16" s="6">
        <v>200.1333333</v>
      </c>
      <c r="R16" s="5">
        <v>214.06</v>
      </c>
      <c r="S16" s="6">
        <v>403.8666667</v>
      </c>
      <c r="T16" s="6">
        <v>401.4</v>
      </c>
    </row>
    <row r="17" spans="1:20" x14ac:dyDescent="0.25">
      <c r="A17" t="s">
        <v>76</v>
      </c>
      <c r="C17">
        <v>2000</v>
      </c>
      <c r="D17" s="5">
        <v>175.24</v>
      </c>
      <c r="E17" s="5">
        <v>6.88</v>
      </c>
      <c r="F17" s="5">
        <v>5.98</v>
      </c>
      <c r="G17" s="5">
        <v>0.9</v>
      </c>
      <c r="H17" s="6">
        <v>12.4</v>
      </c>
      <c r="I17" s="5">
        <v>76.806666669999998</v>
      </c>
      <c r="J17" s="5">
        <v>990.92</v>
      </c>
      <c r="K17" s="6">
        <v>400.46666670000002</v>
      </c>
      <c r="L17" s="6">
        <v>382</v>
      </c>
      <c r="M17" s="6">
        <v>501.2</v>
      </c>
      <c r="N17" s="6">
        <v>141.66666670000001</v>
      </c>
      <c r="O17" s="6">
        <v>315.53333329999998</v>
      </c>
      <c r="P17" s="6">
        <v>552</v>
      </c>
      <c r="Q17" s="6">
        <v>236.46666669999999</v>
      </c>
      <c r="R17" s="5">
        <v>214.06</v>
      </c>
      <c r="S17" s="6">
        <v>403.8666667</v>
      </c>
      <c r="T17" s="6">
        <v>401.4</v>
      </c>
    </row>
    <row r="18" spans="1:20" x14ac:dyDescent="0.25">
      <c r="A18" t="s">
        <v>77</v>
      </c>
      <c r="C18">
        <v>2001</v>
      </c>
      <c r="D18" s="5">
        <v>186.13571429999999</v>
      </c>
      <c r="E18" s="5">
        <v>6.45</v>
      </c>
      <c r="F18" s="5">
        <v>5.3571428570000004</v>
      </c>
      <c r="G18" s="5">
        <v>1.092857143</v>
      </c>
      <c r="H18" s="6">
        <v>15.71428571</v>
      </c>
      <c r="I18" s="5">
        <v>76.849999999999994</v>
      </c>
      <c r="J18" s="5">
        <v>1109.9000000000001</v>
      </c>
      <c r="K18" s="6">
        <v>411.64285710000001</v>
      </c>
      <c r="L18" s="6">
        <v>386.7142857</v>
      </c>
      <c r="M18" s="6">
        <v>510.7142857</v>
      </c>
      <c r="N18" s="6">
        <v>148</v>
      </c>
      <c r="O18" s="6">
        <v>341.92857140000001</v>
      </c>
      <c r="P18" s="6">
        <v>574.07142859999999</v>
      </c>
      <c r="Q18" s="6">
        <v>232.14285709999999</v>
      </c>
      <c r="R18" s="5">
        <v>221.63571429999999</v>
      </c>
      <c r="S18" s="6">
        <v>404.92857140000001</v>
      </c>
      <c r="T18" s="6">
        <v>402.14285710000001</v>
      </c>
    </row>
    <row r="19" spans="1:20" x14ac:dyDescent="0.25">
      <c r="A19" t="s">
        <v>78</v>
      </c>
      <c r="C19">
        <v>2002</v>
      </c>
      <c r="D19" s="5">
        <v>191.02142860000001</v>
      </c>
      <c r="E19" s="5">
        <v>4.8857142859999998</v>
      </c>
      <c r="F19" s="5">
        <v>3.771428571</v>
      </c>
      <c r="G19" s="5">
        <v>1.114285714</v>
      </c>
      <c r="H19" s="6">
        <v>22.64285714</v>
      </c>
      <c r="I19" s="5">
        <v>59.828571429999997</v>
      </c>
      <c r="J19" s="5">
        <v>1169.7285710000001</v>
      </c>
      <c r="K19" s="6">
        <v>429</v>
      </c>
      <c r="L19" s="6">
        <v>390.7857143</v>
      </c>
      <c r="M19" s="6">
        <v>563.57142859999999</v>
      </c>
      <c r="N19" s="6">
        <v>172.7857143</v>
      </c>
      <c r="O19" s="6">
        <v>334.2857143</v>
      </c>
      <c r="P19" s="6">
        <v>593.35714289999999</v>
      </c>
      <c r="Q19" s="6">
        <v>259.07142859999999</v>
      </c>
      <c r="R19" s="5">
        <v>221.63571429999999</v>
      </c>
      <c r="S19" s="6">
        <v>404.92857140000001</v>
      </c>
      <c r="T19" s="6">
        <v>402.14285710000001</v>
      </c>
    </row>
    <row r="20" spans="1:20" x14ac:dyDescent="0.25">
      <c r="A20" t="s">
        <v>79</v>
      </c>
      <c r="C20">
        <v>2003</v>
      </c>
      <c r="D20" s="5">
        <v>196.7214286</v>
      </c>
      <c r="E20" s="5">
        <v>5.7</v>
      </c>
      <c r="F20" s="5">
        <v>4.7785714290000003</v>
      </c>
      <c r="G20" s="5">
        <v>0.92142857099999997</v>
      </c>
      <c r="H20" s="6">
        <v>16.428571430000002</v>
      </c>
      <c r="I20" s="5">
        <v>72.307142859999999</v>
      </c>
      <c r="J20" s="5">
        <v>1242.0357140000001</v>
      </c>
      <c r="K20" s="6">
        <v>421.64285710000001</v>
      </c>
      <c r="L20" s="6">
        <v>398.85714289999999</v>
      </c>
      <c r="M20" s="6">
        <v>466.57142859999999</v>
      </c>
      <c r="N20" s="6">
        <v>120.6428571</v>
      </c>
      <c r="O20" s="6">
        <v>359.92857140000001</v>
      </c>
      <c r="P20" s="6">
        <v>553.64285710000001</v>
      </c>
      <c r="Q20" s="6">
        <v>193.7142857</v>
      </c>
      <c r="R20" s="5">
        <v>221.63571429999999</v>
      </c>
      <c r="S20" s="6">
        <v>404.92857140000001</v>
      </c>
      <c r="T20" s="6">
        <v>402.14285710000001</v>
      </c>
    </row>
    <row r="21" spans="1:20" x14ac:dyDescent="0.25">
      <c r="A21" t="s">
        <v>80</v>
      </c>
      <c r="C21">
        <v>2004</v>
      </c>
      <c r="D21" s="5">
        <v>201.67142860000001</v>
      </c>
      <c r="E21" s="5">
        <v>4.95</v>
      </c>
      <c r="F21" s="5">
        <v>3.9</v>
      </c>
      <c r="G21" s="5">
        <v>1.05</v>
      </c>
      <c r="H21" s="6">
        <v>20.928571430000002</v>
      </c>
      <c r="I21" s="5">
        <v>64.378571429999994</v>
      </c>
      <c r="J21" s="5">
        <v>1306.45</v>
      </c>
      <c r="K21" s="6">
        <v>432.14285710000001</v>
      </c>
      <c r="L21" s="6">
        <v>401.07142859999999</v>
      </c>
      <c r="M21" s="6">
        <v>515.07142859999999</v>
      </c>
      <c r="N21" s="6">
        <v>137.5</v>
      </c>
      <c r="O21" s="6">
        <v>351.57142859999999</v>
      </c>
      <c r="P21" s="6">
        <v>575.64285710000001</v>
      </c>
      <c r="Q21" s="6">
        <v>224.07142859999999</v>
      </c>
      <c r="R21" s="5">
        <v>221.63571429999999</v>
      </c>
      <c r="S21" s="6">
        <v>404.92857140000001</v>
      </c>
      <c r="T21" s="6">
        <v>402.14285710000001</v>
      </c>
    </row>
    <row r="22" spans="1:20" x14ac:dyDescent="0.25">
      <c r="A22" t="s">
        <v>81</v>
      </c>
      <c r="C22">
        <v>2005</v>
      </c>
      <c r="D22" s="5">
        <v>206.10714290000001</v>
      </c>
      <c r="E22" s="5">
        <v>4.4357142859999996</v>
      </c>
      <c r="F22" s="5">
        <v>3.707142857</v>
      </c>
      <c r="G22" s="5">
        <v>0.72857142900000005</v>
      </c>
      <c r="H22" s="6">
        <v>16.64285714</v>
      </c>
      <c r="I22" s="5">
        <v>58.978571430000002</v>
      </c>
      <c r="J22" s="5">
        <v>1365.4285709999999</v>
      </c>
      <c r="K22" s="6">
        <v>433.7857143</v>
      </c>
      <c r="L22" s="6">
        <v>415.92857140000001</v>
      </c>
      <c r="M22" s="6">
        <v>459.2142857</v>
      </c>
      <c r="N22" s="6">
        <v>95.071428569999995</v>
      </c>
      <c r="O22" s="6">
        <v>368.7142857</v>
      </c>
      <c r="P22" s="6">
        <v>538.85714289999999</v>
      </c>
      <c r="Q22" s="6">
        <v>170.14285709999999</v>
      </c>
      <c r="R22" s="5">
        <v>221.63571429999999</v>
      </c>
      <c r="S22" s="6">
        <v>404.92857140000001</v>
      </c>
      <c r="T22" s="6">
        <v>402.14285710000001</v>
      </c>
    </row>
    <row r="23" spans="1:20" x14ac:dyDescent="0.25">
      <c r="A23" t="s">
        <v>82</v>
      </c>
      <c r="C23">
        <v>2006</v>
      </c>
      <c r="D23" s="5">
        <v>209.72857139999999</v>
      </c>
      <c r="E23" s="5">
        <v>3.621428571</v>
      </c>
      <c r="F23" s="5">
        <v>2.7428571430000002</v>
      </c>
      <c r="G23" s="5">
        <v>0.87857142899999996</v>
      </c>
      <c r="H23" s="6">
        <v>23.071428569999998</v>
      </c>
      <c r="I23" s="5">
        <v>49.021428569999998</v>
      </c>
      <c r="J23" s="5">
        <v>1414.442857</v>
      </c>
      <c r="K23" s="6">
        <v>439.85714289999999</v>
      </c>
      <c r="L23" s="6">
        <v>410.2857143</v>
      </c>
      <c r="M23" s="6">
        <v>425.92857140000001</v>
      </c>
      <c r="N23" s="6">
        <v>97.285714290000001</v>
      </c>
      <c r="O23" s="6">
        <v>350.92857140000001</v>
      </c>
      <c r="P23" s="6">
        <v>543</v>
      </c>
      <c r="Q23" s="6">
        <v>192.07142859999999</v>
      </c>
      <c r="R23" s="5">
        <v>221.63571429999999</v>
      </c>
      <c r="S23" s="6">
        <v>404.92857140000001</v>
      </c>
      <c r="T23" s="6">
        <v>402.14285710000001</v>
      </c>
    </row>
    <row r="24" spans="1:20" x14ac:dyDescent="0.25">
      <c r="A24" t="s">
        <v>83</v>
      </c>
      <c r="C24">
        <v>2007</v>
      </c>
      <c r="D24" s="5">
        <v>213.11428570000001</v>
      </c>
      <c r="E24" s="5">
        <v>3.3857142859999998</v>
      </c>
      <c r="F24" s="5">
        <v>1.8</v>
      </c>
      <c r="G24" s="5">
        <v>1.585714286</v>
      </c>
      <c r="H24" s="6">
        <v>41.5</v>
      </c>
      <c r="I24" s="5">
        <v>45.8</v>
      </c>
      <c r="J24" s="5">
        <v>1460.257143</v>
      </c>
      <c r="K24" s="6">
        <v>470.85714289999999</v>
      </c>
      <c r="L24" s="6">
        <v>417.35714289999999</v>
      </c>
      <c r="M24" s="6">
        <v>514.7142857</v>
      </c>
      <c r="N24" s="6">
        <v>122.7142857</v>
      </c>
      <c r="O24" s="6">
        <v>369.35714289999999</v>
      </c>
      <c r="P24" s="6">
        <v>587.7142857</v>
      </c>
      <c r="Q24" s="6">
        <v>218.35714290000001</v>
      </c>
      <c r="R24" s="5">
        <v>221.63571429999999</v>
      </c>
      <c r="S24" s="6">
        <v>404.92857140000001</v>
      </c>
      <c r="T24" s="6">
        <v>402.14285710000001</v>
      </c>
    </row>
    <row r="25" spans="1:20" x14ac:dyDescent="0.25">
      <c r="A25" t="s">
        <v>84</v>
      </c>
      <c r="C25">
        <v>2008</v>
      </c>
      <c r="D25" s="5">
        <v>217.20714290000001</v>
      </c>
      <c r="E25" s="5">
        <v>4.0928571429999998</v>
      </c>
      <c r="F25" s="5">
        <v>3.1928571429999999</v>
      </c>
      <c r="G25" s="5">
        <v>0.9</v>
      </c>
      <c r="H25" s="6">
        <v>21.928571430000002</v>
      </c>
      <c r="I25" s="5">
        <v>56.93571429</v>
      </c>
      <c r="J25" s="5">
        <v>1517.2071430000001</v>
      </c>
      <c r="K25" s="6">
        <v>441.92857140000001</v>
      </c>
      <c r="L25" s="6">
        <v>414.2142857</v>
      </c>
      <c r="M25" s="6">
        <v>470.5</v>
      </c>
      <c r="N25" s="6">
        <v>113.3571429</v>
      </c>
      <c r="O25" s="6">
        <v>360.64285710000001</v>
      </c>
      <c r="P25" s="6">
        <v>560.42857140000001</v>
      </c>
      <c r="Q25" s="6">
        <v>199.7857143</v>
      </c>
      <c r="R25" s="5">
        <v>221.63571429999999</v>
      </c>
      <c r="S25" s="6">
        <v>404.92857140000001</v>
      </c>
      <c r="T25" s="6">
        <v>402.14285710000001</v>
      </c>
    </row>
    <row r="26" spans="1:20" x14ac:dyDescent="0.25">
      <c r="A26" t="s">
        <v>85</v>
      </c>
      <c r="C26">
        <v>2009</v>
      </c>
      <c r="D26" s="5">
        <v>221.6214286</v>
      </c>
      <c r="E26" s="5">
        <v>4.414285714</v>
      </c>
      <c r="F26" s="5">
        <v>3.021428571</v>
      </c>
      <c r="G26" s="5">
        <v>1.3928571430000001</v>
      </c>
      <c r="H26" s="6">
        <v>33.214285709999999</v>
      </c>
      <c r="I26" s="5">
        <v>62.864285709999997</v>
      </c>
      <c r="J26" s="5">
        <v>1580.064286</v>
      </c>
      <c r="K26" s="6">
        <v>459.42857140000001</v>
      </c>
      <c r="L26" s="6">
        <v>419.92857140000001</v>
      </c>
      <c r="M26" s="6">
        <v>542.2857143</v>
      </c>
      <c r="N26" s="6">
        <v>122.3571429</v>
      </c>
      <c r="O26" s="6">
        <v>367.2857143</v>
      </c>
      <c r="P26" s="6">
        <v>569.07142859999999</v>
      </c>
      <c r="Q26" s="6">
        <v>201.7857143</v>
      </c>
      <c r="R26" s="5">
        <v>221.63571429999999</v>
      </c>
      <c r="S26" s="6">
        <v>404.92857140000001</v>
      </c>
      <c r="T26" s="6">
        <v>402.14285710000001</v>
      </c>
    </row>
    <row r="27" spans="1:20" x14ac:dyDescent="0.25">
      <c r="A27" t="s">
        <v>86</v>
      </c>
      <c r="C27">
        <v>2010</v>
      </c>
      <c r="D27" s="5">
        <v>225.65</v>
      </c>
      <c r="E27" s="5">
        <v>4.0285714290000003</v>
      </c>
      <c r="F27" s="5">
        <v>2.9357142860000001</v>
      </c>
      <c r="G27" s="5">
        <v>1.092857143</v>
      </c>
      <c r="H27" s="6">
        <v>26.071428569999998</v>
      </c>
      <c r="I27" s="5">
        <v>57.47142857</v>
      </c>
      <c r="J27" s="5">
        <v>1637.5214289999999</v>
      </c>
      <c r="K27" s="6">
        <v>440.2857143</v>
      </c>
      <c r="L27" s="6">
        <v>403.2142857</v>
      </c>
      <c r="M27" s="6">
        <v>549.2857143</v>
      </c>
      <c r="N27" s="6">
        <v>146.07142859999999</v>
      </c>
      <c r="O27" s="6">
        <v>336.42857140000001</v>
      </c>
      <c r="P27" s="6">
        <v>572.92857140000001</v>
      </c>
      <c r="Q27" s="6">
        <v>236.5</v>
      </c>
      <c r="R27" s="5">
        <v>221.63571429999999</v>
      </c>
      <c r="S27" s="6">
        <v>404.92857140000001</v>
      </c>
      <c r="T27" s="6">
        <v>402.14285710000001</v>
      </c>
    </row>
    <row r="28" spans="1:20" x14ac:dyDescent="0.25">
      <c r="A28" t="s">
        <v>87</v>
      </c>
      <c r="C28">
        <v>2011</v>
      </c>
      <c r="D28" s="5">
        <v>232.2538462</v>
      </c>
      <c r="E28" s="5">
        <v>3.7153846150000001</v>
      </c>
      <c r="F28" s="5">
        <v>2.9307692310000002</v>
      </c>
      <c r="G28" s="5">
        <v>0.78461538500000005</v>
      </c>
      <c r="H28" s="6">
        <v>22</v>
      </c>
      <c r="I28" s="5">
        <v>54.492307689999997</v>
      </c>
      <c r="J28" s="5">
        <v>1732.4846150000001</v>
      </c>
      <c r="K28" s="6">
        <v>441.30769229999999</v>
      </c>
      <c r="L28" s="6">
        <v>412.38461539999997</v>
      </c>
      <c r="M28" s="6">
        <v>546.69230770000001</v>
      </c>
      <c r="N28" s="6">
        <v>134.30769230000001</v>
      </c>
      <c r="O28" s="6">
        <v>359.38461539999997</v>
      </c>
      <c r="P28" s="6">
        <v>571.30769229999999</v>
      </c>
      <c r="Q28" s="6">
        <v>211.92307690000001</v>
      </c>
      <c r="R28" s="5">
        <v>224.21538459999999</v>
      </c>
      <c r="S28" s="6">
        <v>402.46153850000002</v>
      </c>
      <c r="T28" s="6">
        <v>399.30769229999999</v>
      </c>
    </row>
    <row r="29" spans="1:20" x14ac:dyDescent="0.25">
      <c r="A29" t="s">
        <v>88</v>
      </c>
      <c r="C29">
        <v>2012</v>
      </c>
      <c r="D29" s="5">
        <v>235.09230769999999</v>
      </c>
      <c r="E29" s="5">
        <v>2.8384615379999998</v>
      </c>
      <c r="F29" s="5">
        <v>2.4923076919999998</v>
      </c>
      <c r="G29" s="5">
        <v>0.34615384599999999</v>
      </c>
      <c r="H29" s="6">
        <v>12.69230769</v>
      </c>
      <c r="I29" s="5">
        <v>41.830769230000001</v>
      </c>
      <c r="J29" s="5">
        <v>1774.3153850000001</v>
      </c>
      <c r="K29" s="6">
        <v>427.46153850000002</v>
      </c>
      <c r="L29" s="6">
        <v>411.92307690000001</v>
      </c>
      <c r="M29" s="6">
        <v>292.07692309999999</v>
      </c>
      <c r="N29" s="6">
        <v>66.153846150000007</v>
      </c>
      <c r="O29" s="6">
        <v>344.84615380000002</v>
      </c>
      <c r="P29" s="6">
        <v>514.07692310000004</v>
      </c>
      <c r="Q29" s="6">
        <v>169.2307692</v>
      </c>
      <c r="R29" s="5">
        <v>224.21538459999999</v>
      </c>
      <c r="S29" s="6">
        <v>402.46153850000002</v>
      </c>
      <c r="T29" s="6">
        <v>399.30769229999999</v>
      </c>
    </row>
    <row r="30" spans="1:20" x14ac:dyDescent="0.25">
      <c r="A30" t="s">
        <v>89</v>
      </c>
      <c r="C30">
        <v>1986</v>
      </c>
      <c r="D30" s="5">
        <v>11.4</v>
      </c>
      <c r="E30" s="5">
        <v>11.4</v>
      </c>
      <c r="F30" s="5">
        <v>8.4</v>
      </c>
      <c r="G30" s="5">
        <v>0</v>
      </c>
      <c r="H30" s="6">
        <v>0</v>
      </c>
      <c r="I30" s="5">
        <v>4.0999999999999996</v>
      </c>
      <c r="J30" s="5">
        <v>4.0999999999999996</v>
      </c>
      <c r="K30" s="6">
        <v>371</v>
      </c>
      <c r="L30" s="6">
        <v>371</v>
      </c>
      <c r="M30" s="6">
        <v>0</v>
      </c>
      <c r="N30" s="6">
        <v>0</v>
      </c>
      <c r="O30" s="6">
        <v>300</v>
      </c>
      <c r="P30" s="6">
        <v>417</v>
      </c>
      <c r="Q30" s="6">
        <v>117</v>
      </c>
      <c r="R30" s="5">
        <v>144.9</v>
      </c>
      <c r="S30" s="6">
        <v>426</v>
      </c>
      <c r="T30" s="6">
        <v>418</v>
      </c>
    </row>
    <row r="31" spans="1:20" x14ac:dyDescent="0.25">
      <c r="A31" t="s">
        <v>90</v>
      </c>
      <c r="C31">
        <v>1987</v>
      </c>
      <c r="D31" s="5">
        <v>18.975000000000001</v>
      </c>
      <c r="E31" s="5">
        <v>16.125</v>
      </c>
      <c r="F31" s="5">
        <v>14.025</v>
      </c>
      <c r="G31" s="5">
        <v>0.6</v>
      </c>
      <c r="H31" s="6">
        <v>3.5</v>
      </c>
      <c r="I31" s="5">
        <v>13.9</v>
      </c>
      <c r="J31" s="5">
        <v>14.925000000000001</v>
      </c>
      <c r="K31" s="6">
        <v>355.5</v>
      </c>
      <c r="L31" s="6">
        <v>348.5</v>
      </c>
      <c r="M31" s="6">
        <v>261.25</v>
      </c>
      <c r="N31" s="6">
        <v>82.5</v>
      </c>
      <c r="O31" s="6">
        <v>228.5</v>
      </c>
      <c r="P31" s="6">
        <v>500</v>
      </c>
      <c r="Q31" s="6">
        <v>271.5</v>
      </c>
      <c r="R31" s="5">
        <v>183.97499999999999</v>
      </c>
      <c r="S31" s="6">
        <v>418.25</v>
      </c>
      <c r="T31" s="6">
        <v>418.75</v>
      </c>
    </row>
    <row r="32" spans="1:20" x14ac:dyDescent="0.25">
      <c r="A32" t="s">
        <v>91</v>
      </c>
      <c r="C32">
        <v>1988</v>
      </c>
      <c r="D32" s="5">
        <v>37.91111111</v>
      </c>
      <c r="E32" s="5">
        <v>29.47777778</v>
      </c>
      <c r="F32" s="5">
        <v>17.766666669999999</v>
      </c>
      <c r="G32" s="5">
        <v>0.26666666700000002</v>
      </c>
      <c r="H32" s="6">
        <v>1.2222222220000001</v>
      </c>
      <c r="I32" s="5">
        <v>42.977777779999997</v>
      </c>
      <c r="J32" s="5">
        <v>49.611111110000003</v>
      </c>
      <c r="K32" s="6">
        <v>354.44444440000001</v>
      </c>
      <c r="L32" s="6">
        <v>352.33333329999999</v>
      </c>
      <c r="M32" s="6">
        <v>226.7777778</v>
      </c>
      <c r="N32" s="6">
        <v>59.444444439999998</v>
      </c>
      <c r="O32" s="6">
        <v>240.44444440000001</v>
      </c>
      <c r="P32" s="6">
        <v>479</v>
      </c>
      <c r="Q32" s="6">
        <v>238.55555559999999</v>
      </c>
      <c r="R32" s="5">
        <v>195.53333330000001</v>
      </c>
      <c r="S32" s="6">
        <v>412.33333329999999</v>
      </c>
      <c r="T32" s="6">
        <v>407.44444440000001</v>
      </c>
    </row>
    <row r="33" spans="1:20" x14ac:dyDescent="0.25">
      <c r="A33" t="s">
        <v>92</v>
      </c>
      <c r="C33">
        <v>1989</v>
      </c>
      <c r="D33" s="5">
        <v>51.661538460000003</v>
      </c>
      <c r="E33" s="5">
        <v>25.415384620000001</v>
      </c>
      <c r="F33" s="5">
        <v>20.515384619999999</v>
      </c>
      <c r="G33" s="5">
        <v>0.43846153799999998</v>
      </c>
      <c r="H33" s="6">
        <v>2</v>
      </c>
      <c r="I33" s="5">
        <v>59.238461540000003</v>
      </c>
      <c r="J33" s="5">
        <v>93.57692308</v>
      </c>
      <c r="K33" s="6">
        <v>353.69230770000001</v>
      </c>
      <c r="L33" s="6">
        <v>349.84615380000002</v>
      </c>
      <c r="M33" s="6">
        <v>361.30769229999999</v>
      </c>
      <c r="N33" s="6">
        <v>113.9230769</v>
      </c>
      <c r="O33" s="6">
        <v>264.30769229999999</v>
      </c>
      <c r="P33" s="6">
        <v>514.53846150000004</v>
      </c>
      <c r="Q33" s="6">
        <v>250.2307692</v>
      </c>
      <c r="R33" s="5">
        <v>199.47692309999999</v>
      </c>
      <c r="S33" s="6">
        <v>408.38461539999997</v>
      </c>
      <c r="T33" s="6">
        <v>403</v>
      </c>
    </row>
    <row r="34" spans="1:20" x14ac:dyDescent="0.25">
      <c r="A34" t="s">
        <v>93</v>
      </c>
      <c r="C34">
        <v>1990</v>
      </c>
      <c r="D34" s="5">
        <v>62.828571429999997</v>
      </c>
      <c r="E34" s="5">
        <v>14.85714286</v>
      </c>
      <c r="F34" s="5">
        <v>13.5</v>
      </c>
      <c r="G34" s="5">
        <v>0.64285714299999996</v>
      </c>
      <c r="H34" s="6">
        <v>5</v>
      </c>
      <c r="I34" s="5">
        <v>53.06428571</v>
      </c>
      <c r="J34" s="5">
        <v>139.9714286</v>
      </c>
      <c r="K34" s="6">
        <v>369.14285710000001</v>
      </c>
      <c r="L34" s="6">
        <v>361.2857143</v>
      </c>
      <c r="M34" s="6">
        <v>336</v>
      </c>
      <c r="N34" s="6">
        <v>100.4285714</v>
      </c>
      <c r="O34" s="6">
        <v>290</v>
      </c>
      <c r="P34" s="6">
        <v>518.92857140000001</v>
      </c>
      <c r="Q34" s="6">
        <v>228.92857140000001</v>
      </c>
      <c r="R34" s="5">
        <v>202.39285709999999</v>
      </c>
      <c r="S34" s="6">
        <v>405.85714289999999</v>
      </c>
      <c r="T34" s="6">
        <v>400.7857143</v>
      </c>
    </row>
    <row r="35" spans="1:20" x14ac:dyDescent="0.25">
      <c r="A35" t="s">
        <v>94</v>
      </c>
      <c r="C35">
        <v>1991</v>
      </c>
      <c r="D35" s="5">
        <v>76.285714290000001</v>
      </c>
      <c r="E35" s="5">
        <v>13.457142859999999</v>
      </c>
      <c r="F35" s="5">
        <v>12.53571429</v>
      </c>
      <c r="G35" s="5">
        <v>0.92142857099999997</v>
      </c>
      <c r="H35" s="6">
        <v>6.7857142860000002</v>
      </c>
      <c r="I35" s="5">
        <v>57.59285714</v>
      </c>
      <c r="J35" s="5">
        <v>197.5571429</v>
      </c>
      <c r="K35" s="6">
        <v>373.2142857</v>
      </c>
      <c r="L35" s="6">
        <v>361.35714289999999</v>
      </c>
      <c r="M35" s="6">
        <v>489.64285710000001</v>
      </c>
      <c r="N35" s="6">
        <v>154.14285709999999</v>
      </c>
      <c r="O35" s="6">
        <v>303.57142859999999</v>
      </c>
      <c r="P35" s="6">
        <v>537.57142859999999</v>
      </c>
      <c r="Q35" s="6">
        <v>234</v>
      </c>
      <c r="R35" s="5">
        <v>202.39285709999999</v>
      </c>
      <c r="S35" s="6">
        <v>405.85714289999999</v>
      </c>
      <c r="T35" s="6">
        <v>400.7857143</v>
      </c>
    </row>
    <row r="36" spans="1:20" x14ac:dyDescent="0.25">
      <c r="A36" t="s">
        <v>95</v>
      </c>
      <c r="C36">
        <v>1992</v>
      </c>
      <c r="D36" s="5">
        <v>91.007142860000002</v>
      </c>
      <c r="E36" s="5">
        <v>14.72142857</v>
      </c>
      <c r="F36" s="5">
        <v>13.71428571</v>
      </c>
      <c r="G36" s="5">
        <v>1.0071428570000001</v>
      </c>
      <c r="H36" s="6">
        <v>6.9285714289999998</v>
      </c>
      <c r="I36" s="5">
        <v>76.235714290000004</v>
      </c>
      <c r="J36" s="5">
        <v>273.8</v>
      </c>
      <c r="K36" s="6">
        <v>377.42857140000001</v>
      </c>
      <c r="L36" s="6">
        <v>366.42857140000001</v>
      </c>
      <c r="M36" s="6">
        <v>412.64285710000001</v>
      </c>
      <c r="N36" s="6">
        <v>122.9285714</v>
      </c>
      <c r="O36" s="6">
        <v>306.42857140000001</v>
      </c>
      <c r="P36" s="6">
        <v>530.07142859999999</v>
      </c>
      <c r="Q36" s="6">
        <v>223.64285709999999</v>
      </c>
      <c r="R36" s="5">
        <v>202.39285709999999</v>
      </c>
      <c r="S36" s="6">
        <v>405.85714289999999</v>
      </c>
      <c r="T36" s="6">
        <v>400.7857143</v>
      </c>
    </row>
    <row r="37" spans="1:20" x14ac:dyDescent="0.25">
      <c r="A37" t="s">
        <v>96</v>
      </c>
      <c r="C37">
        <v>1993</v>
      </c>
      <c r="D37" s="5">
        <v>102.3642857</v>
      </c>
      <c r="E37" s="5">
        <v>11.35714286</v>
      </c>
      <c r="F37" s="5">
        <v>10.264285709999999</v>
      </c>
      <c r="G37" s="5">
        <v>1.092857143</v>
      </c>
      <c r="H37" s="6">
        <v>9.9285714289999998</v>
      </c>
      <c r="I37" s="5">
        <v>67.864285710000004</v>
      </c>
      <c r="J37" s="5">
        <v>341.65</v>
      </c>
      <c r="K37" s="6">
        <v>390.85714289999999</v>
      </c>
      <c r="L37" s="6">
        <v>374.85714289999999</v>
      </c>
      <c r="M37" s="6">
        <v>494.07142859999999</v>
      </c>
      <c r="N37" s="6">
        <v>146.07142859999999</v>
      </c>
      <c r="O37" s="6">
        <v>321.42857140000001</v>
      </c>
      <c r="P37" s="6">
        <v>549.7142857</v>
      </c>
      <c r="Q37" s="6">
        <v>228.2857143</v>
      </c>
      <c r="R37" s="5">
        <v>202.39285709999999</v>
      </c>
      <c r="S37" s="6">
        <v>405.85714289999999</v>
      </c>
      <c r="T37" s="6">
        <v>400.7857143</v>
      </c>
    </row>
    <row r="38" spans="1:20" x14ac:dyDescent="0.25">
      <c r="A38" t="s">
        <v>97</v>
      </c>
      <c r="C38">
        <v>1994</v>
      </c>
      <c r="D38" s="5">
        <v>112.7357143</v>
      </c>
      <c r="E38" s="5">
        <v>10.371428570000001</v>
      </c>
      <c r="F38" s="5">
        <v>9.5571428570000005</v>
      </c>
      <c r="G38" s="5">
        <v>0.81428571400000005</v>
      </c>
      <c r="H38" s="6">
        <v>7.9285714289999998</v>
      </c>
      <c r="I38" s="5">
        <v>69.392857140000004</v>
      </c>
      <c r="J38" s="5">
        <v>411.04285709999999</v>
      </c>
      <c r="K38" s="6">
        <v>386.64285710000001</v>
      </c>
      <c r="L38" s="6">
        <v>374.14285710000001</v>
      </c>
      <c r="M38" s="6">
        <v>450.42857140000001</v>
      </c>
      <c r="N38" s="6">
        <v>130.5</v>
      </c>
      <c r="O38" s="6">
        <v>290.85714289999999</v>
      </c>
      <c r="P38" s="6">
        <v>532.7142857</v>
      </c>
      <c r="Q38" s="6">
        <v>241.85714290000001</v>
      </c>
      <c r="R38" s="5">
        <v>202.39285709999999</v>
      </c>
      <c r="S38" s="6">
        <v>405.85714289999999</v>
      </c>
      <c r="T38" s="6">
        <v>400.7857143</v>
      </c>
    </row>
    <row r="39" spans="1:20" x14ac:dyDescent="0.25">
      <c r="A39" t="s">
        <v>98</v>
      </c>
      <c r="C39">
        <v>1995</v>
      </c>
      <c r="D39" s="5">
        <v>121.0714286</v>
      </c>
      <c r="E39" s="5">
        <v>8.335714286</v>
      </c>
      <c r="F39" s="5">
        <v>7.7142857139999998</v>
      </c>
      <c r="G39" s="5">
        <v>0.62142857100000004</v>
      </c>
      <c r="H39" s="6">
        <v>8.4285714289999998</v>
      </c>
      <c r="I39" s="5">
        <v>60.56428571</v>
      </c>
      <c r="J39" s="5">
        <v>471.60714289999999</v>
      </c>
      <c r="K39" s="6">
        <v>395.7857143</v>
      </c>
      <c r="L39" s="6">
        <v>383.7857143</v>
      </c>
      <c r="M39" s="6">
        <v>454.5</v>
      </c>
      <c r="N39" s="6">
        <v>120.2857143</v>
      </c>
      <c r="O39" s="6">
        <v>311.85714289999999</v>
      </c>
      <c r="P39" s="6">
        <v>535.92857140000001</v>
      </c>
      <c r="Q39" s="6">
        <v>224.07142859999999</v>
      </c>
      <c r="R39" s="5">
        <v>202.39285709999999</v>
      </c>
      <c r="S39" s="6">
        <v>405.85714289999999</v>
      </c>
      <c r="T39" s="6">
        <v>400.7857143</v>
      </c>
    </row>
    <row r="40" spans="1:20" x14ac:dyDescent="0.25">
      <c r="A40" t="s">
        <v>99</v>
      </c>
      <c r="C40">
        <v>1996</v>
      </c>
      <c r="D40" s="5">
        <v>131.1214286</v>
      </c>
      <c r="E40" s="5">
        <v>10.050000000000001</v>
      </c>
      <c r="F40" s="5">
        <v>8.9357142859999996</v>
      </c>
      <c r="G40" s="5">
        <v>1.114285714</v>
      </c>
      <c r="H40" s="6">
        <v>11.42857143</v>
      </c>
      <c r="I40" s="5">
        <v>80.135714289999996</v>
      </c>
      <c r="J40" s="5">
        <v>551.75</v>
      </c>
      <c r="K40" s="6">
        <v>389.7857143</v>
      </c>
      <c r="L40" s="6">
        <v>370.14285710000001</v>
      </c>
      <c r="M40" s="6">
        <v>495.64285710000001</v>
      </c>
      <c r="N40" s="6">
        <v>151.14285709999999</v>
      </c>
      <c r="O40" s="6">
        <v>303.92857140000001</v>
      </c>
      <c r="P40" s="6">
        <v>552.92857140000001</v>
      </c>
      <c r="Q40" s="6">
        <v>249</v>
      </c>
      <c r="R40" s="5">
        <v>202.39285709999999</v>
      </c>
      <c r="S40" s="6">
        <v>405.85714289999999</v>
      </c>
      <c r="T40" s="6">
        <v>400.7857143</v>
      </c>
    </row>
    <row r="41" spans="1:20" x14ac:dyDescent="0.25">
      <c r="A41" t="s">
        <v>100</v>
      </c>
      <c r="C41">
        <v>1997</v>
      </c>
      <c r="D41" s="5">
        <v>141.9642857</v>
      </c>
      <c r="E41" s="5">
        <v>10.84285714</v>
      </c>
      <c r="F41" s="5">
        <v>9.6857142859999996</v>
      </c>
      <c r="G41" s="5">
        <v>1.157142857</v>
      </c>
      <c r="H41" s="6">
        <v>12.85714286</v>
      </c>
      <c r="I41" s="5">
        <v>94.25</v>
      </c>
      <c r="J41" s="5">
        <v>646</v>
      </c>
      <c r="K41" s="6">
        <v>403.2857143</v>
      </c>
      <c r="L41" s="6">
        <v>385.14285710000001</v>
      </c>
      <c r="M41" s="6">
        <v>532.14285710000001</v>
      </c>
      <c r="N41" s="6">
        <v>147</v>
      </c>
      <c r="O41" s="6">
        <v>330.5</v>
      </c>
      <c r="P41" s="6">
        <v>552.2857143</v>
      </c>
      <c r="Q41" s="6">
        <v>221.7857143</v>
      </c>
      <c r="R41" s="5">
        <v>202.39285709999999</v>
      </c>
      <c r="S41" s="6">
        <v>405.85714289999999</v>
      </c>
      <c r="T41" s="6">
        <v>400.7857143</v>
      </c>
    </row>
    <row r="42" spans="1:20" x14ac:dyDescent="0.25">
      <c r="A42" t="s">
        <v>101</v>
      </c>
      <c r="C42">
        <v>1998</v>
      </c>
      <c r="D42" s="5">
        <v>149.7857143</v>
      </c>
      <c r="E42" s="5">
        <v>7.8214285710000002</v>
      </c>
      <c r="F42" s="5">
        <v>6.6428571429999996</v>
      </c>
      <c r="G42" s="5">
        <v>1.178571429</v>
      </c>
      <c r="H42" s="6">
        <v>15.21428571</v>
      </c>
      <c r="I42" s="5">
        <v>71.849999999999994</v>
      </c>
      <c r="J42" s="5">
        <v>717.85</v>
      </c>
      <c r="K42" s="6">
        <v>414.92857140000001</v>
      </c>
      <c r="L42" s="6">
        <v>394.35714289999999</v>
      </c>
      <c r="M42" s="6">
        <v>492.64285710000001</v>
      </c>
      <c r="N42" s="6">
        <v>127.3571429</v>
      </c>
      <c r="O42" s="6">
        <v>334.64285710000001</v>
      </c>
      <c r="P42" s="6">
        <v>547.7857143</v>
      </c>
      <c r="Q42" s="6">
        <v>213.14285709999999</v>
      </c>
      <c r="R42" s="5">
        <v>202.39285709999999</v>
      </c>
      <c r="S42" s="6">
        <v>405.85714289999999</v>
      </c>
      <c r="T42" s="6">
        <v>400.7857143</v>
      </c>
    </row>
    <row r="43" spans="1:20" x14ac:dyDescent="0.25">
      <c r="A43" t="s">
        <v>102</v>
      </c>
      <c r="C43">
        <v>1999</v>
      </c>
      <c r="D43" s="5">
        <v>158.55000000000001</v>
      </c>
      <c r="E43" s="5">
        <v>8.7642857139999997</v>
      </c>
      <c r="F43" s="5">
        <v>8.0785714290000001</v>
      </c>
      <c r="G43" s="5">
        <v>0.68571428599999995</v>
      </c>
      <c r="H43" s="6">
        <v>8.7142857140000007</v>
      </c>
      <c r="I43" s="5">
        <v>85.842857140000007</v>
      </c>
      <c r="J43" s="5">
        <v>803.68571429999997</v>
      </c>
      <c r="K43" s="6">
        <v>405.35714289999999</v>
      </c>
      <c r="L43" s="6">
        <v>393.92857140000001</v>
      </c>
      <c r="M43" s="6">
        <v>414.35714289999999</v>
      </c>
      <c r="N43" s="6">
        <v>102.2857143</v>
      </c>
      <c r="O43" s="6">
        <v>330.7857143</v>
      </c>
      <c r="P43" s="6">
        <v>529.35714289999999</v>
      </c>
      <c r="Q43" s="6">
        <v>198.57142859999999</v>
      </c>
      <c r="R43" s="5">
        <v>202.39285709999999</v>
      </c>
      <c r="S43" s="6">
        <v>405.85714289999999</v>
      </c>
      <c r="T43" s="6">
        <v>400.7857143</v>
      </c>
    </row>
    <row r="44" spans="1:20" x14ac:dyDescent="0.25">
      <c r="A44" t="s">
        <v>103</v>
      </c>
      <c r="C44">
        <v>2000</v>
      </c>
      <c r="D44" s="5">
        <v>167.16428569999999</v>
      </c>
      <c r="E44" s="5">
        <v>8.6142857139999993</v>
      </c>
      <c r="F44" s="5">
        <v>7.6714285709999999</v>
      </c>
      <c r="G44" s="5">
        <v>0.94285714300000001</v>
      </c>
      <c r="H44" s="6">
        <v>11.64285714</v>
      </c>
      <c r="I44" s="5">
        <v>89.385714289999996</v>
      </c>
      <c r="J44" s="5">
        <v>893.08571429999995</v>
      </c>
      <c r="K44" s="6">
        <v>403.85714289999999</v>
      </c>
      <c r="L44" s="6">
        <v>387.42857140000001</v>
      </c>
      <c r="M44" s="6">
        <v>534.07142859999999</v>
      </c>
      <c r="N44" s="6">
        <v>146.64285709999999</v>
      </c>
      <c r="O44" s="6">
        <v>323</v>
      </c>
      <c r="P44" s="6">
        <v>551.35714289999999</v>
      </c>
      <c r="Q44" s="6">
        <v>228.35714290000001</v>
      </c>
      <c r="R44" s="5">
        <v>202.39285709999999</v>
      </c>
      <c r="S44" s="6">
        <v>405.85714289999999</v>
      </c>
      <c r="T44" s="6">
        <v>400.7857143</v>
      </c>
    </row>
    <row r="45" spans="1:20" x14ac:dyDescent="0.25">
      <c r="A45" t="s">
        <v>104</v>
      </c>
      <c r="C45">
        <v>2001</v>
      </c>
      <c r="D45" s="5">
        <v>174.32142859999999</v>
      </c>
      <c r="E45" s="5">
        <v>7.1571428570000002</v>
      </c>
      <c r="F45" s="5">
        <v>6.042857143</v>
      </c>
      <c r="G45" s="5">
        <v>1.114285714</v>
      </c>
      <c r="H45" s="6">
        <v>18.14285714</v>
      </c>
      <c r="I45" s="5">
        <v>79.507142860000002</v>
      </c>
      <c r="J45" s="5">
        <v>972.58571429999995</v>
      </c>
      <c r="K45" s="6">
        <v>424.85714289999999</v>
      </c>
      <c r="L45" s="6">
        <v>400.64285710000001</v>
      </c>
      <c r="M45" s="6">
        <v>542.57142859999999</v>
      </c>
      <c r="N45" s="6">
        <v>141.92857140000001</v>
      </c>
      <c r="O45" s="6">
        <v>351.07142859999999</v>
      </c>
      <c r="P45" s="6">
        <v>565.35714289999999</v>
      </c>
      <c r="Q45" s="6">
        <v>214.2857143</v>
      </c>
      <c r="R45" s="5">
        <v>202.39285709999999</v>
      </c>
      <c r="S45" s="6">
        <v>405.85714289999999</v>
      </c>
      <c r="T45" s="6">
        <v>400.7857143</v>
      </c>
    </row>
    <row r="46" spans="1:20" x14ac:dyDescent="0.25">
      <c r="A46" t="s">
        <v>105</v>
      </c>
      <c r="C46">
        <v>2002</v>
      </c>
      <c r="D46" s="5">
        <v>181.26428569999999</v>
      </c>
      <c r="E46" s="5">
        <v>6.9428571430000003</v>
      </c>
      <c r="F46" s="5">
        <v>5.4857142860000003</v>
      </c>
      <c r="G46" s="5">
        <v>1.457142857</v>
      </c>
      <c r="H46" s="6">
        <v>22.071428569999998</v>
      </c>
      <c r="I46" s="5">
        <v>80.357142859999996</v>
      </c>
      <c r="J46" s="5">
        <v>1052.9571430000001</v>
      </c>
      <c r="K46" s="6">
        <v>426.07142859999999</v>
      </c>
      <c r="L46" s="6">
        <v>391</v>
      </c>
      <c r="M46" s="6">
        <v>547.07142859999999</v>
      </c>
      <c r="N46" s="6">
        <v>156.07142859999999</v>
      </c>
      <c r="O46" s="6">
        <v>339.64285710000001</v>
      </c>
      <c r="P46" s="6">
        <v>570.57142859999999</v>
      </c>
      <c r="Q46" s="6">
        <v>230.92857140000001</v>
      </c>
      <c r="R46" s="5">
        <v>202.39285709999999</v>
      </c>
      <c r="S46" s="6">
        <v>405.85714289999999</v>
      </c>
      <c r="T46" s="6">
        <v>400.7857143</v>
      </c>
    </row>
    <row r="47" spans="1:20" x14ac:dyDescent="0.25">
      <c r="A47" t="s">
        <v>106</v>
      </c>
      <c r="C47">
        <v>2003</v>
      </c>
      <c r="D47" s="5">
        <v>187.07142859999999</v>
      </c>
      <c r="E47" s="5">
        <v>5.8071428569999997</v>
      </c>
      <c r="F47" s="5">
        <v>5.2285714289999996</v>
      </c>
      <c r="G47" s="5">
        <v>0.57857142900000003</v>
      </c>
      <c r="H47" s="6">
        <v>11.57142857</v>
      </c>
      <c r="I47" s="5">
        <v>69.635714289999996</v>
      </c>
      <c r="J47" s="5">
        <v>1122.5999999999999</v>
      </c>
      <c r="K47" s="6">
        <v>414.5</v>
      </c>
      <c r="L47" s="6">
        <v>399.07142859999999</v>
      </c>
      <c r="M47" s="6">
        <v>382.92857140000001</v>
      </c>
      <c r="N47" s="6">
        <v>97.785714290000001</v>
      </c>
      <c r="O47" s="6">
        <v>356.2857143</v>
      </c>
      <c r="P47" s="6">
        <v>533.64285710000001</v>
      </c>
      <c r="Q47" s="6">
        <v>177.35714290000001</v>
      </c>
      <c r="R47" s="5">
        <v>202.39285709999999</v>
      </c>
      <c r="S47" s="6">
        <v>405.85714289999999</v>
      </c>
      <c r="T47" s="6">
        <v>400.7857143</v>
      </c>
    </row>
    <row r="48" spans="1:20" x14ac:dyDescent="0.25">
      <c r="A48" t="s">
        <v>107</v>
      </c>
      <c r="C48">
        <v>2004</v>
      </c>
      <c r="D48" s="5">
        <v>192.10714290000001</v>
      </c>
      <c r="E48" s="5">
        <v>5.0357142860000002</v>
      </c>
      <c r="F48" s="5">
        <v>4.3285714290000001</v>
      </c>
      <c r="G48" s="5">
        <v>0.70714285700000001</v>
      </c>
      <c r="H48" s="6">
        <v>12.64285714</v>
      </c>
      <c r="I48" s="5">
        <v>62.985714289999997</v>
      </c>
      <c r="J48" s="5">
        <v>1185.578571</v>
      </c>
      <c r="K48" s="6">
        <v>419.64285710000001</v>
      </c>
      <c r="L48" s="6">
        <v>402.7857143</v>
      </c>
      <c r="M48" s="6">
        <v>420.14285710000001</v>
      </c>
      <c r="N48" s="6">
        <v>104.5</v>
      </c>
      <c r="O48" s="6">
        <v>356.85714289999999</v>
      </c>
      <c r="P48" s="6">
        <v>541.85714289999999</v>
      </c>
      <c r="Q48" s="6">
        <v>185</v>
      </c>
      <c r="R48" s="5">
        <v>202.39285709999999</v>
      </c>
      <c r="S48" s="6">
        <v>405.85714289999999</v>
      </c>
      <c r="T48" s="6">
        <v>400.7857143</v>
      </c>
    </row>
    <row r="49" spans="1:20" x14ac:dyDescent="0.25">
      <c r="A49" t="s">
        <v>108</v>
      </c>
      <c r="C49">
        <v>2005</v>
      </c>
      <c r="D49" s="5">
        <v>196.2214286</v>
      </c>
      <c r="E49" s="5">
        <v>4.1142857140000002</v>
      </c>
      <c r="F49" s="5">
        <v>3.75</v>
      </c>
      <c r="G49" s="5">
        <v>0.36428571399999998</v>
      </c>
      <c r="H49" s="6">
        <v>13.5</v>
      </c>
      <c r="I49" s="5">
        <v>53.2</v>
      </c>
      <c r="J49" s="5">
        <v>1238.7928569999999</v>
      </c>
      <c r="K49" s="6">
        <v>423.64285710000001</v>
      </c>
      <c r="L49" s="6">
        <v>410.85714289999999</v>
      </c>
      <c r="M49" s="6">
        <v>372.64285710000001</v>
      </c>
      <c r="N49" s="6">
        <v>71.785714290000001</v>
      </c>
      <c r="O49" s="6">
        <v>361.92857140000001</v>
      </c>
      <c r="P49" s="6">
        <v>516.92857140000001</v>
      </c>
      <c r="Q49" s="6">
        <v>155</v>
      </c>
      <c r="R49" s="5">
        <v>202.39285709999999</v>
      </c>
      <c r="S49" s="6">
        <v>405.85714289999999</v>
      </c>
      <c r="T49" s="6">
        <v>400.7857143</v>
      </c>
    </row>
    <row r="50" spans="1:20" x14ac:dyDescent="0.25">
      <c r="A50" t="s">
        <v>109</v>
      </c>
      <c r="C50">
        <v>2006</v>
      </c>
      <c r="D50" s="5">
        <v>202.68461540000001</v>
      </c>
      <c r="E50" s="5">
        <v>2.7461538459999999</v>
      </c>
      <c r="F50" s="5">
        <v>2.4</v>
      </c>
      <c r="G50" s="5">
        <v>0.34615384599999999</v>
      </c>
      <c r="H50" s="6">
        <v>13.69230769</v>
      </c>
      <c r="I50" s="5">
        <v>36.053846149999998</v>
      </c>
      <c r="J50" s="5">
        <v>1317.2769229999999</v>
      </c>
      <c r="K50" s="6">
        <v>430.84615380000002</v>
      </c>
      <c r="L50" s="6">
        <v>414.53846149999998</v>
      </c>
      <c r="M50" s="6">
        <v>285.69230770000001</v>
      </c>
      <c r="N50" s="6">
        <v>66.153846150000007</v>
      </c>
      <c r="O50" s="6">
        <v>366.92307690000001</v>
      </c>
      <c r="P50" s="6">
        <v>516.15384619999998</v>
      </c>
      <c r="Q50" s="6">
        <v>149.2307692</v>
      </c>
      <c r="R50" s="5">
        <v>206.81538459999999</v>
      </c>
      <c r="S50" s="6">
        <v>404.30769229999999</v>
      </c>
      <c r="T50" s="6">
        <v>399.46153850000002</v>
      </c>
    </row>
    <row r="51" spans="1:20" x14ac:dyDescent="0.25">
      <c r="A51" t="s">
        <v>110</v>
      </c>
      <c r="C51">
        <v>2007</v>
      </c>
      <c r="D51" s="5">
        <v>205.2</v>
      </c>
      <c r="E51" s="5">
        <v>2.5153846149999999</v>
      </c>
      <c r="F51" s="5">
        <v>1.8923076919999999</v>
      </c>
      <c r="G51" s="5">
        <v>0.62307692299999995</v>
      </c>
      <c r="H51" s="6">
        <v>24.30769231</v>
      </c>
      <c r="I51" s="5">
        <v>34.453846149999997</v>
      </c>
      <c r="J51" s="5">
        <v>1351.707692</v>
      </c>
      <c r="K51" s="6">
        <v>451.07692309999999</v>
      </c>
      <c r="L51" s="6">
        <v>418.53846149999998</v>
      </c>
      <c r="M51" s="6">
        <v>424.69230770000001</v>
      </c>
      <c r="N51" s="6">
        <v>99.07692308</v>
      </c>
      <c r="O51" s="6">
        <v>371.69230770000001</v>
      </c>
      <c r="P51" s="6">
        <v>553.84615380000002</v>
      </c>
      <c r="Q51" s="6">
        <v>182.1538462</v>
      </c>
      <c r="R51" s="5">
        <v>206.81538459999999</v>
      </c>
      <c r="S51" s="6">
        <v>404.30769229999999</v>
      </c>
      <c r="T51" s="6">
        <v>399.46153850000002</v>
      </c>
    </row>
    <row r="52" spans="1:20" x14ac:dyDescent="0.25">
      <c r="A52" t="s">
        <v>111</v>
      </c>
      <c r="C52">
        <v>2008</v>
      </c>
      <c r="D52" s="5">
        <v>208.7538462</v>
      </c>
      <c r="E52" s="5">
        <v>3.5538461539999999</v>
      </c>
      <c r="F52" s="5">
        <v>2.8153846150000001</v>
      </c>
      <c r="G52" s="5">
        <v>0.73846153800000003</v>
      </c>
      <c r="H52" s="6">
        <v>20.53846154</v>
      </c>
      <c r="I52" s="5">
        <v>48.930769230000003</v>
      </c>
      <c r="J52" s="5">
        <v>1400.6384619999999</v>
      </c>
      <c r="K52" s="6">
        <v>433.92307690000001</v>
      </c>
      <c r="L52" s="6">
        <v>410.69230770000001</v>
      </c>
      <c r="M52" s="6">
        <v>455.92307690000001</v>
      </c>
      <c r="N52" s="6">
        <v>107</v>
      </c>
      <c r="O52" s="6">
        <v>363</v>
      </c>
      <c r="P52" s="6">
        <v>539.76923079999995</v>
      </c>
      <c r="Q52" s="6">
        <v>176.7692308</v>
      </c>
      <c r="R52" s="5">
        <v>206.81538459999999</v>
      </c>
      <c r="S52" s="6">
        <v>404.30769229999999</v>
      </c>
      <c r="T52" s="6">
        <v>399.46153850000002</v>
      </c>
    </row>
    <row r="53" spans="1:20" x14ac:dyDescent="0.25">
      <c r="A53" t="s">
        <v>112</v>
      </c>
      <c r="C53">
        <v>2009</v>
      </c>
      <c r="D53" s="5">
        <v>212.16923080000001</v>
      </c>
      <c r="E53" s="5">
        <v>3.4153846149999998</v>
      </c>
      <c r="F53" s="5">
        <v>2.5615384620000001</v>
      </c>
      <c r="G53" s="5">
        <v>0.85384615399999997</v>
      </c>
      <c r="H53" s="6">
        <v>25.76923077</v>
      </c>
      <c r="I53" s="5">
        <v>47.9</v>
      </c>
      <c r="J53" s="5">
        <v>1448.5615379999999</v>
      </c>
      <c r="K53" s="6">
        <v>449.15384619999998</v>
      </c>
      <c r="L53" s="6">
        <v>420</v>
      </c>
      <c r="M53" s="6">
        <v>458.38461539999997</v>
      </c>
      <c r="N53" s="6">
        <v>102.5384615</v>
      </c>
      <c r="O53" s="6">
        <v>381.38461539999997</v>
      </c>
      <c r="P53" s="6">
        <v>550.46153849999996</v>
      </c>
      <c r="Q53" s="6">
        <v>169.07692309999999</v>
      </c>
      <c r="R53" s="5">
        <v>206.81538459999999</v>
      </c>
      <c r="S53" s="6">
        <v>404.30769229999999</v>
      </c>
      <c r="T53" s="6">
        <v>399.46153850000002</v>
      </c>
    </row>
    <row r="54" spans="1:20" x14ac:dyDescent="0.25">
      <c r="A54" t="s">
        <v>113</v>
      </c>
      <c r="C54">
        <v>2010</v>
      </c>
      <c r="D54" s="5">
        <v>215.6307692</v>
      </c>
      <c r="E54" s="5">
        <v>3.461538462</v>
      </c>
      <c r="F54" s="5">
        <v>2.9307692310000002</v>
      </c>
      <c r="G54" s="5">
        <v>0.53076923099999995</v>
      </c>
      <c r="H54" s="6">
        <v>18.92307692</v>
      </c>
      <c r="I54" s="5">
        <v>49.823076919999998</v>
      </c>
      <c r="J54" s="5">
        <v>1498.3692309999999</v>
      </c>
      <c r="K54" s="6">
        <v>437.07692309999999</v>
      </c>
      <c r="L54" s="6">
        <v>413.53846149999998</v>
      </c>
      <c r="M54" s="6">
        <v>467.92307690000001</v>
      </c>
      <c r="N54" s="6">
        <v>115.3846154</v>
      </c>
      <c r="O54" s="6">
        <v>374.46153850000002</v>
      </c>
      <c r="P54" s="6">
        <v>546.84615380000002</v>
      </c>
      <c r="Q54" s="6">
        <v>172.3846154</v>
      </c>
      <c r="R54" s="5">
        <v>206.81538459999999</v>
      </c>
      <c r="S54" s="6">
        <v>404.30769229999999</v>
      </c>
      <c r="T54" s="6">
        <v>399.46153850000002</v>
      </c>
    </row>
    <row r="55" spans="1:20" x14ac:dyDescent="0.25">
      <c r="A55" t="s">
        <v>114</v>
      </c>
      <c r="C55">
        <v>2011</v>
      </c>
      <c r="D55" s="5">
        <v>218.46923079999999</v>
      </c>
      <c r="E55" s="5">
        <v>2.8384615379999998</v>
      </c>
      <c r="F55" s="5">
        <v>2.3769230769999998</v>
      </c>
      <c r="G55" s="5">
        <v>0.46153846199999998</v>
      </c>
      <c r="H55" s="6">
        <v>16.46153846</v>
      </c>
      <c r="I55" s="5">
        <v>41.592307689999998</v>
      </c>
      <c r="J55" s="5">
        <v>1539.969231</v>
      </c>
      <c r="K55" s="6">
        <v>427.84615380000002</v>
      </c>
      <c r="L55" s="6">
        <v>406.53846149999998</v>
      </c>
      <c r="M55" s="6">
        <v>376.46153850000002</v>
      </c>
      <c r="N55" s="6">
        <v>97.692307690000007</v>
      </c>
      <c r="O55" s="6">
        <v>367.69230770000001</v>
      </c>
      <c r="P55" s="6">
        <v>528.46153849999996</v>
      </c>
      <c r="Q55" s="6">
        <v>160.7692308</v>
      </c>
      <c r="R55" s="5">
        <v>206.81538459999999</v>
      </c>
      <c r="S55" s="6">
        <v>404.30769229999999</v>
      </c>
      <c r="T55" s="6">
        <v>399.46153850000002</v>
      </c>
    </row>
    <row r="56" spans="1:20" x14ac:dyDescent="0.25">
      <c r="A56" t="s">
        <v>115</v>
      </c>
      <c r="C56">
        <v>2012</v>
      </c>
      <c r="D56" s="5">
        <v>220.43076919999999</v>
      </c>
      <c r="E56" s="5">
        <v>1.961538462</v>
      </c>
      <c r="F56" s="5">
        <v>1.8230769229999999</v>
      </c>
      <c r="G56" s="5">
        <v>0.138461538</v>
      </c>
      <c r="H56" s="6">
        <v>10.76923077</v>
      </c>
      <c r="I56" s="5">
        <v>29.069230770000001</v>
      </c>
      <c r="J56" s="5">
        <v>1569.0230770000001</v>
      </c>
      <c r="K56" s="6">
        <v>416.15384619999998</v>
      </c>
      <c r="L56" s="6">
        <v>403.61538460000003</v>
      </c>
      <c r="M56" s="6">
        <v>211.1538462</v>
      </c>
      <c r="N56" s="6">
        <v>45.46153846</v>
      </c>
      <c r="O56" s="6">
        <v>339.07692309999999</v>
      </c>
      <c r="P56" s="6">
        <v>488.7692308</v>
      </c>
      <c r="Q56" s="6">
        <v>149.69230769999999</v>
      </c>
      <c r="R56" s="5">
        <v>206.81538459999999</v>
      </c>
      <c r="S56" s="6">
        <v>404.30769229999999</v>
      </c>
      <c r="T56" s="6">
        <v>399.46153850000002</v>
      </c>
    </row>
    <row r="57" spans="1:20" x14ac:dyDescent="0.25">
      <c r="A57" t="s">
        <v>116</v>
      </c>
      <c r="C57">
        <v>1986</v>
      </c>
      <c r="D57" s="5">
        <v>11.7</v>
      </c>
      <c r="E57" s="5">
        <v>11.7</v>
      </c>
      <c r="F57" s="5">
        <v>11.7</v>
      </c>
      <c r="G57" s="5">
        <v>0</v>
      </c>
      <c r="H57" s="6">
        <v>0</v>
      </c>
      <c r="I57" s="5">
        <v>4.3</v>
      </c>
      <c r="J57" s="5">
        <v>4.3</v>
      </c>
      <c r="K57" s="6">
        <v>376</v>
      </c>
      <c r="L57" s="6">
        <v>376</v>
      </c>
      <c r="M57" s="6">
        <v>0</v>
      </c>
      <c r="N57" s="6">
        <v>0</v>
      </c>
      <c r="O57" s="6">
        <v>314</v>
      </c>
      <c r="P57" s="6">
        <v>462</v>
      </c>
      <c r="Q57" s="6">
        <v>148</v>
      </c>
      <c r="R57" s="5">
        <v>271.2</v>
      </c>
      <c r="S57" s="6">
        <v>404</v>
      </c>
      <c r="T57" s="6">
        <v>409</v>
      </c>
    </row>
    <row r="58" spans="1:20" x14ac:dyDescent="0.25">
      <c r="A58" t="s">
        <v>117</v>
      </c>
      <c r="C58">
        <v>1987</v>
      </c>
      <c r="D58" s="5">
        <v>26.58888889</v>
      </c>
      <c r="E58" s="5">
        <v>25.288888889999999</v>
      </c>
      <c r="F58" s="5">
        <v>18.633333329999999</v>
      </c>
      <c r="G58" s="5">
        <v>0.43333333299999999</v>
      </c>
      <c r="H58" s="6">
        <v>1.2222222220000001</v>
      </c>
      <c r="I58" s="5">
        <v>25.666666670000001</v>
      </c>
      <c r="J58" s="5">
        <v>26.144444440000001</v>
      </c>
      <c r="K58" s="6">
        <v>350</v>
      </c>
      <c r="L58" s="6">
        <v>346.66666670000001</v>
      </c>
      <c r="M58" s="6">
        <v>281.44444440000001</v>
      </c>
      <c r="N58" s="6">
        <v>91.222222220000006</v>
      </c>
      <c r="O58" s="6">
        <v>262.55555559999999</v>
      </c>
      <c r="P58" s="6">
        <v>495.11111110000002</v>
      </c>
      <c r="Q58" s="6">
        <v>232.55555559999999</v>
      </c>
      <c r="R58" s="5">
        <v>230.7</v>
      </c>
      <c r="S58" s="6">
        <v>414</v>
      </c>
      <c r="T58" s="6">
        <v>415.44444440000001</v>
      </c>
    </row>
    <row r="59" spans="1:20" x14ac:dyDescent="0.25">
      <c r="A59" t="s">
        <v>118</v>
      </c>
      <c r="C59">
        <v>1988</v>
      </c>
      <c r="D59" s="5">
        <v>42.54</v>
      </c>
      <c r="E59" s="5">
        <v>18.61</v>
      </c>
      <c r="F59" s="5">
        <v>16.86</v>
      </c>
      <c r="G59" s="5">
        <v>0.75</v>
      </c>
      <c r="H59" s="6">
        <v>3.2</v>
      </c>
      <c r="I59" s="5">
        <v>39.36</v>
      </c>
      <c r="J59" s="5">
        <v>62.88</v>
      </c>
      <c r="K59" s="6">
        <v>359.7</v>
      </c>
      <c r="L59" s="6">
        <v>354.5</v>
      </c>
      <c r="M59" s="6">
        <v>258</v>
      </c>
      <c r="N59" s="6">
        <v>78.599999999999994</v>
      </c>
      <c r="O59" s="6">
        <v>273.10000000000002</v>
      </c>
      <c r="P59" s="6">
        <v>498.8</v>
      </c>
      <c r="Q59" s="6">
        <v>225.7</v>
      </c>
      <c r="R59" s="5">
        <v>228.99</v>
      </c>
      <c r="S59" s="6">
        <v>413.9</v>
      </c>
      <c r="T59" s="6">
        <v>416.1</v>
      </c>
    </row>
    <row r="60" spans="1:20" x14ac:dyDescent="0.25">
      <c r="A60" t="s">
        <v>119</v>
      </c>
      <c r="C60">
        <v>1989</v>
      </c>
      <c r="D60" s="5">
        <v>58.8</v>
      </c>
      <c r="E60" s="5">
        <v>16.260000000000002</v>
      </c>
      <c r="F60" s="5">
        <v>15.48</v>
      </c>
      <c r="G60" s="5">
        <v>0.78</v>
      </c>
      <c r="H60" s="6">
        <v>4.8</v>
      </c>
      <c r="I60" s="5">
        <v>53.84</v>
      </c>
      <c r="J60" s="5">
        <v>116.74</v>
      </c>
      <c r="K60" s="6">
        <v>375.8</v>
      </c>
      <c r="L60" s="6">
        <v>367.8</v>
      </c>
      <c r="M60" s="6">
        <v>474.8</v>
      </c>
      <c r="N60" s="6">
        <v>142.30000000000001</v>
      </c>
      <c r="O60" s="6">
        <v>298.3</v>
      </c>
      <c r="P60" s="6">
        <v>538</v>
      </c>
      <c r="Q60" s="6">
        <v>239.7</v>
      </c>
      <c r="R60" s="5">
        <v>228.99</v>
      </c>
      <c r="S60" s="6">
        <v>413.9</v>
      </c>
      <c r="T60" s="6">
        <v>416.1</v>
      </c>
    </row>
    <row r="61" spans="1:20" x14ac:dyDescent="0.25">
      <c r="A61" t="s">
        <v>120</v>
      </c>
      <c r="C61">
        <v>1990</v>
      </c>
      <c r="D61" s="5">
        <v>71.91</v>
      </c>
      <c r="E61" s="5">
        <v>13.11</v>
      </c>
      <c r="F61" s="5">
        <v>11.46</v>
      </c>
      <c r="G61" s="5">
        <v>1.65</v>
      </c>
      <c r="H61" s="6">
        <v>13.1</v>
      </c>
      <c r="I61" s="5">
        <v>56.46</v>
      </c>
      <c r="J61" s="5">
        <v>173.22</v>
      </c>
      <c r="K61" s="6">
        <v>394.6</v>
      </c>
      <c r="L61" s="6">
        <v>373.7</v>
      </c>
      <c r="M61" s="6">
        <v>531.79999999999995</v>
      </c>
      <c r="N61" s="6">
        <v>158.1</v>
      </c>
      <c r="O61" s="6">
        <v>313.5</v>
      </c>
      <c r="P61" s="6">
        <v>561.1</v>
      </c>
      <c r="Q61" s="6">
        <v>247.6</v>
      </c>
      <c r="R61" s="5">
        <v>228.99</v>
      </c>
      <c r="S61" s="6">
        <v>413.9</v>
      </c>
      <c r="T61" s="6">
        <v>416.1</v>
      </c>
    </row>
    <row r="62" spans="1:20" x14ac:dyDescent="0.25">
      <c r="A62" t="s">
        <v>121</v>
      </c>
      <c r="C62">
        <v>1991</v>
      </c>
      <c r="D62" s="5">
        <v>83.49</v>
      </c>
      <c r="E62" s="5">
        <v>11.58</v>
      </c>
      <c r="F62" s="5">
        <v>10.199999999999999</v>
      </c>
      <c r="G62" s="5">
        <v>1.38</v>
      </c>
      <c r="H62" s="6">
        <v>12</v>
      </c>
      <c r="I62" s="5">
        <v>58.13</v>
      </c>
      <c r="J62" s="5">
        <v>231.33</v>
      </c>
      <c r="K62" s="6">
        <v>400.2</v>
      </c>
      <c r="L62" s="6">
        <v>379.6</v>
      </c>
      <c r="M62" s="6">
        <v>546</v>
      </c>
      <c r="N62" s="6">
        <v>166.4</v>
      </c>
      <c r="O62" s="6">
        <v>321.3</v>
      </c>
      <c r="P62" s="6">
        <v>573.70000000000005</v>
      </c>
      <c r="Q62" s="6">
        <v>252.4</v>
      </c>
      <c r="R62" s="5">
        <v>228.99</v>
      </c>
      <c r="S62" s="6">
        <v>413.9</v>
      </c>
      <c r="T62" s="6">
        <v>416.1</v>
      </c>
    </row>
    <row r="63" spans="1:20" x14ac:dyDescent="0.25">
      <c r="A63" t="s">
        <v>122</v>
      </c>
      <c r="C63">
        <v>1992</v>
      </c>
      <c r="D63" s="5">
        <v>96.54</v>
      </c>
      <c r="E63" s="5">
        <v>13.05</v>
      </c>
      <c r="F63" s="5">
        <v>11.22</v>
      </c>
      <c r="G63" s="5">
        <v>1.83</v>
      </c>
      <c r="H63" s="6">
        <v>13.8</v>
      </c>
      <c r="I63" s="5">
        <v>76.41</v>
      </c>
      <c r="J63" s="5">
        <v>307.74</v>
      </c>
      <c r="K63" s="6">
        <v>407</v>
      </c>
      <c r="L63" s="6">
        <v>386.6</v>
      </c>
      <c r="M63" s="6">
        <v>532.6</v>
      </c>
      <c r="N63" s="6">
        <v>146</v>
      </c>
      <c r="O63" s="6">
        <v>339</v>
      </c>
      <c r="P63" s="6">
        <v>559.1</v>
      </c>
      <c r="Q63" s="6">
        <v>220.1</v>
      </c>
      <c r="R63" s="5">
        <v>228.99</v>
      </c>
      <c r="S63" s="6">
        <v>413.9</v>
      </c>
      <c r="T63" s="6">
        <v>416.1</v>
      </c>
    </row>
    <row r="64" spans="1:20" x14ac:dyDescent="0.25">
      <c r="A64" t="s">
        <v>123</v>
      </c>
      <c r="C64">
        <v>1993</v>
      </c>
      <c r="D64" s="5">
        <v>106.98</v>
      </c>
      <c r="E64" s="5">
        <v>10.44</v>
      </c>
      <c r="F64" s="5">
        <v>8.85</v>
      </c>
      <c r="G64" s="5">
        <v>1.59</v>
      </c>
      <c r="H64" s="6">
        <v>15</v>
      </c>
      <c r="I64" s="5">
        <v>71.03</v>
      </c>
      <c r="J64" s="5">
        <v>378.75</v>
      </c>
      <c r="K64" s="6">
        <v>403.6</v>
      </c>
      <c r="L64" s="6">
        <v>378.5</v>
      </c>
      <c r="M64" s="6">
        <v>544.70000000000005</v>
      </c>
      <c r="N64" s="6">
        <v>166.2</v>
      </c>
      <c r="O64" s="6">
        <v>321.10000000000002</v>
      </c>
      <c r="P64" s="6">
        <v>570.29999999999995</v>
      </c>
      <c r="Q64" s="6">
        <v>249.2</v>
      </c>
      <c r="R64" s="5">
        <v>228.99</v>
      </c>
      <c r="S64" s="6">
        <v>413.9</v>
      </c>
      <c r="T64" s="6">
        <v>416.1</v>
      </c>
    </row>
    <row r="65" spans="1:20" x14ac:dyDescent="0.25">
      <c r="A65" t="s">
        <v>124</v>
      </c>
      <c r="C65">
        <v>1994</v>
      </c>
      <c r="D65" s="5">
        <v>116.04</v>
      </c>
      <c r="E65" s="5">
        <v>9.06</v>
      </c>
      <c r="F65" s="5">
        <v>7.8</v>
      </c>
      <c r="G65" s="5">
        <v>1.26</v>
      </c>
      <c r="H65" s="6">
        <v>15.3</v>
      </c>
      <c r="I65" s="5">
        <v>67.61</v>
      </c>
      <c r="J65" s="5">
        <v>446.36</v>
      </c>
      <c r="K65" s="6">
        <v>409.3</v>
      </c>
      <c r="L65" s="6">
        <v>386.5</v>
      </c>
      <c r="M65" s="6">
        <v>539.29999999999995</v>
      </c>
      <c r="N65" s="6">
        <v>152.80000000000001</v>
      </c>
      <c r="O65" s="6">
        <v>326.39999999999998</v>
      </c>
      <c r="P65" s="6">
        <v>558.5</v>
      </c>
      <c r="Q65" s="6">
        <v>232.1</v>
      </c>
      <c r="R65" s="5">
        <v>228.99</v>
      </c>
      <c r="S65" s="6">
        <v>413.9</v>
      </c>
      <c r="T65" s="6">
        <v>416.1</v>
      </c>
    </row>
    <row r="66" spans="1:20" x14ac:dyDescent="0.25">
      <c r="A66" t="s">
        <v>125</v>
      </c>
      <c r="C66">
        <v>1995</v>
      </c>
      <c r="D66" s="5">
        <v>123.75</v>
      </c>
      <c r="E66" s="5">
        <v>7.71</v>
      </c>
      <c r="F66" s="5">
        <v>7.02</v>
      </c>
      <c r="G66" s="5">
        <v>0.69</v>
      </c>
      <c r="H66" s="6">
        <v>9.6</v>
      </c>
      <c r="I66" s="5">
        <v>60.22</v>
      </c>
      <c r="J66" s="5">
        <v>506.6</v>
      </c>
      <c r="K66" s="6">
        <v>413</v>
      </c>
      <c r="L66" s="6">
        <v>399.8</v>
      </c>
      <c r="M66" s="6">
        <v>534.29999999999995</v>
      </c>
      <c r="N66" s="6">
        <v>134.5</v>
      </c>
      <c r="O66" s="6">
        <v>328.8</v>
      </c>
      <c r="P66" s="6">
        <v>550.79999999999995</v>
      </c>
      <c r="Q66" s="6">
        <v>222</v>
      </c>
      <c r="R66" s="5">
        <v>228.99</v>
      </c>
      <c r="S66" s="6">
        <v>413.9</v>
      </c>
      <c r="T66" s="6">
        <v>416.1</v>
      </c>
    </row>
    <row r="67" spans="1:20" x14ac:dyDescent="0.25">
      <c r="A67" t="s">
        <v>126</v>
      </c>
      <c r="C67">
        <v>1996</v>
      </c>
      <c r="D67" s="5">
        <v>133.59</v>
      </c>
      <c r="E67" s="5">
        <v>9.84</v>
      </c>
      <c r="F67" s="5">
        <v>8.16</v>
      </c>
      <c r="G67" s="5">
        <v>1.68</v>
      </c>
      <c r="H67" s="6">
        <v>17.100000000000001</v>
      </c>
      <c r="I67" s="5">
        <v>78.53</v>
      </c>
      <c r="J67" s="5">
        <v>585.12</v>
      </c>
      <c r="K67" s="6">
        <v>407.1</v>
      </c>
      <c r="L67" s="6">
        <v>377.8</v>
      </c>
      <c r="M67" s="6">
        <v>545.79999999999995</v>
      </c>
      <c r="N67" s="6">
        <v>168</v>
      </c>
      <c r="O67" s="6">
        <v>325.39999999999998</v>
      </c>
      <c r="P67" s="6">
        <v>571.70000000000005</v>
      </c>
      <c r="Q67" s="6">
        <v>246.3</v>
      </c>
      <c r="R67" s="5">
        <v>228.99</v>
      </c>
      <c r="S67" s="6">
        <v>413.9</v>
      </c>
      <c r="T67" s="6">
        <v>416.1</v>
      </c>
    </row>
    <row r="68" spans="1:20" x14ac:dyDescent="0.25">
      <c r="A68" t="s">
        <v>127</v>
      </c>
      <c r="C68">
        <v>1997</v>
      </c>
      <c r="D68" s="5">
        <v>145.38</v>
      </c>
      <c r="E68" s="5">
        <v>11.79</v>
      </c>
      <c r="F68" s="5">
        <v>9.81</v>
      </c>
      <c r="G68" s="5">
        <v>1.98</v>
      </c>
      <c r="H68" s="6">
        <v>16.5</v>
      </c>
      <c r="I68" s="5">
        <v>103.14</v>
      </c>
      <c r="J68" s="5">
        <v>688.26</v>
      </c>
      <c r="K68" s="6">
        <v>422.7</v>
      </c>
      <c r="L68" s="6">
        <v>398</v>
      </c>
      <c r="M68" s="6">
        <v>543.9</v>
      </c>
      <c r="N68" s="6">
        <v>145.9</v>
      </c>
      <c r="O68" s="6">
        <v>348.6</v>
      </c>
      <c r="P68" s="6">
        <v>568.6</v>
      </c>
      <c r="Q68" s="6">
        <v>220</v>
      </c>
      <c r="R68" s="5">
        <v>228.99</v>
      </c>
      <c r="S68" s="6">
        <v>413.9</v>
      </c>
      <c r="T68" s="6">
        <v>416.1</v>
      </c>
    </row>
    <row r="69" spans="1:20" x14ac:dyDescent="0.25">
      <c r="A69" t="s">
        <v>128</v>
      </c>
      <c r="C69">
        <v>1998</v>
      </c>
      <c r="D69" s="5">
        <v>153.84</v>
      </c>
      <c r="E69" s="5">
        <v>8.4600000000000009</v>
      </c>
      <c r="F69" s="5">
        <v>7.14</v>
      </c>
      <c r="G69" s="5">
        <v>1.32</v>
      </c>
      <c r="H69" s="6">
        <v>16.2</v>
      </c>
      <c r="I69" s="5">
        <v>78.33</v>
      </c>
      <c r="J69" s="5">
        <v>766.6</v>
      </c>
      <c r="K69" s="6">
        <v>421.7</v>
      </c>
      <c r="L69" s="6">
        <v>399.5</v>
      </c>
      <c r="M69" s="6">
        <v>486.3</v>
      </c>
      <c r="N69" s="6">
        <v>128</v>
      </c>
      <c r="O69" s="6">
        <v>331.2</v>
      </c>
      <c r="P69" s="6">
        <v>562.5</v>
      </c>
      <c r="Q69" s="6">
        <v>231.3</v>
      </c>
      <c r="R69" s="5">
        <v>228.99</v>
      </c>
      <c r="S69" s="6">
        <v>413.9</v>
      </c>
      <c r="T69" s="6">
        <v>416.1</v>
      </c>
    </row>
    <row r="70" spans="1:20" x14ac:dyDescent="0.25">
      <c r="A70" t="s">
        <v>129</v>
      </c>
      <c r="C70">
        <v>1999</v>
      </c>
      <c r="D70" s="5">
        <v>163.59</v>
      </c>
      <c r="E70" s="5">
        <v>9.75</v>
      </c>
      <c r="F70" s="5">
        <v>9.18</v>
      </c>
      <c r="G70" s="5">
        <v>0.56999999999999995</v>
      </c>
      <c r="H70" s="6">
        <v>5.0999999999999996</v>
      </c>
      <c r="I70" s="5">
        <v>96.97</v>
      </c>
      <c r="J70" s="5">
        <v>863.57</v>
      </c>
      <c r="K70" s="6">
        <v>403.1</v>
      </c>
      <c r="L70" s="6">
        <v>396.2</v>
      </c>
      <c r="M70" s="6">
        <v>368</v>
      </c>
      <c r="N70" s="6">
        <v>92.2</v>
      </c>
      <c r="O70" s="6">
        <v>349.1</v>
      </c>
      <c r="P70" s="6">
        <v>523.20000000000005</v>
      </c>
      <c r="Q70" s="6">
        <v>174.1</v>
      </c>
      <c r="R70" s="5">
        <v>228.99</v>
      </c>
      <c r="S70" s="6">
        <v>413.9</v>
      </c>
      <c r="T70" s="6">
        <v>416.1</v>
      </c>
    </row>
    <row r="71" spans="1:20" x14ac:dyDescent="0.25">
      <c r="A71" t="s">
        <v>130</v>
      </c>
      <c r="C71">
        <v>2000</v>
      </c>
      <c r="D71" s="5">
        <v>171.48</v>
      </c>
      <c r="E71" s="5">
        <v>7.89</v>
      </c>
      <c r="F71" s="5">
        <v>7.05</v>
      </c>
      <c r="G71" s="5">
        <v>0.84</v>
      </c>
      <c r="H71" s="6">
        <v>11.4</v>
      </c>
      <c r="I71" s="5">
        <v>83.24</v>
      </c>
      <c r="J71" s="5">
        <v>946.81</v>
      </c>
      <c r="K71" s="6">
        <v>407.2</v>
      </c>
      <c r="L71" s="6">
        <v>390.8</v>
      </c>
      <c r="M71" s="6">
        <v>485.5</v>
      </c>
      <c r="N71" s="6">
        <v>132.1</v>
      </c>
      <c r="O71" s="6">
        <v>331.4</v>
      </c>
      <c r="P71" s="6">
        <v>550.70000000000005</v>
      </c>
      <c r="Q71" s="6">
        <v>219.3</v>
      </c>
      <c r="R71" s="5">
        <v>228.99</v>
      </c>
      <c r="S71" s="6">
        <v>413.9</v>
      </c>
      <c r="T71" s="6">
        <v>416.1</v>
      </c>
    </row>
    <row r="72" spans="1:20" x14ac:dyDescent="0.25">
      <c r="A72" t="s">
        <v>131</v>
      </c>
      <c r="C72">
        <v>2001</v>
      </c>
      <c r="D72" s="5">
        <v>179.22</v>
      </c>
      <c r="E72" s="5">
        <v>7.74</v>
      </c>
      <c r="F72" s="5">
        <v>6.63</v>
      </c>
      <c r="G72" s="5">
        <v>1.1100000000000001</v>
      </c>
      <c r="H72" s="6">
        <v>14.6</v>
      </c>
      <c r="I72" s="5">
        <v>85.79</v>
      </c>
      <c r="J72" s="5">
        <v>1032.6199999999999</v>
      </c>
      <c r="K72" s="6">
        <v>428.8</v>
      </c>
      <c r="L72" s="6">
        <v>407.9</v>
      </c>
      <c r="M72" s="6">
        <v>547.79999999999995</v>
      </c>
      <c r="N72" s="6">
        <v>139.9</v>
      </c>
      <c r="O72" s="6">
        <v>353.4</v>
      </c>
      <c r="P72" s="6">
        <v>575.29999999999995</v>
      </c>
      <c r="Q72" s="6">
        <v>221.9</v>
      </c>
      <c r="R72" s="5">
        <v>228.99</v>
      </c>
      <c r="S72" s="6">
        <v>413.9</v>
      </c>
      <c r="T72" s="6">
        <v>416.1</v>
      </c>
    </row>
    <row r="73" spans="1:20" x14ac:dyDescent="0.25">
      <c r="A73" t="s">
        <v>132</v>
      </c>
      <c r="C73">
        <v>2002</v>
      </c>
      <c r="D73" s="5">
        <v>187.08</v>
      </c>
      <c r="E73" s="5">
        <v>7.86</v>
      </c>
      <c r="F73" s="5">
        <v>6.12</v>
      </c>
      <c r="G73" s="5">
        <v>1.74</v>
      </c>
      <c r="H73" s="6">
        <v>23.3</v>
      </c>
      <c r="I73" s="5">
        <v>90.78</v>
      </c>
      <c r="J73" s="5">
        <v>1123.4000000000001</v>
      </c>
      <c r="K73" s="6">
        <v>440.5</v>
      </c>
      <c r="L73" s="6">
        <v>405.9</v>
      </c>
      <c r="M73" s="6">
        <v>554.5</v>
      </c>
      <c r="N73" s="6">
        <v>148.6</v>
      </c>
      <c r="O73" s="6">
        <v>350.7</v>
      </c>
      <c r="P73" s="6">
        <v>591.20000000000005</v>
      </c>
      <c r="Q73" s="6">
        <v>240.5</v>
      </c>
      <c r="R73" s="5">
        <v>228.99</v>
      </c>
      <c r="S73" s="6">
        <v>413.9</v>
      </c>
      <c r="T73" s="6">
        <v>416.1</v>
      </c>
    </row>
    <row r="74" spans="1:20" x14ac:dyDescent="0.25">
      <c r="A74" t="s">
        <v>133</v>
      </c>
      <c r="C74">
        <v>2003</v>
      </c>
      <c r="D74" s="5">
        <v>195.72</v>
      </c>
      <c r="E74" s="5">
        <v>8.64</v>
      </c>
      <c r="F74" s="5">
        <v>7.65</v>
      </c>
      <c r="G74" s="5">
        <v>0.99</v>
      </c>
      <c r="H74" s="6">
        <v>12</v>
      </c>
      <c r="I74" s="5">
        <v>104.76</v>
      </c>
      <c r="J74" s="5">
        <v>1228.1500000000001</v>
      </c>
      <c r="K74" s="6">
        <v>425.8</v>
      </c>
      <c r="L74" s="6">
        <v>410</v>
      </c>
      <c r="M74" s="6">
        <v>535.70000000000005</v>
      </c>
      <c r="N74" s="6">
        <v>125.7</v>
      </c>
      <c r="O74" s="6">
        <v>356.3</v>
      </c>
      <c r="P74" s="6">
        <v>556.29999999999995</v>
      </c>
      <c r="Q74" s="6">
        <v>200</v>
      </c>
      <c r="R74" s="5">
        <v>228.99</v>
      </c>
      <c r="S74" s="6">
        <v>413.9</v>
      </c>
      <c r="T74" s="6">
        <v>416.1</v>
      </c>
    </row>
    <row r="75" spans="1:20" x14ac:dyDescent="0.25">
      <c r="A75" t="s">
        <v>134</v>
      </c>
      <c r="C75">
        <v>2004</v>
      </c>
      <c r="D75" s="5">
        <v>203.22</v>
      </c>
      <c r="E75" s="5">
        <v>7.5</v>
      </c>
      <c r="F75" s="5">
        <v>6.03</v>
      </c>
      <c r="G75" s="5">
        <v>1.47</v>
      </c>
      <c r="H75" s="6">
        <v>21.1</v>
      </c>
      <c r="I75" s="5">
        <v>95.97</v>
      </c>
      <c r="J75" s="5">
        <v>1324.1</v>
      </c>
      <c r="K75" s="6">
        <v>429</v>
      </c>
      <c r="L75" s="6">
        <v>399.2</v>
      </c>
      <c r="M75" s="6">
        <v>539.9</v>
      </c>
      <c r="N75" s="6">
        <v>140.69999999999999</v>
      </c>
      <c r="O75" s="6">
        <v>353.2</v>
      </c>
      <c r="P75" s="6">
        <v>559.20000000000005</v>
      </c>
      <c r="Q75" s="6">
        <v>206</v>
      </c>
      <c r="R75" s="5">
        <v>228.99</v>
      </c>
      <c r="S75" s="6">
        <v>413.9</v>
      </c>
      <c r="T75" s="6">
        <v>416.1</v>
      </c>
    </row>
    <row r="76" spans="1:20" x14ac:dyDescent="0.25">
      <c r="A76" t="s">
        <v>135</v>
      </c>
      <c r="C76">
        <v>2005</v>
      </c>
      <c r="D76" s="5">
        <v>216.56666670000001</v>
      </c>
      <c r="E76" s="5">
        <v>6.6333333330000004</v>
      </c>
      <c r="F76" s="5">
        <v>5.9333333330000002</v>
      </c>
      <c r="G76" s="5">
        <v>0.7</v>
      </c>
      <c r="H76" s="6">
        <v>9.7777777780000008</v>
      </c>
      <c r="I76" s="5">
        <v>90.266666670000006</v>
      </c>
      <c r="J76" s="5">
        <v>1490.3444440000001</v>
      </c>
      <c r="K76" s="6">
        <v>424.44444440000001</v>
      </c>
      <c r="L76" s="6">
        <v>410.55555559999999</v>
      </c>
      <c r="M76" s="6">
        <v>479.33333329999999</v>
      </c>
      <c r="N76" s="6">
        <v>116.55555560000001</v>
      </c>
      <c r="O76" s="6">
        <v>360.11111110000002</v>
      </c>
      <c r="P76" s="6">
        <v>550.44444439999995</v>
      </c>
      <c r="Q76" s="6">
        <v>190.33333329999999</v>
      </c>
      <c r="R76" s="5">
        <v>238.53333330000001</v>
      </c>
      <c r="S76" s="6">
        <v>412</v>
      </c>
      <c r="T76" s="6">
        <v>414.11111110000002</v>
      </c>
    </row>
    <row r="77" spans="1:20" x14ac:dyDescent="0.25">
      <c r="A77" t="s">
        <v>136</v>
      </c>
      <c r="C77">
        <v>2006</v>
      </c>
      <c r="D77" s="5">
        <v>221.3</v>
      </c>
      <c r="E77" s="5">
        <v>4.733333333</v>
      </c>
      <c r="F77" s="5">
        <v>3.9333333330000002</v>
      </c>
      <c r="G77" s="5">
        <v>0.8</v>
      </c>
      <c r="H77" s="6">
        <v>18.222222219999999</v>
      </c>
      <c r="I77" s="5">
        <v>65.644444440000001</v>
      </c>
      <c r="J77" s="5">
        <v>1555.988889</v>
      </c>
      <c r="K77" s="6">
        <v>435.88888889999998</v>
      </c>
      <c r="L77" s="6">
        <v>413.22222219999998</v>
      </c>
      <c r="M77" s="6">
        <v>539.22222220000003</v>
      </c>
      <c r="N77" s="6">
        <v>126</v>
      </c>
      <c r="O77" s="6">
        <v>358.44444440000001</v>
      </c>
      <c r="P77" s="6">
        <v>554.88888889999998</v>
      </c>
      <c r="Q77" s="6">
        <v>196.44444440000001</v>
      </c>
      <c r="R77" s="5">
        <v>238.53333330000001</v>
      </c>
      <c r="S77" s="6">
        <v>412</v>
      </c>
      <c r="T77" s="6">
        <v>414.11111110000002</v>
      </c>
    </row>
    <row r="78" spans="1:20" x14ac:dyDescent="0.25">
      <c r="A78" t="s">
        <v>137</v>
      </c>
      <c r="C78">
        <v>2007</v>
      </c>
      <c r="D78" s="5">
        <v>225.66666670000001</v>
      </c>
      <c r="E78" s="5">
        <v>4.3666666669999996</v>
      </c>
      <c r="F78" s="5">
        <v>3.2</v>
      </c>
      <c r="G78" s="5">
        <v>1.1666666670000001</v>
      </c>
      <c r="H78" s="6">
        <v>27.444444440000002</v>
      </c>
      <c r="I78" s="5">
        <v>62.377777780000002</v>
      </c>
      <c r="J78" s="5">
        <v>1618.3444440000001</v>
      </c>
      <c r="K78" s="6">
        <v>454.88888889999998</v>
      </c>
      <c r="L78" s="6">
        <v>419</v>
      </c>
      <c r="M78" s="6">
        <v>494.44444440000001</v>
      </c>
      <c r="N78" s="6">
        <v>124.33333330000001</v>
      </c>
      <c r="O78" s="6">
        <v>363</v>
      </c>
      <c r="P78" s="6">
        <v>583.44444439999995</v>
      </c>
      <c r="Q78" s="6">
        <v>220.44444440000001</v>
      </c>
      <c r="R78" s="5">
        <v>238.53333330000001</v>
      </c>
      <c r="S78" s="6">
        <v>412</v>
      </c>
      <c r="T78" s="6">
        <v>414.11111110000002</v>
      </c>
    </row>
    <row r="79" spans="1:20" x14ac:dyDescent="0.25">
      <c r="A79" t="s">
        <v>138</v>
      </c>
      <c r="C79">
        <v>2008</v>
      </c>
      <c r="D79" s="5">
        <v>231.65</v>
      </c>
      <c r="E79" s="5">
        <v>5.4749999999999996</v>
      </c>
      <c r="F79" s="5">
        <v>4.4625000000000004</v>
      </c>
      <c r="G79" s="5">
        <v>1.0125</v>
      </c>
      <c r="H79" s="6">
        <v>18.75</v>
      </c>
      <c r="I79" s="5">
        <v>79.762500000000003</v>
      </c>
      <c r="J79" s="5">
        <v>1707.5625</v>
      </c>
      <c r="K79" s="6">
        <v>439.625</v>
      </c>
      <c r="L79" s="6">
        <v>416.875</v>
      </c>
      <c r="M79" s="6">
        <v>471.75</v>
      </c>
      <c r="N79" s="6">
        <v>106.875</v>
      </c>
      <c r="O79" s="6">
        <v>366.125</v>
      </c>
      <c r="P79" s="6">
        <v>563.125</v>
      </c>
      <c r="Q79" s="6">
        <v>197</v>
      </c>
      <c r="R79" s="5">
        <v>241.125</v>
      </c>
      <c r="S79" s="6">
        <v>415.625</v>
      </c>
      <c r="T79" s="6">
        <v>417.75</v>
      </c>
    </row>
    <row r="80" spans="1:20" x14ac:dyDescent="0.25">
      <c r="A80" t="s">
        <v>139</v>
      </c>
      <c r="C80">
        <v>2009</v>
      </c>
      <c r="D80" s="5">
        <v>236.22499999999999</v>
      </c>
      <c r="E80" s="5">
        <v>4.5750000000000002</v>
      </c>
      <c r="F80" s="5">
        <v>3.6</v>
      </c>
      <c r="G80" s="5">
        <v>0.97499999999999998</v>
      </c>
      <c r="H80" s="6">
        <v>22.375</v>
      </c>
      <c r="I80" s="5">
        <v>68.037499999999994</v>
      </c>
      <c r="J80" s="5">
        <v>1775.6125</v>
      </c>
      <c r="K80" s="6">
        <v>446</v>
      </c>
      <c r="L80" s="6">
        <v>417.5</v>
      </c>
      <c r="M80" s="6">
        <v>548.75</v>
      </c>
      <c r="N80" s="6">
        <v>131.25</v>
      </c>
      <c r="O80" s="6">
        <v>370.875</v>
      </c>
      <c r="P80" s="6">
        <v>572.5</v>
      </c>
      <c r="Q80" s="6">
        <v>201.625</v>
      </c>
      <c r="R80" s="5">
        <v>241.125</v>
      </c>
      <c r="S80" s="6">
        <v>415.625</v>
      </c>
      <c r="T80" s="6">
        <v>417.75</v>
      </c>
    </row>
    <row r="81" spans="1:20" x14ac:dyDescent="0.25">
      <c r="A81" t="s">
        <v>140</v>
      </c>
      <c r="C81">
        <v>2010</v>
      </c>
      <c r="D81" s="5">
        <v>240.95</v>
      </c>
      <c r="E81" s="5">
        <v>4.7249999999999996</v>
      </c>
      <c r="F81" s="5">
        <v>3.7124999999999999</v>
      </c>
      <c r="G81" s="5">
        <v>1.0125</v>
      </c>
      <c r="H81" s="6">
        <v>20.625</v>
      </c>
      <c r="I81" s="5">
        <v>72.012500000000003</v>
      </c>
      <c r="J81" s="5">
        <v>1847.65</v>
      </c>
      <c r="K81" s="6">
        <v>436.625</v>
      </c>
      <c r="L81" s="6">
        <v>407.125</v>
      </c>
      <c r="M81" s="6">
        <v>547</v>
      </c>
      <c r="N81" s="6">
        <v>139.875</v>
      </c>
      <c r="O81" s="6">
        <v>354.875</v>
      </c>
      <c r="P81" s="6">
        <v>577.125</v>
      </c>
      <c r="Q81" s="6">
        <v>222.25</v>
      </c>
      <c r="R81" s="5">
        <v>241.125</v>
      </c>
      <c r="S81" s="6">
        <v>415.625</v>
      </c>
      <c r="T81" s="6">
        <v>417.75</v>
      </c>
    </row>
    <row r="82" spans="1:20" x14ac:dyDescent="0.25">
      <c r="A82" t="s">
        <v>141</v>
      </c>
      <c r="C82">
        <v>2011</v>
      </c>
      <c r="D82" s="5">
        <v>244.85</v>
      </c>
      <c r="E82" s="5">
        <v>3.9</v>
      </c>
      <c r="F82" s="5">
        <v>3.2250000000000001</v>
      </c>
      <c r="G82" s="5">
        <v>0.67500000000000004</v>
      </c>
      <c r="H82" s="6">
        <v>18</v>
      </c>
      <c r="I82" s="5">
        <v>60.774999999999999</v>
      </c>
      <c r="J82" s="5">
        <v>1908.4124999999999</v>
      </c>
      <c r="K82" s="6">
        <v>437.5</v>
      </c>
      <c r="L82" s="6">
        <v>412.25</v>
      </c>
      <c r="M82" s="6">
        <v>553.125</v>
      </c>
      <c r="N82" s="6">
        <v>140.875</v>
      </c>
      <c r="O82" s="6">
        <v>367.625</v>
      </c>
      <c r="P82" s="6">
        <v>565.375</v>
      </c>
      <c r="Q82" s="6">
        <v>197.75</v>
      </c>
      <c r="R82" s="5">
        <v>241.125</v>
      </c>
      <c r="S82" s="6">
        <v>415.625</v>
      </c>
      <c r="T82" s="6">
        <v>417.75</v>
      </c>
    </row>
    <row r="83" spans="1:20" x14ac:dyDescent="0.25">
      <c r="A83" t="s">
        <v>142</v>
      </c>
      <c r="C83">
        <v>2012</v>
      </c>
      <c r="D83" s="5">
        <v>248</v>
      </c>
      <c r="E83" s="5">
        <v>3.15</v>
      </c>
      <c r="F83" s="5">
        <v>2.7</v>
      </c>
      <c r="G83" s="5">
        <v>0.45</v>
      </c>
      <c r="H83" s="6">
        <v>16.5</v>
      </c>
      <c r="I83" s="5">
        <v>50.137500000000003</v>
      </c>
      <c r="J83" s="5">
        <v>1958.5374999999999</v>
      </c>
      <c r="K83" s="6">
        <v>432.375</v>
      </c>
      <c r="L83" s="6">
        <v>414.125</v>
      </c>
      <c r="M83" s="6">
        <v>394</v>
      </c>
      <c r="N83" s="6">
        <v>84.375</v>
      </c>
      <c r="O83" s="6">
        <v>365</v>
      </c>
      <c r="P83" s="6">
        <v>517.625</v>
      </c>
      <c r="Q83" s="6">
        <v>152.625</v>
      </c>
      <c r="R83" s="5">
        <v>241.125</v>
      </c>
      <c r="S83" s="6">
        <v>415.625</v>
      </c>
      <c r="T83" s="6">
        <v>417.75</v>
      </c>
    </row>
    <row r="84" spans="1:20" x14ac:dyDescent="0.25">
      <c r="A84" t="s">
        <v>143</v>
      </c>
      <c r="C84">
        <v>1987</v>
      </c>
      <c r="D84" s="5">
        <v>28.6</v>
      </c>
      <c r="E84" s="5">
        <v>28.6</v>
      </c>
      <c r="F84" s="5">
        <v>15</v>
      </c>
      <c r="G84" s="5">
        <v>0</v>
      </c>
      <c r="H84" s="6">
        <v>0</v>
      </c>
      <c r="I84" s="5">
        <v>28.54</v>
      </c>
      <c r="J84" s="5">
        <v>28.54</v>
      </c>
      <c r="K84" s="6">
        <v>349.2</v>
      </c>
      <c r="L84" s="6">
        <v>349.2</v>
      </c>
      <c r="M84" s="6">
        <v>0</v>
      </c>
      <c r="N84" s="6">
        <v>0</v>
      </c>
      <c r="O84" s="6">
        <v>240.2</v>
      </c>
      <c r="P84" s="6">
        <v>470.4</v>
      </c>
      <c r="Q84" s="6">
        <v>230.2</v>
      </c>
      <c r="R84" s="5">
        <v>268.14</v>
      </c>
      <c r="S84" s="6">
        <v>403.2</v>
      </c>
      <c r="T84" s="6">
        <v>392.4</v>
      </c>
    </row>
    <row r="85" spans="1:20" x14ac:dyDescent="0.25">
      <c r="A85" t="s">
        <v>144</v>
      </c>
      <c r="C85">
        <v>1988</v>
      </c>
      <c r="D85" s="5">
        <v>47.071428570000002</v>
      </c>
      <c r="E85" s="5">
        <v>26.64285714</v>
      </c>
      <c r="F85" s="5">
        <v>21.34285714</v>
      </c>
      <c r="G85" s="5">
        <v>0.3</v>
      </c>
      <c r="H85" s="6">
        <v>1.1428571430000001</v>
      </c>
      <c r="I85" s="5">
        <v>52.985714289999997</v>
      </c>
      <c r="J85" s="5">
        <v>73.357142859999996</v>
      </c>
      <c r="K85" s="6">
        <v>348.42857140000001</v>
      </c>
      <c r="L85" s="6">
        <v>345.7142857</v>
      </c>
      <c r="M85" s="6">
        <v>146.57142859999999</v>
      </c>
      <c r="N85" s="6">
        <v>48.571428570000002</v>
      </c>
      <c r="O85" s="6">
        <v>264.2857143</v>
      </c>
      <c r="P85" s="6">
        <v>480.14285710000001</v>
      </c>
      <c r="Q85" s="6">
        <v>215.85714290000001</v>
      </c>
      <c r="R85" s="5">
        <v>269.57142859999999</v>
      </c>
      <c r="S85" s="6">
        <v>401.2857143</v>
      </c>
      <c r="T85" s="6">
        <v>392.85714289999999</v>
      </c>
    </row>
    <row r="86" spans="1:20" x14ac:dyDescent="0.25">
      <c r="A86" t="s">
        <v>145</v>
      </c>
      <c r="C86">
        <v>1989</v>
      </c>
      <c r="D86" s="5">
        <v>61.612499999999997</v>
      </c>
      <c r="E86" s="5">
        <v>20.425000000000001</v>
      </c>
      <c r="F86" s="5">
        <v>17.362500000000001</v>
      </c>
      <c r="G86" s="5">
        <v>0.5625</v>
      </c>
      <c r="H86" s="6">
        <v>2.625</v>
      </c>
      <c r="I86" s="5">
        <v>65.037499999999994</v>
      </c>
      <c r="J86" s="5">
        <v>129.21250000000001</v>
      </c>
      <c r="K86" s="6">
        <v>372.125</v>
      </c>
      <c r="L86" s="6">
        <v>365.625</v>
      </c>
      <c r="M86" s="6">
        <v>259.5</v>
      </c>
      <c r="N86" s="6">
        <v>68.25</v>
      </c>
      <c r="O86" s="6">
        <v>287.75</v>
      </c>
      <c r="P86" s="6">
        <v>504.5</v>
      </c>
      <c r="Q86" s="6">
        <v>216.75</v>
      </c>
      <c r="R86" s="5">
        <v>266.4375</v>
      </c>
      <c r="S86" s="6">
        <v>405.375</v>
      </c>
      <c r="T86" s="6">
        <v>397.375</v>
      </c>
    </row>
    <row r="87" spans="1:20" x14ac:dyDescent="0.25">
      <c r="A87" t="s">
        <v>146</v>
      </c>
      <c r="C87">
        <v>1990</v>
      </c>
      <c r="D87" s="5">
        <v>67.239999999999995</v>
      </c>
      <c r="E87" s="5">
        <v>17.95</v>
      </c>
      <c r="F87" s="5">
        <v>12.96</v>
      </c>
      <c r="G87" s="5">
        <v>0.99</v>
      </c>
      <c r="H87" s="6">
        <v>9.1</v>
      </c>
      <c r="I87" s="5">
        <v>54</v>
      </c>
      <c r="J87" s="5">
        <v>157.37</v>
      </c>
      <c r="K87" s="6">
        <v>379.1</v>
      </c>
      <c r="L87" s="6">
        <v>364.6</v>
      </c>
      <c r="M87" s="6">
        <v>372.8</v>
      </c>
      <c r="N87" s="6">
        <v>110.9</v>
      </c>
      <c r="O87" s="6">
        <v>286.10000000000002</v>
      </c>
      <c r="P87" s="6">
        <v>529.29999999999995</v>
      </c>
      <c r="Q87" s="6">
        <v>243.2</v>
      </c>
      <c r="R87" s="5">
        <v>247.5</v>
      </c>
      <c r="S87" s="6">
        <v>402.9</v>
      </c>
      <c r="T87" s="6">
        <v>393.9</v>
      </c>
    </row>
    <row r="88" spans="1:20" x14ac:dyDescent="0.25">
      <c r="A88" t="s">
        <v>147</v>
      </c>
      <c r="C88">
        <v>1991</v>
      </c>
      <c r="D88" s="5">
        <v>80.20909091</v>
      </c>
      <c r="E88" s="5">
        <v>19.081818179999999</v>
      </c>
      <c r="F88" s="5">
        <v>16.2</v>
      </c>
      <c r="G88" s="5">
        <v>1.0636363639999999</v>
      </c>
      <c r="H88" s="6">
        <v>6.1818181819999998</v>
      </c>
      <c r="I88" s="5">
        <v>80.736363639999993</v>
      </c>
      <c r="J88" s="5">
        <v>223.8090909</v>
      </c>
      <c r="K88" s="6">
        <v>384.90909090000002</v>
      </c>
      <c r="L88" s="6">
        <v>377</v>
      </c>
      <c r="M88" s="6">
        <v>420</v>
      </c>
      <c r="N88" s="6">
        <v>105.2727273</v>
      </c>
      <c r="O88" s="6">
        <v>292.54545450000001</v>
      </c>
      <c r="P88" s="6">
        <v>515.45454549999999</v>
      </c>
      <c r="Q88" s="6">
        <v>222.9090909</v>
      </c>
      <c r="R88" s="5">
        <v>247.25454550000001</v>
      </c>
      <c r="S88" s="6">
        <v>401.54545450000001</v>
      </c>
      <c r="T88" s="6">
        <v>393.09090909999998</v>
      </c>
    </row>
    <row r="89" spans="1:20" x14ac:dyDescent="0.25">
      <c r="A89" t="s">
        <v>148</v>
      </c>
      <c r="C89">
        <v>1992</v>
      </c>
      <c r="D89" s="5">
        <v>101.7818182</v>
      </c>
      <c r="E89" s="5">
        <v>21.572727270000001</v>
      </c>
      <c r="F89" s="5">
        <v>20.127272730000001</v>
      </c>
      <c r="G89" s="5">
        <v>1.445454545</v>
      </c>
      <c r="H89" s="6">
        <v>6.8181818180000002</v>
      </c>
      <c r="I89" s="5">
        <v>124.9636364</v>
      </c>
      <c r="J89" s="5">
        <v>348.7636364</v>
      </c>
      <c r="K89" s="6">
        <v>383.63636359999998</v>
      </c>
      <c r="L89" s="6">
        <v>373.09090909999998</v>
      </c>
      <c r="M89" s="6">
        <v>380.72727270000001</v>
      </c>
      <c r="N89" s="6">
        <v>105.0909091</v>
      </c>
      <c r="O89" s="6">
        <v>310</v>
      </c>
      <c r="P89" s="6">
        <v>521.72727269999996</v>
      </c>
      <c r="Q89" s="6">
        <v>211.72727269999999</v>
      </c>
      <c r="R89" s="5">
        <v>247.25454550000001</v>
      </c>
      <c r="S89" s="6">
        <v>401.54545450000001</v>
      </c>
      <c r="T89" s="6">
        <v>393.09090909999998</v>
      </c>
    </row>
    <row r="90" spans="1:20" x14ac:dyDescent="0.25">
      <c r="A90" t="s">
        <v>149</v>
      </c>
      <c r="C90">
        <v>1993</v>
      </c>
      <c r="D90" s="5">
        <v>121.2</v>
      </c>
      <c r="E90" s="5">
        <v>19.418181820000001</v>
      </c>
      <c r="F90" s="5">
        <v>18.245454550000002</v>
      </c>
      <c r="G90" s="5">
        <v>1.172727273</v>
      </c>
      <c r="H90" s="6">
        <v>5.5454545450000001</v>
      </c>
      <c r="I90" s="5">
        <v>138.48181819999999</v>
      </c>
      <c r="J90" s="5">
        <v>487.2363636</v>
      </c>
      <c r="K90" s="6">
        <v>373.18181820000001</v>
      </c>
      <c r="L90" s="6">
        <v>364.18181820000001</v>
      </c>
      <c r="M90" s="6">
        <v>464.54545450000001</v>
      </c>
      <c r="N90" s="6">
        <v>132.54545450000001</v>
      </c>
      <c r="O90" s="6">
        <v>297.18181820000001</v>
      </c>
      <c r="P90" s="6">
        <v>518.81818180000005</v>
      </c>
      <c r="Q90" s="6">
        <v>221.63636360000001</v>
      </c>
      <c r="R90" s="5">
        <v>247.25454550000001</v>
      </c>
      <c r="S90" s="6">
        <v>401.54545450000001</v>
      </c>
      <c r="T90" s="6">
        <v>393.09090909999998</v>
      </c>
    </row>
    <row r="91" spans="1:20" x14ac:dyDescent="0.25">
      <c r="A91" t="s">
        <v>150</v>
      </c>
      <c r="C91">
        <v>1994</v>
      </c>
      <c r="D91" s="5">
        <v>139.4727273</v>
      </c>
      <c r="E91" s="5">
        <v>18.272727270000001</v>
      </c>
      <c r="F91" s="5">
        <v>17.372727269999999</v>
      </c>
      <c r="G91" s="5">
        <v>0.9</v>
      </c>
      <c r="H91" s="6">
        <v>5.0909090910000003</v>
      </c>
      <c r="I91" s="5">
        <v>153.8818182</v>
      </c>
      <c r="J91" s="5">
        <v>641.1181818</v>
      </c>
      <c r="K91" s="6">
        <v>375.72727270000001</v>
      </c>
      <c r="L91" s="6">
        <v>367.90909090000002</v>
      </c>
      <c r="M91" s="6">
        <v>468</v>
      </c>
      <c r="N91" s="6">
        <v>127.7272727</v>
      </c>
      <c r="O91" s="6">
        <v>293.09090909999998</v>
      </c>
      <c r="P91" s="6">
        <v>518.27272730000004</v>
      </c>
      <c r="Q91" s="6">
        <v>225.18181820000001</v>
      </c>
      <c r="R91" s="5">
        <v>247.25454550000001</v>
      </c>
      <c r="S91" s="6">
        <v>401.54545450000001</v>
      </c>
      <c r="T91" s="6">
        <v>393.09090909999998</v>
      </c>
    </row>
    <row r="92" spans="1:20" x14ac:dyDescent="0.25">
      <c r="A92" t="s">
        <v>151</v>
      </c>
      <c r="C92">
        <v>1995</v>
      </c>
      <c r="D92" s="5">
        <v>156.95454549999999</v>
      </c>
      <c r="E92" s="5">
        <v>17.481818180000001</v>
      </c>
      <c r="F92" s="5">
        <v>16.418181820000001</v>
      </c>
      <c r="G92" s="5">
        <v>1.0636363639999999</v>
      </c>
      <c r="H92" s="6">
        <v>6.1818181819999998</v>
      </c>
      <c r="I92" s="5">
        <v>167.31818179999999</v>
      </c>
      <c r="J92" s="5">
        <v>808.4272727</v>
      </c>
      <c r="K92" s="6">
        <v>378.36363640000002</v>
      </c>
      <c r="L92" s="6">
        <v>368.45454549999999</v>
      </c>
      <c r="M92" s="6">
        <v>472.54545450000001</v>
      </c>
      <c r="N92" s="6">
        <v>134.27272730000001</v>
      </c>
      <c r="O92" s="6">
        <v>294</v>
      </c>
      <c r="P92" s="6">
        <v>524.63636359999998</v>
      </c>
      <c r="Q92" s="6">
        <v>230.63636360000001</v>
      </c>
      <c r="R92" s="5">
        <v>247.25454550000001</v>
      </c>
      <c r="S92" s="6">
        <v>401.54545450000001</v>
      </c>
      <c r="T92" s="6">
        <v>393.09090909999998</v>
      </c>
    </row>
    <row r="93" spans="1:20" x14ac:dyDescent="0.25">
      <c r="A93" t="s">
        <v>152</v>
      </c>
      <c r="C93">
        <v>1996</v>
      </c>
      <c r="D93" s="5">
        <v>172.2</v>
      </c>
      <c r="E93" s="5">
        <v>15.24545455</v>
      </c>
      <c r="F93" s="5">
        <v>14.345454549999999</v>
      </c>
      <c r="G93" s="5">
        <v>0.9</v>
      </c>
      <c r="H93" s="6">
        <v>5.1818181819999998</v>
      </c>
      <c r="I93" s="5">
        <v>162.32727270000001</v>
      </c>
      <c r="J93" s="5">
        <v>970.78181819999998</v>
      </c>
      <c r="K93" s="6">
        <v>366.81818179999999</v>
      </c>
      <c r="L93" s="6">
        <v>358.36363640000002</v>
      </c>
      <c r="M93" s="6">
        <v>377</v>
      </c>
      <c r="N93" s="6">
        <v>111.45454549999999</v>
      </c>
      <c r="O93" s="6">
        <v>294.36363640000002</v>
      </c>
      <c r="P93" s="6">
        <v>516.09090909999998</v>
      </c>
      <c r="Q93" s="6">
        <v>221.72727269999999</v>
      </c>
      <c r="R93" s="5">
        <v>247.25454550000001</v>
      </c>
      <c r="S93" s="6">
        <v>401.54545450000001</v>
      </c>
      <c r="T93" s="6">
        <v>393.09090909999998</v>
      </c>
    </row>
    <row r="94" spans="1:20" x14ac:dyDescent="0.25">
      <c r="A94" t="s">
        <v>153</v>
      </c>
      <c r="C94">
        <v>1997</v>
      </c>
      <c r="D94" s="5">
        <v>186.32727270000001</v>
      </c>
      <c r="E94" s="5">
        <v>14.12727273</v>
      </c>
      <c r="F94" s="5">
        <v>13.172727269999999</v>
      </c>
      <c r="G94" s="5">
        <v>0.95454545499999999</v>
      </c>
      <c r="H94" s="6">
        <v>5.6363636359999996</v>
      </c>
      <c r="I94" s="5">
        <v>163.55454549999999</v>
      </c>
      <c r="J94" s="5">
        <v>1134.3454549999999</v>
      </c>
      <c r="K94" s="6">
        <v>377.54545450000001</v>
      </c>
      <c r="L94" s="6">
        <v>369.18181820000001</v>
      </c>
      <c r="M94" s="6">
        <v>330.72727270000001</v>
      </c>
      <c r="N94" s="6">
        <v>92.636363639999999</v>
      </c>
      <c r="O94" s="6">
        <v>301.72727270000001</v>
      </c>
      <c r="P94" s="6">
        <v>516.81818180000005</v>
      </c>
      <c r="Q94" s="6">
        <v>215.0909091</v>
      </c>
      <c r="R94" s="5">
        <v>247.25454550000001</v>
      </c>
      <c r="S94" s="6">
        <v>401.54545450000001</v>
      </c>
      <c r="T94" s="6">
        <v>393.09090909999998</v>
      </c>
    </row>
    <row r="95" spans="1:20" x14ac:dyDescent="0.25">
      <c r="A95" t="s">
        <v>154</v>
      </c>
      <c r="C95">
        <v>1998</v>
      </c>
      <c r="D95" s="5">
        <v>194.34545449999999</v>
      </c>
      <c r="E95" s="5">
        <v>8.0181818180000004</v>
      </c>
      <c r="F95" s="5">
        <v>6.9272727270000001</v>
      </c>
      <c r="G95" s="5">
        <v>1.0909090910000001</v>
      </c>
      <c r="H95" s="6">
        <v>11.272727270000001</v>
      </c>
      <c r="I95" s="5">
        <v>98.354545450000003</v>
      </c>
      <c r="J95" s="5">
        <v>1232.6909089999999</v>
      </c>
      <c r="K95" s="6">
        <v>391.72727270000001</v>
      </c>
      <c r="L95" s="6">
        <v>374.72727270000001</v>
      </c>
      <c r="M95" s="6">
        <v>435.36363640000002</v>
      </c>
      <c r="N95" s="6">
        <v>126.45454549999999</v>
      </c>
      <c r="O95" s="6">
        <v>318.54545450000001</v>
      </c>
      <c r="P95" s="6">
        <v>537.36363640000002</v>
      </c>
      <c r="Q95" s="6">
        <v>218.81818179999999</v>
      </c>
      <c r="R95" s="5">
        <v>247.25454550000001</v>
      </c>
      <c r="S95" s="6">
        <v>401.54545450000001</v>
      </c>
      <c r="T95" s="6">
        <v>393.09090909999998</v>
      </c>
    </row>
    <row r="96" spans="1:20" x14ac:dyDescent="0.25">
      <c r="A96" t="s">
        <v>155</v>
      </c>
      <c r="C96">
        <v>1999</v>
      </c>
      <c r="D96" s="5">
        <v>204</v>
      </c>
      <c r="E96" s="5">
        <v>9.6545454549999992</v>
      </c>
      <c r="F96" s="5">
        <v>8.8363636359999997</v>
      </c>
      <c r="G96" s="5">
        <v>0.81818181800000001</v>
      </c>
      <c r="H96" s="6">
        <v>7.8181818180000002</v>
      </c>
      <c r="I96" s="5">
        <v>123.9272727</v>
      </c>
      <c r="J96" s="5">
        <v>1356.6272730000001</v>
      </c>
      <c r="K96" s="6">
        <v>398.18181820000001</v>
      </c>
      <c r="L96" s="6">
        <v>387.18181820000001</v>
      </c>
      <c r="M96" s="6">
        <v>432.90909090000002</v>
      </c>
      <c r="N96" s="6">
        <v>114.2727273</v>
      </c>
      <c r="O96" s="6">
        <v>328.63636359999998</v>
      </c>
      <c r="P96" s="6">
        <v>533</v>
      </c>
      <c r="Q96" s="6">
        <v>204.36363639999999</v>
      </c>
      <c r="R96" s="5">
        <v>247.25454550000001</v>
      </c>
      <c r="S96" s="6">
        <v>401.54545450000001</v>
      </c>
      <c r="T96" s="6">
        <v>393.09090909999998</v>
      </c>
    </row>
    <row r="97" spans="1:20" x14ac:dyDescent="0.25">
      <c r="A97" t="s">
        <v>156</v>
      </c>
      <c r="C97">
        <v>2000</v>
      </c>
      <c r="D97" s="5">
        <v>210.7636364</v>
      </c>
      <c r="E97" s="5">
        <v>6.7636363639999999</v>
      </c>
      <c r="F97" s="5">
        <v>6.0272727269999997</v>
      </c>
      <c r="G97" s="5">
        <v>0.73636363599999999</v>
      </c>
      <c r="H97" s="6">
        <v>10.545454550000001</v>
      </c>
      <c r="I97" s="5">
        <v>90.218181819999998</v>
      </c>
      <c r="J97" s="5">
        <v>1446.8272730000001</v>
      </c>
      <c r="K97" s="6">
        <v>398.72727270000001</v>
      </c>
      <c r="L97" s="6">
        <v>381.54545450000001</v>
      </c>
      <c r="M97" s="6">
        <v>538.18181819999995</v>
      </c>
      <c r="N97" s="6">
        <v>156.63636360000001</v>
      </c>
      <c r="O97" s="6">
        <v>327.18181820000001</v>
      </c>
      <c r="P97" s="6">
        <v>552.45454549999999</v>
      </c>
      <c r="Q97" s="6">
        <v>225.27272730000001</v>
      </c>
      <c r="R97" s="5">
        <v>247.25454550000001</v>
      </c>
      <c r="S97" s="6">
        <v>401.54545450000001</v>
      </c>
      <c r="T97" s="6">
        <v>393.09090909999998</v>
      </c>
    </row>
    <row r="98" spans="1:20" x14ac:dyDescent="0.25">
      <c r="A98" t="s">
        <v>157</v>
      </c>
      <c r="C98">
        <v>2001</v>
      </c>
      <c r="D98" s="5">
        <v>216.43636359999999</v>
      </c>
      <c r="E98" s="5">
        <v>5.6727272729999996</v>
      </c>
      <c r="F98" s="5">
        <v>4.7727272730000001</v>
      </c>
      <c r="G98" s="5">
        <v>0.9</v>
      </c>
      <c r="H98" s="6">
        <v>14.454545449999999</v>
      </c>
      <c r="I98" s="5">
        <v>78.436363639999996</v>
      </c>
      <c r="J98" s="5">
        <v>1525.272727</v>
      </c>
      <c r="K98" s="6">
        <v>410.54545450000001</v>
      </c>
      <c r="L98" s="6">
        <v>386.90909090000002</v>
      </c>
      <c r="M98" s="6">
        <v>497.09090909999998</v>
      </c>
      <c r="N98" s="6">
        <v>149.36363639999999</v>
      </c>
      <c r="O98" s="6">
        <v>341.36363640000002</v>
      </c>
      <c r="P98" s="6">
        <v>557.36363640000002</v>
      </c>
      <c r="Q98" s="6">
        <v>216</v>
      </c>
      <c r="R98" s="5">
        <v>247.25454550000001</v>
      </c>
      <c r="S98" s="6">
        <v>401.54545450000001</v>
      </c>
      <c r="T98" s="6">
        <v>393.09090909999998</v>
      </c>
    </row>
    <row r="99" spans="1:20" x14ac:dyDescent="0.25">
      <c r="A99" t="s">
        <v>158</v>
      </c>
      <c r="C99">
        <v>2002</v>
      </c>
      <c r="D99" s="5">
        <v>221.7</v>
      </c>
      <c r="E99" s="5">
        <v>5.2636363639999999</v>
      </c>
      <c r="F99" s="5">
        <v>4.1454545449999998</v>
      </c>
      <c r="G99" s="5">
        <v>1.118181818</v>
      </c>
      <c r="H99" s="6">
        <v>20.454545450000001</v>
      </c>
      <c r="I99" s="5">
        <v>74.154545450000001</v>
      </c>
      <c r="J99" s="5">
        <v>1599.445455</v>
      </c>
      <c r="K99" s="6">
        <v>423.54545450000001</v>
      </c>
      <c r="L99" s="6">
        <v>391.45454549999999</v>
      </c>
      <c r="M99" s="6">
        <v>548.27272730000004</v>
      </c>
      <c r="N99" s="6">
        <v>156.81818179999999</v>
      </c>
      <c r="O99" s="6">
        <v>340.45454549999999</v>
      </c>
      <c r="P99" s="6">
        <v>585.81818180000005</v>
      </c>
      <c r="Q99" s="6">
        <v>245.36363639999999</v>
      </c>
      <c r="R99" s="5">
        <v>247.25454550000001</v>
      </c>
      <c r="S99" s="6">
        <v>401.54545450000001</v>
      </c>
      <c r="T99" s="6">
        <v>393.09090909999998</v>
      </c>
    </row>
    <row r="100" spans="1:20" x14ac:dyDescent="0.25">
      <c r="A100" t="s">
        <v>159</v>
      </c>
      <c r="C100">
        <v>2003</v>
      </c>
      <c r="D100" s="5">
        <v>227.7</v>
      </c>
      <c r="E100" s="5">
        <v>6</v>
      </c>
      <c r="F100" s="5">
        <v>5.4272727270000001</v>
      </c>
      <c r="G100" s="5">
        <v>0.57272727300000004</v>
      </c>
      <c r="H100" s="6">
        <v>9.5454545450000001</v>
      </c>
      <c r="I100" s="5">
        <v>85.472727269999993</v>
      </c>
      <c r="J100" s="5">
        <v>1684.927273</v>
      </c>
      <c r="K100" s="6">
        <v>408.27272729999999</v>
      </c>
      <c r="L100" s="6">
        <v>394.36363640000002</v>
      </c>
      <c r="M100" s="6">
        <v>539.18181819999995</v>
      </c>
      <c r="N100" s="6">
        <v>144.81818179999999</v>
      </c>
      <c r="O100" s="6">
        <v>343.72727270000001</v>
      </c>
      <c r="P100" s="6">
        <v>550</v>
      </c>
      <c r="Q100" s="6">
        <v>206.27272730000001</v>
      </c>
      <c r="R100" s="5">
        <v>247.25454550000001</v>
      </c>
      <c r="S100" s="6">
        <v>401.54545450000001</v>
      </c>
      <c r="T100" s="6">
        <v>393.09090909999998</v>
      </c>
    </row>
    <row r="101" spans="1:20" x14ac:dyDescent="0.25">
      <c r="A101" t="s">
        <v>160</v>
      </c>
      <c r="C101">
        <v>2004</v>
      </c>
      <c r="D101" s="5">
        <v>233.04545450000001</v>
      </c>
      <c r="E101" s="5">
        <v>5.3454545449999999</v>
      </c>
      <c r="F101" s="5">
        <v>4.1454545449999998</v>
      </c>
      <c r="G101" s="5">
        <v>1.2</v>
      </c>
      <c r="H101" s="6">
        <v>19.636363639999999</v>
      </c>
      <c r="I101" s="5">
        <v>79.309090909999995</v>
      </c>
      <c r="J101" s="5">
        <v>1764.254545</v>
      </c>
      <c r="K101" s="6">
        <v>423.45454549999999</v>
      </c>
      <c r="L101" s="6">
        <v>390.63636359999998</v>
      </c>
      <c r="M101" s="6">
        <v>500.36363640000002</v>
      </c>
      <c r="N101" s="6">
        <v>146</v>
      </c>
      <c r="O101" s="6">
        <v>344.27272729999999</v>
      </c>
      <c r="P101" s="6">
        <v>563.63636359999998</v>
      </c>
      <c r="Q101" s="6">
        <v>219.36363639999999</v>
      </c>
      <c r="R101" s="5">
        <v>247.25454550000001</v>
      </c>
      <c r="S101" s="6">
        <v>401.54545450000001</v>
      </c>
      <c r="T101" s="6">
        <v>393.09090909999998</v>
      </c>
    </row>
    <row r="102" spans="1:20" x14ac:dyDescent="0.25">
      <c r="A102" t="s">
        <v>161</v>
      </c>
      <c r="C102">
        <v>2005</v>
      </c>
      <c r="D102" s="5">
        <v>237.81818179999999</v>
      </c>
      <c r="E102" s="5">
        <v>4.7727272730000001</v>
      </c>
      <c r="F102" s="5">
        <v>4.2545454549999997</v>
      </c>
      <c r="G102" s="5">
        <v>0.51818181799999996</v>
      </c>
      <c r="H102" s="6">
        <v>12.636363640000001</v>
      </c>
      <c r="I102" s="5">
        <v>72.918181820000001</v>
      </c>
      <c r="J102" s="5">
        <v>1837.163636</v>
      </c>
      <c r="K102" s="6">
        <v>418.63636359999998</v>
      </c>
      <c r="L102" s="6">
        <v>401.18181820000001</v>
      </c>
      <c r="M102" s="6">
        <v>493.18181820000001</v>
      </c>
      <c r="N102" s="6">
        <v>130.81818179999999</v>
      </c>
      <c r="O102" s="6">
        <v>355.54545450000001</v>
      </c>
      <c r="P102" s="6">
        <v>551.27272730000004</v>
      </c>
      <c r="Q102" s="6">
        <v>195.72727269999999</v>
      </c>
      <c r="R102" s="5">
        <v>247.25454550000001</v>
      </c>
      <c r="S102" s="6">
        <v>401.54545450000001</v>
      </c>
      <c r="T102" s="6">
        <v>393.09090909999998</v>
      </c>
    </row>
    <row r="103" spans="1:20" x14ac:dyDescent="0.25">
      <c r="A103" t="s">
        <v>162</v>
      </c>
      <c r="C103">
        <v>2006</v>
      </c>
      <c r="D103" s="5">
        <v>241.5272727</v>
      </c>
      <c r="E103" s="5">
        <v>3.7090909089999999</v>
      </c>
      <c r="F103" s="5">
        <v>3.0818181820000001</v>
      </c>
      <c r="G103" s="5">
        <v>0.62727272700000003</v>
      </c>
      <c r="H103" s="6">
        <v>16.81818182</v>
      </c>
      <c r="I103" s="5">
        <v>55.718181819999998</v>
      </c>
      <c r="J103" s="5">
        <v>1892.890909</v>
      </c>
      <c r="K103" s="6">
        <v>427.72727270000001</v>
      </c>
      <c r="L103" s="6">
        <v>403.36363640000002</v>
      </c>
      <c r="M103" s="6">
        <v>547.63636359999998</v>
      </c>
      <c r="N103" s="6">
        <v>144.27272730000001</v>
      </c>
      <c r="O103" s="6">
        <v>349.18181820000001</v>
      </c>
      <c r="P103" s="6">
        <v>556.54545450000001</v>
      </c>
      <c r="Q103" s="6">
        <v>207.36363639999999</v>
      </c>
      <c r="R103" s="5">
        <v>247.25454550000001</v>
      </c>
      <c r="S103" s="6">
        <v>401.54545450000001</v>
      </c>
      <c r="T103" s="6">
        <v>393.09090909999998</v>
      </c>
    </row>
    <row r="104" spans="1:20" x14ac:dyDescent="0.25">
      <c r="A104" t="s">
        <v>163</v>
      </c>
      <c r="C104">
        <v>2007</v>
      </c>
      <c r="D104" s="5">
        <v>245.20909090000001</v>
      </c>
      <c r="E104" s="5">
        <v>3.6818181820000002</v>
      </c>
      <c r="F104" s="5">
        <v>2.7818181819999999</v>
      </c>
      <c r="G104" s="5">
        <v>0.9</v>
      </c>
      <c r="H104" s="6">
        <v>25.636363639999999</v>
      </c>
      <c r="I104" s="5">
        <v>56.909090910000003</v>
      </c>
      <c r="J104" s="5">
        <v>1949.8090910000001</v>
      </c>
      <c r="K104" s="6">
        <v>447.54545450000001</v>
      </c>
      <c r="L104" s="6">
        <v>414.27272729999999</v>
      </c>
      <c r="M104" s="6">
        <v>544</v>
      </c>
      <c r="N104" s="6">
        <v>129.72727269999999</v>
      </c>
      <c r="O104" s="6">
        <v>354</v>
      </c>
      <c r="P104" s="6">
        <v>571.27272730000004</v>
      </c>
      <c r="Q104" s="6">
        <v>217.27272730000001</v>
      </c>
      <c r="R104" s="5">
        <v>247.25454550000001</v>
      </c>
      <c r="S104" s="6">
        <v>401.54545450000001</v>
      </c>
      <c r="T104" s="6">
        <v>393.09090909999998</v>
      </c>
    </row>
    <row r="105" spans="1:20" x14ac:dyDescent="0.25">
      <c r="A105" t="s">
        <v>164</v>
      </c>
      <c r="C105">
        <v>2008</v>
      </c>
      <c r="D105" s="5">
        <v>249.43636359999999</v>
      </c>
      <c r="E105" s="5">
        <v>4.2272727269999999</v>
      </c>
      <c r="F105" s="5">
        <v>3.518181818</v>
      </c>
      <c r="G105" s="5">
        <v>0.70909090900000005</v>
      </c>
      <c r="H105" s="6">
        <v>17.272727270000001</v>
      </c>
      <c r="I105" s="5">
        <v>66.236363639999993</v>
      </c>
      <c r="J105" s="5">
        <v>2016.0818180000001</v>
      </c>
      <c r="K105" s="6">
        <v>425.54545450000001</v>
      </c>
      <c r="L105" s="6">
        <v>400.18181820000001</v>
      </c>
      <c r="M105" s="6">
        <v>551</v>
      </c>
      <c r="N105" s="6">
        <v>150.81818179999999</v>
      </c>
      <c r="O105" s="6">
        <v>353.54545450000001</v>
      </c>
      <c r="P105" s="6">
        <v>567.18181819999995</v>
      </c>
      <c r="Q105" s="6">
        <v>213.63636360000001</v>
      </c>
      <c r="R105" s="5">
        <v>247.25454550000001</v>
      </c>
      <c r="S105" s="6">
        <v>401.54545450000001</v>
      </c>
      <c r="T105" s="6">
        <v>393.09090909999998</v>
      </c>
    </row>
    <row r="106" spans="1:20" x14ac:dyDescent="0.25">
      <c r="A106" t="s">
        <v>165</v>
      </c>
      <c r="C106">
        <v>2009</v>
      </c>
      <c r="D106" s="5">
        <v>253.60909090000001</v>
      </c>
      <c r="E106" s="5">
        <v>4.1727272729999996</v>
      </c>
      <c r="F106" s="5">
        <v>3.2727272730000001</v>
      </c>
      <c r="G106" s="5">
        <v>0.9</v>
      </c>
      <c r="H106" s="6">
        <v>18.90909091</v>
      </c>
      <c r="I106" s="5">
        <v>66.363636360000001</v>
      </c>
      <c r="J106" s="5">
        <v>2082.4272729999998</v>
      </c>
      <c r="K106" s="6">
        <v>435.09090909999998</v>
      </c>
      <c r="L106" s="6">
        <v>405.63636359999998</v>
      </c>
      <c r="M106" s="6">
        <v>455.90909090000002</v>
      </c>
      <c r="N106" s="6">
        <v>125.54545450000001</v>
      </c>
      <c r="O106" s="6">
        <v>346.81818179999999</v>
      </c>
      <c r="P106" s="6">
        <v>567.81818180000005</v>
      </c>
      <c r="Q106" s="6">
        <v>221</v>
      </c>
      <c r="R106" s="5">
        <v>247.25454550000001</v>
      </c>
      <c r="S106" s="6">
        <v>401.54545450000001</v>
      </c>
      <c r="T106" s="6">
        <v>393.09090909999998</v>
      </c>
    </row>
    <row r="107" spans="1:20" x14ac:dyDescent="0.25">
      <c r="A107" t="s">
        <v>166</v>
      </c>
      <c r="C107">
        <v>2010</v>
      </c>
      <c r="D107" s="5">
        <v>257.39999999999998</v>
      </c>
      <c r="E107" s="5">
        <v>3.7909090910000001</v>
      </c>
      <c r="F107" s="5">
        <v>3.1090909089999998</v>
      </c>
      <c r="G107" s="5">
        <v>0.68181818199999999</v>
      </c>
      <c r="H107" s="6">
        <v>18.363636360000001</v>
      </c>
      <c r="I107" s="5">
        <v>62.363636360000001</v>
      </c>
      <c r="J107" s="5">
        <v>2144.7818179999999</v>
      </c>
      <c r="K107" s="6">
        <v>430.09090909999998</v>
      </c>
      <c r="L107" s="6">
        <v>401.36363640000002</v>
      </c>
      <c r="M107" s="6">
        <v>505.45454549999999</v>
      </c>
      <c r="N107" s="6">
        <v>143.81818179999999</v>
      </c>
      <c r="O107" s="6">
        <v>354.45454549999999</v>
      </c>
      <c r="P107" s="6">
        <v>574.09090909999998</v>
      </c>
      <c r="Q107" s="6">
        <v>219.63636360000001</v>
      </c>
      <c r="R107" s="5">
        <v>247.25454550000001</v>
      </c>
      <c r="S107" s="6">
        <v>401.54545450000001</v>
      </c>
      <c r="T107" s="6">
        <v>393.09090909999998</v>
      </c>
    </row>
    <row r="108" spans="1:20" x14ac:dyDescent="0.25">
      <c r="A108" t="s">
        <v>167</v>
      </c>
      <c r="C108">
        <v>2011</v>
      </c>
      <c r="D108" s="5">
        <v>261.05454550000002</v>
      </c>
      <c r="E108" s="5">
        <v>3.6545454550000001</v>
      </c>
      <c r="F108" s="5">
        <v>2.863636364</v>
      </c>
      <c r="G108" s="5">
        <v>0.79090909099999995</v>
      </c>
      <c r="H108" s="6">
        <v>22.727272729999999</v>
      </c>
      <c r="I108" s="5">
        <v>60.47272727</v>
      </c>
      <c r="J108" s="5">
        <v>2205.272727</v>
      </c>
      <c r="K108" s="6">
        <v>440.27272729999999</v>
      </c>
      <c r="L108" s="6">
        <v>408.45454549999999</v>
      </c>
      <c r="M108" s="6">
        <v>499.36363640000002</v>
      </c>
      <c r="N108" s="6">
        <v>131.36363639999999</v>
      </c>
      <c r="O108" s="6">
        <v>370.54545450000001</v>
      </c>
      <c r="P108" s="6">
        <v>570.18181819999995</v>
      </c>
      <c r="Q108" s="6">
        <v>199.63636360000001</v>
      </c>
      <c r="R108" s="5">
        <v>247.25454550000001</v>
      </c>
      <c r="S108" s="6">
        <v>401.54545450000001</v>
      </c>
      <c r="T108" s="6">
        <v>393.09090909999998</v>
      </c>
    </row>
    <row r="109" spans="1:20" x14ac:dyDescent="0.25">
      <c r="A109" t="s">
        <v>168</v>
      </c>
      <c r="C109">
        <v>2012</v>
      </c>
      <c r="D109" s="5">
        <v>263.86363640000002</v>
      </c>
      <c r="E109" s="5">
        <v>2.809090909</v>
      </c>
      <c r="F109" s="5">
        <v>2.5363636359999999</v>
      </c>
      <c r="G109" s="5">
        <v>0.27272727299999999</v>
      </c>
      <c r="H109" s="6">
        <v>12.272727270000001</v>
      </c>
      <c r="I109" s="5">
        <v>47.563636359999997</v>
      </c>
      <c r="J109" s="5">
        <v>2252.8545450000001</v>
      </c>
      <c r="K109" s="6">
        <v>427.09090909999998</v>
      </c>
      <c r="L109" s="6">
        <v>414.09090909999998</v>
      </c>
      <c r="M109" s="6">
        <v>446.18181820000001</v>
      </c>
      <c r="N109" s="6">
        <v>111.45454549999999</v>
      </c>
      <c r="O109" s="6">
        <v>336.54545450000001</v>
      </c>
      <c r="P109" s="6">
        <v>537.63636359999998</v>
      </c>
      <c r="Q109" s="6">
        <v>201.0909091</v>
      </c>
      <c r="R109" s="5">
        <v>247.25454550000001</v>
      </c>
      <c r="S109" s="6">
        <v>401.54545450000001</v>
      </c>
      <c r="T109" s="6">
        <v>393.09090909999998</v>
      </c>
    </row>
    <row r="110" spans="1:20" x14ac:dyDescent="0.25">
      <c r="A110" t="s">
        <v>169</v>
      </c>
      <c r="C110">
        <v>1987</v>
      </c>
      <c r="D110" s="5">
        <v>23.16</v>
      </c>
      <c r="E110" s="5">
        <v>23.16</v>
      </c>
      <c r="F110" s="5">
        <v>13.62</v>
      </c>
      <c r="G110" s="5">
        <v>1.1399999999999999</v>
      </c>
      <c r="H110" s="6">
        <v>3</v>
      </c>
      <c r="I110" s="5">
        <v>23.64</v>
      </c>
      <c r="J110" s="5">
        <v>23.64</v>
      </c>
      <c r="K110" s="6">
        <v>349.6</v>
      </c>
      <c r="L110" s="6">
        <v>342.6</v>
      </c>
      <c r="M110" s="6">
        <v>105.6</v>
      </c>
      <c r="N110" s="6">
        <v>26.6</v>
      </c>
      <c r="O110" s="6">
        <v>193.2</v>
      </c>
      <c r="P110" s="6">
        <v>466.8</v>
      </c>
      <c r="Q110" s="6">
        <v>273.60000000000002</v>
      </c>
      <c r="R110" s="5">
        <v>236.1</v>
      </c>
      <c r="S110" s="6">
        <v>391</v>
      </c>
      <c r="T110" s="6">
        <v>390.4</v>
      </c>
    </row>
    <row r="111" spans="1:20" x14ac:dyDescent="0.25">
      <c r="A111" t="s">
        <v>170</v>
      </c>
      <c r="C111">
        <v>1988</v>
      </c>
      <c r="D111" s="5">
        <v>38.057142859999999</v>
      </c>
      <c r="E111" s="5">
        <v>21.514285709999999</v>
      </c>
      <c r="F111" s="5">
        <v>16.585714289999999</v>
      </c>
      <c r="G111" s="5">
        <v>0.64285714299999996</v>
      </c>
      <c r="H111" s="6">
        <v>3.7142857139999998</v>
      </c>
      <c r="I111" s="5">
        <v>36.385714290000003</v>
      </c>
      <c r="J111" s="5">
        <v>53.271428569999998</v>
      </c>
      <c r="K111" s="6">
        <v>364.2857143</v>
      </c>
      <c r="L111" s="6">
        <v>357</v>
      </c>
      <c r="M111" s="6">
        <v>301.57142859999999</v>
      </c>
      <c r="N111" s="6">
        <v>88.285714290000001</v>
      </c>
      <c r="O111" s="6">
        <v>273.14285710000001</v>
      </c>
      <c r="P111" s="6">
        <v>509.2857143</v>
      </c>
      <c r="Q111" s="6">
        <v>236.14285709999999</v>
      </c>
      <c r="R111" s="5">
        <v>231.5571429</v>
      </c>
      <c r="S111" s="6">
        <v>395.2857143</v>
      </c>
      <c r="T111" s="6">
        <v>395.7142857</v>
      </c>
    </row>
    <row r="112" spans="1:20" x14ac:dyDescent="0.25">
      <c r="A112" t="s">
        <v>171</v>
      </c>
      <c r="C112">
        <v>1989</v>
      </c>
      <c r="D112" s="5">
        <v>53.674999999999997</v>
      </c>
      <c r="E112" s="5">
        <v>20.375</v>
      </c>
      <c r="F112" s="5">
        <v>18.75</v>
      </c>
      <c r="G112" s="5">
        <v>0.75</v>
      </c>
      <c r="H112" s="6">
        <v>3.75</v>
      </c>
      <c r="I112" s="5">
        <v>55.2</v>
      </c>
      <c r="J112" s="5">
        <v>101.8125</v>
      </c>
      <c r="K112" s="6">
        <v>362.25</v>
      </c>
      <c r="L112" s="6">
        <v>355.625</v>
      </c>
      <c r="M112" s="6">
        <v>392.875</v>
      </c>
      <c r="N112" s="6">
        <v>126</v>
      </c>
      <c r="O112" s="6">
        <v>262.5</v>
      </c>
      <c r="P112" s="6">
        <v>527.5</v>
      </c>
      <c r="Q112" s="6">
        <v>265</v>
      </c>
      <c r="R112" s="5">
        <v>234.63749999999999</v>
      </c>
      <c r="S112" s="6">
        <v>398.5</v>
      </c>
      <c r="T112" s="6">
        <v>397.375</v>
      </c>
    </row>
    <row r="113" spans="1:20" x14ac:dyDescent="0.25">
      <c r="A113" t="s">
        <v>172</v>
      </c>
      <c r="C113">
        <v>1990</v>
      </c>
      <c r="D113" s="5">
        <v>60.75</v>
      </c>
      <c r="E113" s="5">
        <v>17.809999999999999</v>
      </c>
      <c r="F113" s="5">
        <v>14.88</v>
      </c>
      <c r="G113" s="5">
        <v>1.23</v>
      </c>
      <c r="H113" s="6">
        <v>6.9</v>
      </c>
      <c r="I113" s="5">
        <v>55.83</v>
      </c>
      <c r="J113" s="5">
        <v>137.29</v>
      </c>
      <c r="K113" s="6">
        <v>368.2</v>
      </c>
      <c r="L113" s="6">
        <v>355.7</v>
      </c>
      <c r="M113" s="6">
        <v>475.9</v>
      </c>
      <c r="N113" s="6">
        <v>153.19999999999999</v>
      </c>
      <c r="O113" s="6">
        <v>281</v>
      </c>
      <c r="P113" s="6">
        <v>539.9</v>
      </c>
      <c r="Q113" s="6">
        <v>258.89999999999998</v>
      </c>
      <c r="R113" s="5">
        <v>237.24</v>
      </c>
      <c r="S113" s="6">
        <v>397</v>
      </c>
      <c r="T113" s="6">
        <v>395.9</v>
      </c>
    </row>
    <row r="114" spans="1:20" x14ac:dyDescent="0.25">
      <c r="A114" t="s">
        <v>173</v>
      </c>
      <c r="C114">
        <v>1991</v>
      </c>
      <c r="D114" s="5">
        <v>72.945454549999994</v>
      </c>
      <c r="E114" s="5">
        <v>17.718181820000002</v>
      </c>
      <c r="F114" s="5">
        <v>15.35454545</v>
      </c>
      <c r="G114" s="5">
        <v>1.636363636</v>
      </c>
      <c r="H114" s="6">
        <v>9</v>
      </c>
      <c r="I114" s="5">
        <v>69.381818179999996</v>
      </c>
      <c r="J114" s="5">
        <v>194.1909091</v>
      </c>
      <c r="K114" s="6">
        <v>395.54545450000001</v>
      </c>
      <c r="L114" s="6">
        <v>379.90909090000002</v>
      </c>
      <c r="M114" s="6">
        <v>535.27272730000004</v>
      </c>
      <c r="N114" s="6">
        <v>155.36363639999999</v>
      </c>
      <c r="O114" s="6">
        <v>321.54545450000001</v>
      </c>
      <c r="P114" s="6">
        <v>556.54545450000001</v>
      </c>
      <c r="Q114" s="6">
        <v>235</v>
      </c>
      <c r="R114" s="5">
        <v>240.51818180000001</v>
      </c>
      <c r="S114" s="6">
        <v>395.18181820000001</v>
      </c>
      <c r="T114" s="6">
        <v>394</v>
      </c>
    </row>
    <row r="115" spans="1:20" x14ac:dyDescent="0.25">
      <c r="A115" t="s">
        <v>174</v>
      </c>
      <c r="C115">
        <v>1992</v>
      </c>
      <c r="D115" s="5">
        <v>88.6</v>
      </c>
      <c r="E115" s="5">
        <v>15.654545450000001</v>
      </c>
      <c r="F115" s="5">
        <v>14.454545449999999</v>
      </c>
      <c r="G115" s="5">
        <v>1.2</v>
      </c>
      <c r="H115" s="6">
        <v>7</v>
      </c>
      <c r="I115" s="5">
        <v>77.863636360000001</v>
      </c>
      <c r="J115" s="5">
        <v>272.04545450000001</v>
      </c>
      <c r="K115" s="6">
        <v>389.18181820000001</v>
      </c>
      <c r="L115" s="6">
        <v>378.36363640000002</v>
      </c>
      <c r="M115" s="6">
        <v>481.72727270000001</v>
      </c>
      <c r="N115" s="6">
        <v>137</v>
      </c>
      <c r="O115" s="6">
        <v>320.72727270000001</v>
      </c>
      <c r="P115" s="6">
        <v>541.36363640000002</v>
      </c>
      <c r="Q115" s="6">
        <v>220.63636360000001</v>
      </c>
      <c r="R115" s="5">
        <v>240.51818180000001</v>
      </c>
      <c r="S115" s="6">
        <v>395.18181820000001</v>
      </c>
      <c r="T115" s="6">
        <v>394</v>
      </c>
    </row>
    <row r="116" spans="1:20" x14ac:dyDescent="0.25">
      <c r="A116" t="s">
        <v>175</v>
      </c>
      <c r="C116">
        <v>1993</v>
      </c>
      <c r="D116" s="5">
        <v>102.4</v>
      </c>
      <c r="E116" s="5">
        <v>13.8</v>
      </c>
      <c r="F116" s="5">
        <v>12.845454549999999</v>
      </c>
      <c r="G116" s="5">
        <v>0.95454545499999999</v>
      </c>
      <c r="H116" s="6">
        <v>7.3636363640000004</v>
      </c>
      <c r="I116" s="5">
        <v>83.381818179999996</v>
      </c>
      <c r="J116" s="5">
        <v>355.46363639999998</v>
      </c>
      <c r="K116" s="6">
        <v>388.36363640000002</v>
      </c>
      <c r="L116" s="6">
        <v>376.72727270000001</v>
      </c>
      <c r="M116" s="6">
        <v>428.63636359999998</v>
      </c>
      <c r="N116" s="6">
        <v>120</v>
      </c>
      <c r="O116" s="6">
        <v>313.27272729999999</v>
      </c>
      <c r="P116" s="6">
        <v>526.90909090000002</v>
      </c>
      <c r="Q116" s="6">
        <v>213.63636360000001</v>
      </c>
      <c r="R116" s="5">
        <v>240.51818180000001</v>
      </c>
      <c r="S116" s="6">
        <v>395.18181820000001</v>
      </c>
      <c r="T116" s="6">
        <v>394</v>
      </c>
    </row>
    <row r="117" spans="1:20" x14ac:dyDescent="0.25">
      <c r="A117" t="s">
        <v>176</v>
      </c>
      <c r="C117">
        <v>1994</v>
      </c>
      <c r="D117" s="5">
        <v>115.70909090000001</v>
      </c>
      <c r="E117" s="5">
        <v>13.30909091</v>
      </c>
      <c r="F117" s="5">
        <v>12.38181818</v>
      </c>
      <c r="G117" s="5">
        <v>0.92727272699999996</v>
      </c>
      <c r="H117" s="6">
        <v>7.6363636359999996</v>
      </c>
      <c r="I117" s="5">
        <v>91.7</v>
      </c>
      <c r="J117" s="5">
        <v>447.13636359999998</v>
      </c>
      <c r="K117" s="6">
        <v>392</v>
      </c>
      <c r="L117" s="6">
        <v>380</v>
      </c>
      <c r="M117" s="6">
        <v>480.63636359999998</v>
      </c>
      <c r="N117" s="6">
        <v>134.54545450000001</v>
      </c>
      <c r="O117" s="6">
        <v>317.72727270000001</v>
      </c>
      <c r="P117" s="6">
        <v>540.18181819999995</v>
      </c>
      <c r="Q117" s="6">
        <v>222.45454549999999</v>
      </c>
      <c r="R117" s="5">
        <v>240.51818180000001</v>
      </c>
      <c r="S117" s="6">
        <v>395.18181820000001</v>
      </c>
      <c r="T117" s="6">
        <v>394</v>
      </c>
    </row>
    <row r="118" spans="1:20" x14ac:dyDescent="0.25">
      <c r="A118" t="s">
        <v>177</v>
      </c>
      <c r="C118">
        <v>1995</v>
      </c>
      <c r="D118" s="5">
        <v>128.80000000000001</v>
      </c>
      <c r="E118" s="5">
        <v>13.09090909</v>
      </c>
      <c r="F118" s="5">
        <v>12.40909091</v>
      </c>
      <c r="G118" s="5">
        <v>0.68181818199999999</v>
      </c>
      <c r="H118" s="6">
        <v>5.1818181819999998</v>
      </c>
      <c r="I118" s="5">
        <v>104.2636364</v>
      </c>
      <c r="J118" s="5">
        <v>551.3818182</v>
      </c>
      <c r="K118" s="6">
        <v>384.36363640000002</v>
      </c>
      <c r="L118" s="6">
        <v>376.09090909999998</v>
      </c>
      <c r="M118" s="6">
        <v>483.90909090000002</v>
      </c>
      <c r="N118" s="6">
        <v>142.36363639999999</v>
      </c>
      <c r="O118" s="6">
        <v>309.09090909999998</v>
      </c>
      <c r="P118" s="6">
        <v>541.54545450000001</v>
      </c>
      <c r="Q118" s="6">
        <v>232.45454549999999</v>
      </c>
      <c r="R118" s="5">
        <v>240.51818180000001</v>
      </c>
      <c r="S118" s="6">
        <v>395.18181820000001</v>
      </c>
      <c r="T118" s="6">
        <v>394</v>
      </c>
    </row>
    <row r="119" spans="1:20" x14ac:dyDescent="0.25">
      <c r="A119" t="s">
        <v>178</v>
      </c>
      <c r="C119">
        <v>1996</v>
      </c>
      <c r="D119" s="5">
        <v>142</v>
      </c>
      <c r="E119" s="5">
        <v>13.2</v>
      </c>
      <c r="F119" s="5">
        <v>12.02727273</v>
      </c>
      <c r="G119" s="5">
        <v>1.172727273</v>
      </c>
      <c r="H119" s="6">
        <v>9.0909090910000003</v>
      </c>
      <c r="I119" s="5">
        <v>111.74545449999999</v>
      </c>
      <c r="J119" s="5">
        <v>663.10909089999996</v>
      </c>
      <c r="K119" s="6">
        <v>380.18181820000001</v>
      </c>
      <c r="L119" s="6">
        <v>364.54545450000001</v>
      </c>
      <c r="M119" s="6">
        <v>526</v>
      </c>
      <c r="N119" s="6">
        <v>161.45454549999999</v>
      </c>
      <c r="O119" s="6">
        <v>300.36363640000002</v>
      </c>
      <c r="P119" s="6">
        <v>541.36363640000002</v>
      </c>
      <c r="Q119" s="6">
        <v>241</v>
      </c>
      <c r="R119" s="5">
        <v>240.51818180000001</v>
      </c>
      <c r="S119" s="6">
        <v>395.18181820000001</v>
      </c>
      <c r="T119" s="6">
        <v>394</v>
      </c>
    </row>
    <row r="120" spans="1:20" x14ac:dyDescent="0.25">
      <c r="A120" t="s">
        <v>179</v>
      </c>
      <c r="C120">
        <v>1997</v>
      </c>
      <c r="D120" s="5">
        <v>156.12727269999999</v>
      </c>
      <c r="E120" s="5">
        <v>14.12727273</v>
      </c>
      <c r="F120" s="5">
        <v>13.172727269999999</v>
      </c>
      <c r="G120" s="5">
        <v>0.95454545499999999</v>
      </c>
      <c r="H120" s="6">
        <v>6.7272727269999999</v>
      </c>
      <c r="I120" s="5">
        <v>131.60909090000001</v>
      </c>
      <c r="J120" s="5">
        <v>794.7636364</v>
      </c>
      <c r="K120" s="6">
        <v>383.27272729999999</v>
      </c>
      <c r="L120" s="6">
        <v>372</v>
      </c>
      <c r="M120" s="6">
        <v>479.63636359999998</v>
      </c>
      <c r="N120" s="6">
        <v>140.9090909</v>
      </c>
      <c r="O120" s="6">
        <v>319.63636359999998</v>
      </c>
      <c r="P120" s="6">
        <v>535.09090909999998</v>
      </c>
      <c r="Q120" s="6">
        <v>215.45454549999999</v>
      </c>
      <c r="R120" s="5">
        <v>240.51818180000001</v>
      </c>
      <c r="S120" s="6">
        <v>395.18181820000001</v>
      </c>
      <c r="T120" s="6">
        <v>394</v>
      </c>
    </row>
    <row r="121" spans="1:20" x14ac:dyDescent="0.25">
      <c r="A121" t="s">
        <v>180</v>
      </c>
      <c r="C121">
        <v>1998</v>
      </c>
      <c r="D121" s="5">
        <v>166.3</v>
      </c>
      <c r="E121" s="5">
        <v>10.172727269999999</v>
      </c>
      <c r="F121" s="5">
        <v>9.190909091</v>
      </c>
      <c r="G121" s="5">
        <v>0.98181818200000004</v>
      </c>
      <c r="H121" s="6">
        <v>11.09090909</v>
      </c>
      <c r="I121" s="5">
        <v>103.24545449999999</v>
      </c>
      <c r="J121" s="5">
        <v>898.01818179999998</v>
      </c>
      <c r="K121" s="6">
        <v>401.27272729999999</v>
      </c>
      <c r="L121" s="6">
        <v>383.90909090000002</v>
      </c>
      <c r="M121" s="6">
        <v>531.27272730000004</v>
      </c>
      <c r="N121" s="6">
        <v>147.36363639999999</v>
      </c>
      <c r="O121" s="6">
        <v>318.81818179999999</v>
      </c>
      <c r="P121" s="6">
        <v>547.45454549999999</v>
      </c>
      <c r="Q121" s="6">
        <v>228.63636360000001</v>
      </c>
      <c r="R121" s="5">
        <v>240.51818180000001</v>
      </c>
      <c r="S121" s="6">
        <v>395.18181820000001</v>
      </c>
      <c r="T121" s="6">
        <v>394</v>
      </c>
    </row>
    <row r="122" spans="1:20" x14ac:dyDescent="0.25">
      <c r="A122" t="s">
        <v>181</v>
      </c>
      <c r="C122">
        <v>1999</v>
      </c>
      <c r="D122" s="5">
        <v>178.3818182</v>
      </c>
      <c r="E122" s="5">
        <v>12.081818180000001</v>
      </c>
      <c r="F122" s="5">
        <v>11.61818182</v>
      </c>
      <c r="G122" s="5">
        <v>0.46363636400000002</v>
      </c>
      <c r="H122" s="6">
        <v>3.4545454549999999</v>
      </c>
      <c r="I122" s="5">
        <v>129.99090910000001</v>
      </c>
      <c r="J122" s="5">
        <v>1028.018182</v>
      </c>
      <c r="K122" s="6">
        <v>387.18181820000001</v>
      </c>
      <c r="L122" s="6">
        <v>382</v>
      </c>
      <c r="M122" s="6">
        <v>340.36363640000002</v>
      </c>
      <c r="N122" s="6">
        <v>95.909090910000003</v>
      </c>
      <c r="O122" s="6">
        <v>327.18181820000001</v>
      </c>
      <c r="P122" s="6">
        <v>522</v>
      </c>
      <c r="Q122" s="6">
        <v>194.81818179999999</v>
      </c>
      <c r="R122" s="5">
        <v>240.51818180000001</v>
      </c>
      <c r="S122" s="6">
        <v>395.18181820000001</v>
      </c>
      <c r="T122" s="6">
        <v>394</v>
      </c>
    </row>
    <row r="123" spans="1:20" x14ac:dyDescent="0.25">
      <c r="A123" t="s">
        <v>182</v>
      </c>
      <c r="C123">
        <v>2000</v>
      </c>
      <c r="D123" s="5">
        <v>188.44545450000001</v>
      </c>
      <c r="E123" s="5">
        <v>10.06363636</v>
      </c>
      <c r="F123" s="5">
        <v>9.4909090910000007</v>
      </c>
      <c r="G123" s="5">
        <v>0.57272727300000004</v>
      </c>
      <c r="H123" s="6">
        <v>6.1818181819999998</v>
      </c>
      <c r="I123" s="5">
        <v>114.37272729999999</v>
      </c>
      <c r="J123" s="5">
        <v>1142.3818180000001</v>
      </c>
      <c r="K123" s="6">
        <v>388.36363640000002</v>
      </c>
      <c r="L123" s="6">
        <v>378.54545450000001</v>
      </c>
      <c r="M123" s="6">
        <v>482.63636359999998</v>
      </c>
      <c r="N123" s="6">
        <v>136.54545450000001</v>
      </c>
      <c r="O123" s="6">
        <v>315.27272729999999</v>
      </c>
      <c r="P123" s="6">
        <v>538.18181819999995</v>
      </c>
      <c r="Q123" s="6">
        <v>222.9090909</v>
      </c>
      <c r="R123" s="5">
        <v>240.51818180000001</v>
      </c>
      <c r="S123" s="6">
        <v>395.18181820000001</v>
      </c>
      <c r="T123" s="6">
        <v>394</v>
      </c>
    </row>
    <row r="124" spans="1:20" x14ac:dyDescent="0.25">
      <c r="A124" t="s">
        <v>183</v>
      </c>
      <c r="C124">
        <v>2001</v>
      </c>
      <c r="D124" s="5">
        <v>198.2363636</v>
      </c>
      <c r="E124" s="5">
        <v>9.7909090909999996</v>
      </c>
      <c r="F124" s="5">
        <v>8.5363636360000008</v>
      </c>
      <c r="G124" s="5">
        <v>1.2545454549999999</v>
      </c>
      <c r="H124" s="6">
        <v>14.636363640000001</v>
      </c>
      <c r="I124" s="5">
        <v>117.8545455</v>
      </c>
      <c r="J124" s="5">
        <v>1260.2181820000001</v>
      </c>
      <c r="K124" s="6">
        <v>410.90909090000002</v>
      </c>
      <c r="L124" s="6">
        <v>389.72727270000001</v>
      </c>
      <c r="M124" s="6">
        <v>436</v>
      </c>
      <c r="N124" s="6">
        <v>111.7272727</v>
      </c>
      <c r="O124" s="6">
        <v>333.36363640000002</v>
      </c>
      <c r="P124" s="6">
        <v>543.72727269999996</v>
      </c>
      <c r="Q124" s="6">
        <v>210.36363639999999</v>
      </c>
      <c r="R124" s="5">
        <v>240.51818180000001</v>
      </c>
      <c r="S124" s="6">
        <v>395.18181820000001</v>
      </c>
      <c r="T124" s="6">
        <v>394</v>
      </c>
    </row>
    <row r="125" spans="1:20" x14ac:dyDescent="0.25">
      <c r="A125" t="s">
        <v>184</v>
      </c>
      <c r="C125">
        <v>2002</v>
      </c>
      <c r="D125" s="5">
        <v>206.77272730000001</v>
      </c>
      <c r="E125" s="5">
        <v>8.5363636360000008</v>
      </c>
      <c r="F125" s="5">
        <v>7.3636363640000004</v>
      </c>
      <c r="G125" s="5">
        <v>1.172727273</v>
      </c>
      <c r="H125" s="6">
        <v>15</v>
      </c>
      <c r="I125" s="5">
        <v>108.82727269999999</v>
      </c>
      <c r="J125" s="5">
        <v>1369.054545</v>
      </c>
      <c r="K125" s="6">
        <v>410.63636359999998</v>
      </c>
      <c r="L125" s="6">
        <v>387.81818179999999</v>
      </c>
      <c r="M125" s="6">
        <v>487</v>
      </c>
      <c r="N125" s="6">
        <v>131.45454549999999</v>
      </c>
      <c r="O125" s="6">
        <v>326.72727270000001</v>
      </c>
      <c r="P125" s="6">
        <v>557.27272730000004</v>
      </c>
      <c r="Q125" s="6">
        <v>230.54545450000001</v>
      </c>
      <c r="R125" s="5">
        <v>240.51818180000001</v>
      </c>
      <c r="S125" s="6">
        <v>395.18181820000001</v>
      </c>
      <c r="T125" s="6">
        <v>394</v>
      </c>
    </row>
    <row r="126" spans="1:20" x14ac:dyDescent="0.25">
      <c r="A126" t="s">
        <v>185</v>
      </c>
      <c r="C126">
        <v>2003</v>
      </c>
      <c r="D126" s="5">
        <v>214.98181819999999</v>
      </c>
      <c r="E126" s="5">
        <v>8.2090909090000004</v>
      </c>
      <c r="F126" s="5">
        <v>7.9363636360000003</v>
      </c>
      <c r="G126" s="5">
        <v>0.27272727299999999</v>
      </c>
      <c r="H126" s="6">
        <v>4.2727272730000001</v>
      </c>
      <c r="I126" s="5">
        <v>109.5363636</v>
      </c>
      <c r="J126" s="5">
        <v>1478.6</v>
      </c>
      <c r="K126" s="6">
        <v>395.90909090000002</v>
      </c>
      <c r="L126" s="6">
        <v>388.45454549999999</v>
      </c>
      <c r="M126" s="6">
        <v>340.90909090000002</v>
      </c>
      <c r="N126" s="6">
        <v>90.454545449999998</v>
      </c>
      <c r="O126" s="6">
        <v>339.18181820000001</v>
      </c>
      <c r="P126" s="6">
        <v>517.54545450000001</v>
      </c>
      <c r="Q126" s="6">
        <v>178.36363639999999</v>
      </c>
      <c r="R126" s="5">
        <v>240.51818180000001</v>
      </c>
      <c r="S126" s="6">
        <v>395.18181820000001</v>
      </c>
      <c r="T126" s="6">
        <v>394</v>
      </c>
    </row>
    <row r="127" spans="1:20" x14ac:dyDescent="0.25">
      <c r="A127" t="s">
        <v>186</v>
      </c>
      <c r="C127">
        <v>2004</v>
      </c>
      <c r="D127" s="5">
        <v>221.60909090000001</v>
      </c>
      <c r="E127" s="5">
        <v>6.6272727270000003</v>
      </c>
      <c r="F127" s="5">
        <v>5.9727272730000003</v>
      </c>
      <c r="G127" s="5">
        <v>0.65454545500000005</v>
      </c>
      <c r="H127" s="6">
        <v>10.81818182</v>
      </c>
      <c r="I127" s="5">
        <v>92.572727270000001</v>
      </c>
      <c r="J127" s="5">
        <v>1571.163636</v>
      </c>
      <c r="K127" s="6">
        <v>403.45454549999999</v>
      </c>
      <c r="L127" s="6">
        <v>388.36363640000002</v>
      </c>
      <c r="M127" s="6">
        <v>433.45454549999999</v>
      </c>
      <c r="N127" s="6">
        <v>111.0909091</v>
      </c>
      <c r="O127" s="6">
        <v>330.81818179999999</v>
      </c>
      <c r="P127" s="6">
        <v>533.90909090000002</v>
      </c>
      <c r="Q127" s="6">
        <v>203.0909091</v>
      </c>
      <c r="R127" s="5">
        <v>240.51818180000001</v>
      </c>
      <c r="S127" s="6">
        <v>395.18181820000001</v>
      </c>
      <c r="T127" s="6">
        <v>394</v>
      </c>
    </row>
    <row r="128" spans="1:20" x14ac:dyDescent="0.25">
      <c r="A128" t="s">
        <v>187</v>
      </c>
      <c r="C128">
        <v>2005</v>
      </c>
      <c r="D128" s="5">
        <v>227.25454550000001</v>
      </c>
      <c r="E128" s="5">
        <v>5.6454545449999998</v>
      </c>
      <c r="F128" s="5">
        <v>5.3727272729999997</v>
      </c>
      <c r="G128" s="5">
        <v>0.27272727299999999</v>
      </c>
      <c r="H128" s="6">
        <v>12.363636359999999</v>
      </c>
      <c r="I128" s="5">
        <v>80.518181819999995</v>
      </c>
      <c r="J128" s="5">
        <v>1651.7</v>
      </c>
      <c r="K128" s="6">
        <v>402.27272729999999</v>
      </c>
      <c r="L128" s="6">
        <v>348.63636359999998</v>
      </c>
      <c r="M128" s="6">
        <v>240</v>
      </c>
      <c r="N128" s="6">
        <v>97.363636360000001</v>
      </c>
      <c r="O128" s="6">
        <v>349.09090909999998</v>
      </c>
      <c r="P128" s="6">
        <v>485.09090909999998</v>
      </c>
      <c r="Q128" s="6">
        <v>136</v>
      </c>
      <c r="R128" s="5">
        <v>240.51818180000001</v>
      </c>
      <c r="S128" s="6">
        <v>395.18181820000001</v>
      </c>
      <c r="T128" s="6">
        <v>394</v>
      </c>
    </row>
    <row r="129" spans="1:20" x14ac:dyDescent="0.25">
      <c r="A129" t="s">
        <v>188</v>
      </c>
      <c r="C129">
        <v>2006</v>
      </c>
      <c r="D129" s="5">
        <v>230.99090910000001</v>
      </c>
      <c r="E129" s="5">
        <v>3.7363636360000001</v>
      </c>
      <c r="F129" s="5">
        <v>3.5727272729999999</v>
      </c>
      <c r="G129" s="5">
        <v>0.16363636400000001</v>
      </c>
      <c r="H129" s="6">
        <v>6.6363636359999996</v>
      </c>
      <c r="I129" s="5">
        <v>53.409090910000003</v>
      </c>
      <c r="J129" s="5">
        <v>1705.090909</v>
      </c>
      <c r="K129" s="6">
        <v>405.45454549999999</v>
      </c>
      <c r="L129" s="6">
        <v>398.81818179999999</v>
      </c>
      <c r="M129" s="6">
        <v>189.27272730000001</v>
      </c>
      <c r="N129" s="6">
        <v>38.272727269999997</v>
      </c>
      <c r="O129" s="6">
        <v>340.09090909999998</v>
      </c>
      <c r="P129" s="6">
        <v>478.54545450000001</v>
      </c>
      <c r="Q129" s="6">
        <v>138.45454549999999</v>
      </c>
      <c r="R129" s="5">
        <v>240.51818180000001</v>
      </c>
      <c r="S129" s="6">
        <v>395.18181820000001</v>
      </c>
      <c r="T129" s="6">
        <v>394</v>
      </c>
    </row>
    <row r="130" spans="1:20" x14ac:dyDescent="0.25">
      <c r="A130" t="s">
        <v>189</v>
      </c>
      <c r="C130">
        <v>2007</v>
      </c>
      <c r="D130" s="5">
        <v>234.37272730000001</v>
      </c>
      <c r="E130" s="5">
        <v>3.381818182</v>
      </c>
      <c r="F130" s="5">
        <v>2.8909090910000002</v>
      </c>
      <c r="G130" s="5">
        <v>0.49090909100000002</v>
      </c>
      <c r="H130" s="6">
        <v>13.636363640000001</v>
      </c>
      <c r="I130" s="5">
        <v>49.718181819999998</v>
      </c>
      <c r="J130" s="5">
        <v>1754.8090910000001</v>
      </c>
      <c r="K130" s="6">
        <v>420.27272729999999</v>
      </c>
      <c r="L130" s="6">
        <v>402.63636359999998</v>
      </c>
      <c r="M130" s="6">
        <v>389</v>
      </c>
      <c r="N130" s="6">
        <v>94</v>
      </c>
      <c r="O130" s="6">
        <v>343.18181820000001</v>
      </c>
      <c r="P130" s="6">
        <v>519.09090909999998</v>
      </c>
      <c r="Q130" s="6">
        <v>175.9090909</v>
      </c>
      <c r="R130" s="5">
        <v>240.51818180000001</v>
      </c>
      <c r="S130" s="6">
        <v>395.18181820000001</v>
      </c>
      <c r="T130" s="6">
        <v>394</v>
      </c>
    </row>
    <row r="131" spans="1:20" x14ac:dyDescent="0.25">
      <c r="A131" t="s">
        <v>190</v>
      </c>
      <c r="C131">
        <v>2008</v>
      </c>
      <c r="D131" s="5">
        <v>238.10909090000001</v>
      </c>
      <c r="E131" s="5">
        <v>3.7363636360000001</v>
      </c>
      <c r="F131" s="5">
        <v>3.518181818</v>
      </c>
      <c r="G131" s="5">
        <v>0.218181818</v>
      </c>
      <c r="H131" s="6">
        <v>7.3636363640000004</v>
      </c>
      <c r="I131" s="5">
        <v>56</v>
      </c>
      <c r="J131" s="5">
        <v>1810.818182</v>
      </c>
      <c r="K131" s="6">
        <v>407.72727270000001</v>
      </c>
      <c r="L131" s="6">
        <v>397.63636359999998</v>
      </c>
      <c r="M131" s="6">
        <v>342.81818179999999</v>
      </c>
      <c r="N131" s="6">
        <v>83.818181820000007</v>
      </c>
      <c r="O131" s="6">
        <v>349.36363640000002</v>
      </c>
      <c r="P131" s="6">
        <v>499.54545450000001</v>
      </c>
      <c r="Q131" s="6">
        <v>150.18181820000001</v>
      </c>
      <c r="R131" s="5">
        <v>240.51818180000001</v>
      </c>
      <c r="S131" s="6">
        <v>395.18181820000001</v>
      </c>
      <c r="T131" s="6">
        <v>394</v>
      </c>
    </row>
    <row r="132" spans="1:20" x14ac:dyDescent="0.25">
      <c r="A132" t="s">
        <v>191</v>
      </c>
      <c r="C132">
        <v>2009</v>
      </c>
      <c r="D132" s="5">
        <v>241.3545455</v>
      </c>
      <c r="E132" s="5">
        <v>3.2454545449999999</v>
      </c>
      <c r="F132" s="5">
        <v>2.8363636360000002</v>
      </c>
      <c r="G132" s="5">
        <v>0.409090909</v>
      </c>
      <c r="H132" s="6">
        <v>13.09090909</v>
      </c>
      <c r="I132" s="5">
        <v>49.936363640000003</v>
      </c>
      <c r="J132" s="5">
        <v>1860.745455</v>
      </c>
      <c r="K132" s="6">
        <v>413.54545450000001</v>
      </c>
      <c r="L132" s="6">
        <v>395.72727270000001</v>
      </c>
      <c r="M132" s="6">
        <v>338.54545450000001</v>
      </c>
      <c r="N132" s="6">
        <v>82.363636360000001</v>
      </c>
      <c r="O132" s="6">
        <v>353.63636359999998</v>
      </c>
      <c r="P132" s="6">
        <v>498.54545450000001</v>
      </c>
      <c r="Q132" s="6">
        <v>144.9090909</v>
      </c>
      <c r="R132" s="5">
        <v>240.51818180000001</v>
      </c>
      <c r="S132" s="6">
        <v>395.18181820000001</v>
      </c>
      <c r="T132" s="6">
        <v>394</v>
      </c>
    </row>
    <row r="133" spans="1:20" x14ac:dyDescent="0.25">
      <c r="A133" t="s">
        <v>192</v>
      </c>
      <c r="C133">
        <v>2010</v>
      </c>
      <c r="D133" s="5">
        <v>244.65454550000001</v>
      </c>
      <c r="E133" s="5">
        <v>3.3</v>
      </c>
      <c r="F133" s="5">
        <v>2.809090909</v>
      </c>
      <c r="G133" s="5">
        <v>0.49090909100000002</v>
      </c>
      <c r="H133" s="6">
        <v>15.636363640000001</v>
      </c>
      <c r="I133" s="5">
        <v>51.336363640000002</v>
      </c>
      <c r="J133" s="5">
        <v>1912.090909</v>
      </c>
      <c r="K133" s="6">
        <v>423.36363640000002</v>
      </c>
      <c r="L133" s="6">
        <v>401.90909090000002</v>
      </c>
      <c r="M133" s="6">
        <v>394.90909090000002</v>
      </c>
      <c r="N133" s="6">
        <v>101.2727273</v>
      </c>
      <c r="O133" s="6">
        <v>359.54545450000001</v>
      </c>
      <c r="P133" s="6">
        <v>517.90909090000002</v>
      </c>
      <c r="Q133" s="6">
        <v>158.36363639999999</v>
      </c>
      <c r="R133" s="5">
        <v>240.51818180000001</v>
      </c>
      <c r="S133" s="6">
        <v>395.18181820000001</v>
      </c>
      <c r="T133" s="6">
        <v>394</v>
      </c>
    </row>
    <row r="134" spans="1:20" x14ac:dyDescent="0.25">
      <c r="A134" t="s">
        <v>193</v>
      </c>
      <c r="C134">
        <v>2011</v>
      </c>
      <c r="D134" s="5">
        <v>247.70909090000001</v>
      </c>
      <c r="E134" s="5">
        <v>3.054545455</v>
      </c>
      <c r="F134" s="5">
        <v>2.6454545450000002</v>
      </c>
      <c r="G134" s="5">
        <v>0.409090909</v>
      </c>
      <c r="H134" s="6">
        <v>13.636363640000001</v>
      </c>
      <c r="I134" s="5">
        <v>48.909090910000003</v>
      </c>
      <c r="J134" s="5">
        <v>1960.981818</v>
      </c>
      <c r="K134" s="6">
        <v>419.09090909999998</v>
      </c>
      <c r="L134" s="6">
        <v>401.90909090000002</v>
      </c>
      <c r="M134" s="6">
        <v>389.81818179999999</v>
      </c>
      <c r="N134" s="6">
        <v>92.818181820000007</v>
      </c>
      <c r="O134" s="6">
        <v>361.09090909999998</v>
      </c>
      <c r="P134" s="6">
        <v>511.90909090000002</v>
      </c>
      <c r="Q134" s="6">
        <v>150.81818179999999</v>
      </c>
      <c r="R134" s="5">
        <v>240.51818180000001</v>
      </c>
      <c r="S134" s="6">
        <v>395.18181820000001</v>
      </c>
      <c r="T134" s="6">
        <v>394</v>
      </c>
    </row>
    <row r="135" spans="1:20" x14ac:dyDescent="0.25">
      <c r="A135" t="s">
        <v>194</v>
      </c>
      <c r="C135">
        <v>2012</v>
      </c>
      <c r="D135" s="5">
        <v>249.9727273</v>
      </c>
      <c r="E135" s="5">
        <v>2.2636363639999999</v>
      </c>
      <c r="F135" s="5">
        <v>2.0454545450000001</v>
      </c>
      <c r="G135" s="5">
        <v>0.218181818</v>
      </c>
      <c r="H135" s="6">
        <v>13.363636359999999</v>
      </c>
      <c r="I135" s="5">
        <v>36.68181818</v>
      </c>
      <c r="J135" s="5">
        <v>1997.6545450000001</v>
      </c>
      <c r="K135" s="6">
        <v>395</v>
      </c>
      <c r="L135" s="6">
        <v>368</v>
      </c>
      <c r="M135" s="6">
        <v>285.45454549999999</v>
      </c>
      <c r="N135" s="6">
        <v>88.818181820000007</v>
      </c>
      <c r="O135" s="6">
        <v>312.36363640000002</v>
      </c>
      <c r="P135" s="6">
        <v>487.63636359999998</v>
      </c>
      <c r="Q135" s="6">
        <v>175.27272730000001</v>
      </c>
      <c r="R135" s="5">
        <v>240.51818180000001</v>
      </c>
      <c r="S135" s="6">
        <v>395.18181820000001</v>
      </c>
      <c r="T135" s="6">
        <v>394</v>
      </c>
    </row>
    <row r="136" spans="1:20" x14ac:dyDescent="0.25">
      <c r="A136" t="s">
        <v>195</v>
      </c>
      <c r="C136">
        <v>1999.6456539999999</v>
      </c>
      <c r="D136" s="5">
        <v>162.85189120000001</v>
      </c>
      <c r="E136" s="5">
        <v>9.5364299930000005</v>
      </c>
      <c r="F136" s="5">
        <v>8.2174518909999996</v>
      </c>
      <c r="G136" s="5">
        <v>0.86775049800000004</v>
      </c>
      <c r="H136" s="6">
        <v>12.597213010000001</v>
      </c>
      <c r="I136" s="5">
        <v>73.171134699999996</v>
      </c>
      <c r="J136" s="5">
        <v>991.64558729999999</v>
      </c>
      <c r="K136" s="6">
        <v>404.65096219999998</v>
      </c>
      <c r="L136" s="6">
        <v>386.31453219999997</v>
      </c>
      <c r="M136" s="6">
        <v>442.45122759999998</v>
      </c>
      <c r="N136" s="6">
        <v>120.87126739999999</v>
      </c>
      <c r="O136" s="6">
        <v>327.2475116</v>
      </c>
      <c r="P136" s="6">
        <v>539.55806240000004</v>
      </c>
      <c r="Q136" s="6">
        <v>212.31055079999999</v>
      </c>
      <c r="R136" s="5">
        <v>226.53224950000001</v>
      </c>
      <c r="S136" s="6">
        <v>404.12475119999999</v>
      </c>
      <c r="T136" s="6">
        <v>400.98938290000001</v>
      </c>
    </row>
    <row r="140" spans="1:20" x14ac:dyDescent="0.25">
      <c r="A140" t="s">
        <v>40</v>
      </c>
      <c r="B140" t="s">
        <v>3</v>
      </c>
      <c r="C140" t="s">
        <v>41</v>
      </c>
      <c r="D140" s="5" t="s">
        <v>42</v>
      </c>
      <c r="E140" s="5" t="s">
        <v>43</v>
      </c>
      <c r="F140" s="5" t="s">
        <v>44</v>
      </c>
      <c r="G140" s="5" t="s">
        <v>45</v>
      </c>
      <c r="H140" s="6" t="s">
        <v>46</v>
      </c>
      <c r="I140" s="5" t="s">
        <v>47</v>
      </c>
      <c r="J140" s="5" t="s">
        <v>48</v>
      </c>
      <c r="K140" s="6" t="s">
        <v>49</v>
      </c>
      <c r="L140" s="6" t="s">
        <v>50</v>
      </c>
      <c r="M140" s="6" t="s">
        <v>51</v>
      </c>
      <c r="N140" s="6" t="s">
        <v>52</v>
      </c>
      <c r="O140" s="6" t="s">
        <v>53</v>
      </c>
      <c r="P140" s="6" t="s">
        <v>54</v>
      </c>
      <c r="Q140" s="6" t="s">
        <v>55</v>
      </c>
      <c r="R140" s="5" t="s">
        <v>56</v>
      </c>
      <c r="S140" s="6" t="s">
        <v>57</v>
      </c>
    </row>
    <row r="141" spans="1:20" x14ac:dyDescent="0.25">
      <c r="A141" t="s">
        <v>197</v>
      </c>
      <c r="B141">
        <v>1985</v>
      </c>
      <c r="C141">
        <v>3.3</v>
      </c>
      <c r="D141" s="5">
        <v>3.3</v>
      </c>
      <c r="E141" s="5">
        <v>3.3</v>
      </c>
      <c r="F141" s="5">
        <v>0</v>
      </c>
      <c r="G141" s="5">
        <v>0</v>
      </c>
      <c r="H141" s="6">
        <v>0.4</v>
      </c>
      <c r="I141" s="5">
        <v>0.4</v>
      </c>
      <c r="J141" s="5">
        <v>377.5</v>
      </c>
      <c r="K141" s="6">
        <v>377.5</v>
      </c>
      <c r="L141" s="6">
        <v>0</v>
      </c>
      <c r="M141" s="6">
        <v>0</v>
      </c>
      <c r="N141" s="6">
        <v>307</v>
      </c>
      <c r="O141" s="6">
        <v>442</v>
      </c>
      <c r="P141" s="6">
        <v>135</v>
      </c>
      <c r="Q141" s="6">
        <v>205.2</v>
      </c>
      <c r="R141" s="5">
        <v>395.5</v>
      </c>
      <c r="S141" s="6">
        <v>397</v>
      </c>
    </row>
    <row r="142" spans="1:20" x14ac:dyDescent="0.25">
      <c r="A142" t="s">
        <v>198</v>
      </c>
      <c r="B142">
        <v>1986</v>
      </c>
      <c r="C142">
        <v>13.9</v>
      </c>
      <c r="D142" s="5">
        <v>12.8</v>
      </c>
      <c r="E142" s="5">
        <v>10.3</v>
      </c>
      <c r="F142" s="5">
        <v>0</v>
      </c>
      <c r="G142" s="5">
        <v>0</v>
      </c>
      <c r="H142" s="6">
        <v>6.983333333</v>
      </c>
      <c r="I142" s="5">
        <v>7.1166666669999996</v>
      </c>
      <c r="J142" s="5">
        <v>357.83333329999999</v>
      </c>
      <c r="K142" s="6">
        <v>357.83333329999999</v>
      </c>
      <c r="L142" s="6">
        <v>0</v>
      </c>
      <c r="M142" s="6">
        <v>0</v>
      </c>
      <c r="N142" s="6">
        <v>296.5</v>
      </c>
      <c r="O142" s="6">
        <v>435.83333329999999</v>
      </c>
      <c r="P142" s="6">
        <v>139.33333329999999</v>
      </c>
      <c r="Q142" s="6">
        <v>228.4</v>
      </c>
      <c r="R142" s="5">
        <v>405.16666670000001</v>
      </c>
      <c r="S142" s="6">
        <v>406.5</v>
      </c>
    </row>
    <row r="143" spans="1:20" x14ac:dyDescent="0.25">
      <c r="A143" t="s">
        <v>199</v>
      </c>
      <c r="B143">
        <v>1987</v>
      </c>
      <c r="C143">
        <v>26.280645159999999</v>
      </c>
      <c r="D143" s="5">
        <v>23.590322579999999</v>
      </c>
      <c r="E143" s="5">
        <v>16.364516129999998</v>
      </c>
      <c r="F143" s="5">
        <v>0.38709677399999998</v>
      </c>
      <c r="G143" s="5">
        <v>1.2903225810000001</v>
      </c>
      <c r="H143" s="6">
        <v>24.477419350000002</v>
      </c>
      <c r="I143" s="5">
        <v>25.858064519999999</v>
      </c>
      <c r="J143" s="5">
        <v>349.48387100000002</v>
      </c>
      <c r="K143" s="6">
        <v>346.48387100000002</v>
      </c>
      <c r="L143" s="6">
        <v>132.45161289999999</v>
      </c>
      <c r="M143" s="6">
        <v>41.419354839999997</v>
      </c>
      <c r="N143" s="6">
        <v>240.35483869999999</v>
      </c>
      <c r="O143" s="6">
        <v>480.61290320000001</v>
      </c>
      <c r="P143" s="6">
        <v>240.25806449999999</v>
      </c>
      <c r="Q143" s="6">
        <v>231.716129</v>
      </c>
      <c r="R143" s="5">
        <v>407.25806449999999</v>
      </c>
      <c r="S143" s="6">
        <v>405.83870969999998</v>
      </c>
    </row>
    <row r="144" spans="1:20" x14ac:dyDescent="0.25">
      <c r="A144" t="s">
        <v>200</v>
      </c>
      <c r="B144">
        <v>1988</v>
      </c>
      <c r="C144">
        <v>42.344680850000003</v>
      </c>
      <c r="D144" s="5">
        <v>25.0106383</v>
      </c>
      <c r="E144" s="5">
        <v>18.912765960000002</v>
      </c>
      <c r="F144" s="5">
        <v>0.39574468099999999</v>
      </c>
      <c r="G144" s="5">
        <v>1.8936170210000001</v>
      </c>
      <c r="H144" s="6">
        <v>44.887234040000003</v>
      </c>
      <c r="I144" s="5">
        <v>61.93617021</v>
      </c>
      <c r="J144" s="5">
        <v>354.44680849999997</v>
      </c>
      <c r="K144" s="6">
        <v>351</v>
      </c>
      <c r="L144" s="6">
        <v>208.19148939999999</v>
      </c>
      <c r="M144" s="6">
        <v>61.085106379999999</v>
      </c>
      <c r="N144" s="6">
        <v>265.31914890000002</v>
      </c>
      <c r="O144" s="6">
        <v>484.04255319999999</v>
      </c>
      <c r="P144" s="6">
        <v>218.7234043</v>
      </c>
      <c r="Q144" s="6">
        <v>226.81914889999999</v>
      </c>
      <c r="R144" s="5">
        <v>406.27659569999997</v>
      </c>
      <c r="S144" s="6">
        <v>403.78723400000001</v>
      </c>
    </row>
    <row r="145" spans="1:19" customFormat="1" x14ac:dyDescent="0.25">
      <c r="A145" t="s">
        <v>201</v>
      </c>
      <c r="B145">
        <v>1989</v>
      </c>
      <c r="C145">
        <v>56.41111111</v>
      </c>
      <c r="D145" s="5">
        <v>19.555555559999998</v>
      </c>
      <c r="E145" s="5">
        <v>17.33888889</v>
      </c>
      <c r="F145" s="5">
        <v>0.55000000000000004</v>
      </c>
      <c r="G145" s="5">
        <v>2.907407407</v>
      </c>
      <c r="H145" s="6">
        <v>55.637037040000003</v>
      </c>
      <c r="I145" s="5">
        <v>109.5388889</v>
      </c>
      <c r="J145" s="5">
        <v>362.037037</v>
      </c>
      <c r="K145" s="6">
        <v>356.57407410000002</v>
      </c>
      <c r="L145" s="6">
        <v>377.12962959999999</v>
      </c>
      <c r="M145" s="6">
        <v>115.5740741</v>
      </c>
      <c r="N145" s="6">
        <v>280.29629629999999</v>
      </c>
      <c r="O145" s="6">
        <v>517.16666669999995</v>
      </c>
      <c r="P145" s="6">
        <v>236.87037040000001</v>
      </c>
      <c r="Q145" s="6">
        <v>224.12222220000001</v>
      </c>
      <c r="R145" s="5">
        <v>406.2407407</v>
      </c>
      <c r="S145" s="6">
        <v>403.31481480000002</v>
      </c>
    </row>
    <row r="146" spans="1:19" customFormat="1" x14ac:dyDescent="0.25">
      <c r="A146" t="s">
        <v>202</v>
      </c>
      <c r="B146">
        <v>1990</v>
      </c>
      <c r="C146">
        <v>66.769491529999996</v>
      </c>
      <c r="D146" s="5">
        <v>15.13898305</v>
      </c>
      <c r="E146" s="5">
        <v>13.04745763</v>
      </c>
      <c r="F146" s="5">
        <v>0.95593220300000004</v>
      </c>
      <c r="G146" s="5">
        <v>7.2542372879999997</v>
      </c>
      <c r="H146" s="6">
        <v>54.493220340000001</v>
      </c>
      <c r="I146" s="5">
        <v>154.759322</v>
      </c>
      <c r="J146" s="5">
        <v>372.0169492</v>
      </c>
      <c r="K146" s="6">
        <v>360</v>
      </c>
      <c r="L146" s="6">
        <v>420.08474580000001</v>
      </c>
      <c r="M146" s="6">
        <v>130.4745763</v>
      </c>
      <c r="N146" s="6">
        <v>290.4915254</v>
      </c>
      <c r="O146" s="6">
        <v>532.5084746</v>
      </c>
      <c r="P146" s="6">
        <v>242.0169492</v>
      </c>
      <c r="Q146" s="6">
        <v>223.41864409999999</v>
      </c>
      <c r="R146" s="5">
        <v>404.71186440000002</v>
      </c>
      <c r="S146" s="6">
        <v>401.54237289999998</v>
      </c>
    </row>
    <row r="147" spans="1:19" customFormat="1" x14ac:dyDescent="0.25">
      <c r="A147" t="s">
        <v>203</v>
      </c>
      <c r="B147">
        <v>1991</v>
      </c>
      <c r="C147">
        <v>79.178688519999994</v>
      </c>
      <c r="D147" s="5">
        <v>14.598360660000001</v>
      </c>
      <c r="E147" s="5">
        <v>12.93442623</v>
      </c>
      <c r="F147" s="5">
        <v>1.204918033</v>
      </c>
      <c r="G147" s="5">
        <v>8.6557377049999999</v>
      </c>
      <c r="H147" s="6">
        <v>64.206557380000007</v>
      </c>
      <c r="I147" s="5">
        <v>213.88852460000001</v>
      </c>
      <c r="J147" s="5">
        <v>384.03278690000002</v>
      </c>
      <c r="K147" s="6">
        <v>369.52459019999998</v>
      </c>
      <c r="L147" s="6">
        <v>494.7704918</v>
      </c>
      <c r="M147" s="6">
        <v>148.2459016</v>
      </c>
      <c r="N147" s="6">
        <v>305.39344260000001</v>
      </c>
      <c r="O147" s="6">
        <v>543.09836069999994</v>
      </c>
      <c r="P147" s="6">
        <v>237.70491799999999</v>
      </c>
      <c r="Q147" s="6">
        <v>224.58688520000001</v>
      </c>
      <c r="R147" s="5">
        <v>403.98360659999997</v>
      </c>
      <c r="S147" s="6">
        <v>400.83606559999998</v>
      </c>
    </row>
    <row r="148" spans="1:19" customFormat="1" x14ac:dyDescent="0.25">
      <c r="A148" t="s">
        <v>204</v>
      </c>
      <c r="B148">
        <v>1992</v>
      </c>
      <c r="C148">
        <v>95.024590160000002</v>
      </c>
      <c r="D148" s="5">
        <v>15.845901639999999</v>
      </c>
      <c r="E148" s="5">
        <v>14.567213110000001</v>
      </c>
      <c r="F148" s="5">
        <v>1.278688525</v>
      </c>
      <c r="G148" s="5">
        <v>8.1639344260000009</v>
      </c>
      <c r="H148" s="6">
        <v>87.386885250000006</v>
      </c>
      <c r="I148" s="5">
        <v>301.26721309999999</v>
      </c>
      <c r="J148" s="5">
        <v>384.60655739999999</v>
      </c>
      <c r="K148" s="6">
        <v>371.85245900000001</v>
      </c>
      <c r="L148" s="6">
        <v>440.62295080000001</v>
      </c>
      <c r="M148" s="6">
        <v>127</v>
      </c>
      <c r="N148" s="6">
        <v>314.06557379999998</v>
      </c>
      <c r="O148" s="6">
        <v>535.26229509999996</v>
      </c>
      <c r="P148" s="6">
        <v>221.19672130000001</v>
      </c>
      <c r="Q148" s="6">
        <v>224.58688520000001</v>
      </c>
      <c r="R148" s="5">
        <v>403.98360659999997</v>
      </c>
      <c r="S148" s="6">
        <v>400.83606559999998</v>
      </c>
    </row>
    <row r="149" spans="1:19" customFormat="1" x14ac:dyDescent="0.25">
      <c r="A149" t="s">
        <v>205</v>
      </c>
      <c r="B149">
        <v>1993</v>
      </c>
      <c r="C149">
        <v>108.5147541</v>
      </c>
      <c r="D149" s="5">
        <v>13.49016393</v>
      </c>
      <c r="E149" s="5">
        <v>12.29508197</v>
      </c>
      <c r="F149" s="5">
        <v>1.1950819669999999</v>
      </c>
      <c r="G149" s="5">
        <v>9.2786885249999997</v>
      </c>
      <c r="H149" s="6">
        <v>88.331147540000003</v>
      </c>
      <c r="I149" s="5">
        <v>389.5983607</v>
      </c>
      <c r="J149" s="5">
        <v>385.4590164</v>
      </c>
      <c r="K149" s="6">
        <v>370.34426230000003</v>
      </c>
      <c r="L149" s="6">
        <v>474.80327870000002</v>
      </c>
      <c r="M149" s="6">
        <v>139.62295080000001</v>
      </c>
      <c r="N149" s="6">
        <v>309.29508199999998</v>
      </c>
      <c r="O149" s="6">
        <v>538.31147539999995</v>
      </c>
      <c r="P149" s="6">
        <v>229.0163934</v>
      </c>
      <c r="Q149" s="6">
        <v>224.58688520000001</v>
      </c>
      <c r="R149" s="5">
        <v>403.98360659999997</v>
      </c>
      <c r="S149" s="6">
        <v>400.83606559999998</v>
      </c>
    </row>
    <row r="150" spans="1:19" customFormat="1" x14ac:dyDescent="0.25">
      <c r="A150" t="s">
        <v>206</v>
      </c>
      <c r="B150">
        <v>1994</v>
      </c>
      <c r="C150">
        <v>121.00163929999999</v>
      </c>
      <c r="D150" s="5">
        <v>12.48688525</v>
      </c>
      <c r="E150" s="5">
        <v>11.54262295</v>
      </c>
      <c r="F150" s="5">
        <v>0.94426229500000003</v>
      </c>
      <c r="G150" s="5">
        <v>8.5737704919999995</v>
      </c>
      <c r="H150" s="6">
        <v>93.196721310000001</v>
      </c>
      <c r="I150" s="5">
        <v>482.79344259999999</v>
      </c>
      <c r="J150" s="5">
        <v>388.95081970000001</v>
      </c>
      <c r="K150" s="6">
        <v>375.68852459999999</v>
      </c>
      <c r="L150" s="6">
        <v>493.52459019999998</v>
      </c>
      <c r="M150" s="6">
        <v>141.37704919999999</v>
      </c>
      <c r="N150" s="6">
        <v>304.75409839999998</v>
      </c>
      <c r="O150" s="6">
        <v>538.42622949999998</v>
      </c>
      <c r="P150" s="6">
        <v>233.6721311</v>
      </c>
      <c r="Q150" s="6">
        <v>224.58688520000001</v>
      </c>
      <c r="R150" s="5">
        <v>403.98360659999997</v>
      </c>
      <c r="S150" s="6">
        <v>400.83606559999998</v>
      </c>
    </row>
    <row r="151" spans="1:19" customFormat="1" x14ac:dyDescent="0.25">
      <c r="A151" t="s">
        <v>207</v>
      </c>
      <c r="B151">
        <v>1995</v>
      </c>
      <c r="C151">
        <v>132.19999999999999</v>
      </c>
      <c r="D151" s="5">
        <v>11.198360660000001</v>
      </c>
      <c r="E151" s="5">
        <v>10.43114754</v>
      </c>
      <c r="F151" s="5">
        <v>0.767213115</v>
      </c>
      <c r="G151" s="5">
        <v>7.491803279</v>
      </c>
      <c r="H151" s="6">
        <v>92.978688520000006</v>
      </c>
      <c r="I151" s="5">
        <v>575.76885249999998</v>
      </c>
      <c r="J151" s="5">
        <v>391.73770489999998</v>
      </c>
      <c r="K151" s="6">
        <v>380.40983610000001</v>
      </c>
      <c r="L151" s="6">
        <v>469.5409836</v>
      </c>
      <c r="M151" s="6">
        <v>130.6721311</v>
      </c>
      <c r="N151" s="6">
        <v>309.11475410000003</v>
      </c>
      <c r="O151" s="6">
        <v>538.52459020000003</v>
      </c>
      <c r="P151" s="6">
        <v>229.40983610000001</v>
      </c>
      <c r="Q151" s="6">
        <v>224.58688520000001</v>
      </c>
      <c r="R151" s="5">
        <v>403.98360659999997</v>
      </c>
      <c r="S151" s="6">
        <v>400.83606559999998</v>
      </c>
    </row>
    <row r="152" spans="1:19" customFormat="1" x14ac:dyDescent="0.25">
      <c r="A152" t="s">
        <v>208</v>
      </c>
      <c r="B152">
        <v>1996</v>
      </c>
      <c r="C152">
        <v>143.64426230000001</v>
      </c>
      <c r="D152" s="5">
        <v>11.4442623</v>
      </c>
      <c r="E152" s="5">
        <v>10.25409836</v>
      </c>
      <c r="F152" s="5">
        <v>1.1901639340000001</v>
      </c>
      <c r="G152" s="5">
        <v>10.786885249999999</v>
      </c>
      <c r="H152" s="6">
        <v>101.852459</v>
      </c>
      <c r="I152" s="5">
        <v>677.62459019999994</v>
      </c>
      <c r="J152" s="5">
        <v>384.7704918</v>
      </c>
      <c r="K152" s="6">
        <v>366.3606557</v>
      </c>
      <c r="L152" s="6">
        <v>495.2295082</v>
      </c>
      <c r="M152" s="6">
        <v>151.49180329999999</v>
      </c>
      <c r="N152" s="6">
        <v>304.81967209999999</v>
      </c>
      <c r="O152" s="6">
        <v>544.5409836</v>
      </c>
      <c r="P152" s="6">
        <v>239.72131150000001</v>
      </c>
      <c r="Q152" s="6">
        <v>224.58688520000001</v>
      </c>
      <c r="R152" s="5">
        <v>403.98360659999997</v>
      </c>
      <c r="S152" s="6">
        <v>400.83606559999998</v>
      </c>
    </row>
    <row r="153" spans="1:19" customFormat="1" x14ac:dyDescent="0.25">
      <c r="A153" t="s">
        <v>209</v>
      </c>
      <c r="B153">
        <v>1997</v>
      </c>
      <c r="C153">
        <v>155.82622950000001</v>
      </c>
      <c r="D153" s="5">
        <v>12.18196721</v>
      </c>
      <c r="E153" s="5">
        <v>10.89836066</v>
      </c>
      <c r="F153" s="5">
        <v>1.2836065569999999</v>
      </c>
      <c r="G153" s="5">
        <v>11.180327869999999</v>
      </c>
      <c r="H153" s="6">
        <v>117.2737705</v>
      </c>
      <c r="I153" s="5">
        <v>794.9065574</v>
      </c>
      <c r="J153" s="5">
        <v>395.47540980000002</v>
      </c>
      <c r="K153" s="6">
        <v>378.44262300000003</v>
      </c>
      <c r="L153" s="6">
        <v>487.52459019999998</v>
      </c>
      <c r="M153" s="6">
        <v>138.72131150000001</v>
      </c>
      <c r="N153" s="6">
        <v>322.62295080000001</v>
      </c>
      <c r="O153" s="6">
        <v>544.62295080000001</v>
      </c>
      <c r="P153" s="6">
        <v>222</v>
      </c>
      <c r="Q153" s="6">
        <v>224.58688520000001</v>
      </c>
      <c r="R153" s="5">
        <v>403.98360659999997</v>
      </c>
      <c r="S153" s="6">
        <v>400.83606559999998</v>
      </c>
    </row>
    <row r="154" spans="1:19" customFormat="1" x14ac:dyDescent="0.25">
      <c r="A154" t="s">
        <v>210</v>
      </c>
      <c r="B154">
        <v>1998</v>
      </c>
      <c r="C154">
        <v>164.05409839999999</v>
      </c>
      <c r="D154" s="5">
        <v>8.2278688520000003</v>
      </c>
      <c r="E154" s="5">
        <v>7.0524590160000002</v>
      </c>
      <c r="F154" s="5">
        <v>1.175409836</v>
      </c>
      <c r="G154" s="5">
        <v>14.508196720000001</v>
      </c>
      <c r="H154" s="6">
        <v>83.462295080000004</v>
      </c>
      <c r="I154" s="5">
        <v>878.36721309999996</v>
      </c>
      <c r="J154" s="5">
        <v>407.78688519999997</v>
      </c>
      <c r="K154" s="6">
        <v>386.42622949999998</v>
      </c>
      <c r="L154" s="6">
        <v>499.34426230000003</v>
      </c>
      <c r="M154" s="6">
        <v>138.2131148</v>
      </c>
      <c r="N154" s="6">
        <v>323.59016389999999</v>
      </c>
      <c r="O154" s="6">
        <v>551.65573770000003</v>
      </c>
      <c r="P154" s="6">
        <v>228.06557380000001</v>
      </c>
      <c r="Q154" s="6">
        <v>224.58688520000001</v>
      </c>
      <c r="R154" s="5">
        <v>403.98360659999997</v>
      </c>
      <c r="S154" s="6">
        <v>400.83606559999998</v>
      </c>
    </row>
    <row r="155" spans="1:19" customFormat="1" x14ac:dyDescent="0.25">
      <c r="A155" t="s">
        <v>211</v>
      </c>
      <c r="B155">
        <v>1999</v>
      </c>
      <c r="C155">
        <v>173.56065570000001</v>
      </c>
      <c r="D155" s="5">
        <v>9.506557377</v>
      </c>
      <c r="E155" s="5">
        <v>8.8475409840000001</v>
      </c>
      <c r="F155" s="5">
        <v>0.65901639300000003</v>
      </c>
      <c r="G155" s="5">
        <v>7.1147540979999997</v>
      </c>
      <c r="H155" s="6">
        <v>102.44918029999999</v>
      </c>
      <c r="I155" s="5">
        <v>980.81967210000005</v>
      </c>
      <c r="J155" s="5">
        <v>399.9016393</v>
      </c>
      <c r="K155" s="6">
        <v>390</v>
      </c>
      <c r="L155" s="6">
        <v>391.95081970000001</v>
      </c>
      <c r="M155" s="6">
        <v>102.3278689</v>
      </c>
      <c r="N155" s="6">
        <v>334.3278689</v>
      </c>
      <c r="O155" s="6">
        <v>529.63934429999995</v>
      </c>
      <c r="P155" s="6">
        <v>195.31147540000001</v>
      </c>
      <c r="Q155" s="6">
        <v>224.58688520000001</v>
      </c>
      <c r="R155" s="5">
        <v>403.98360659999997</v>
      </c>
      <c r="S155" s="6">
        <v>400.83606559999998</v>
      </c>
    </row>
    <row r="156" spans="1:19" customFormat="1" x14ac:dyDescent="0.25">
      <c r="A156" t="s">
        <v>212</v>
      </c>
      <c r="B156">
        <v>2000</v>
      </c>
      <c r="C156">
        <v>181.557377</v>
      </c>
      <c r="D156" s="5">
        <v>7.9967213109999999</v>
      </c>
      <c r="E156" s="5">
        <v>7.1852459020000001</v>
      </c>
      <c r="F156" s="5">
        <v>0.81147541000000001</v>
      </c>
      <c r="G156" s="5">
        <v>10.60655738</v>
      </c>
      <c r="H156" s="6">
        <v>89.940983610000004</v>
      </c>
      <c r="I156" s="5">
        <v>1070.7606559999999</v>
      </c>
      <c r="J156" s="5">
        <v>399.85245900000001</v>
      </c>
      <c r="K156" s="6">
        <v>383.98360659999997</v>
      </c>
      <c r="L156" s="6">
        <v>509.49180330000002</v>
      </c>
      <c r="M156" s="6">
        <v>143.0163934</v>
      </c>
      <c r="N156" s="6">
        <v>321.9016393</v>
      </c>
      <c r="O156" s="6">
        <v>549.22950820000005</v>
      </c>
      <c r="P156" s="6">
        <v>227.3278689</v>
      </c>
      <c r="Q156" s="6">
        <v>224.58688520000001</v>
      </c>
      <c r="R156" s="5">
        <v>403.98360659999997</v>
      </c>
      <c r="S156" s="6">
        <v>400.83606559999998</v>
      </c>
    </row>
    <row r="157" spans="1:19" customFormat="1" x14ac:dyDescent="0.25">
      <c r="A157" t="s">
        <v>213</v>
      </c>
      <c r="B157">
        <v>2001</v>
      </c>
      <c r="C157">
        <v>190</v>
      </c>
      <c r="D157" s="5">
        <v>7.3</v>
      </c>
      <c r="E157" s="5">
        <v>6.2050000000000001</v>
      </c>
      <c r="F157" s="5">
        <v>1.095</v>
      </c>
      <c r="G157" s="5">
        <v>15.66666667</v>
      </c>
      <c r="H157" s="6">
        <v>86.768333330000004</v>
      </c>
      <c r="I157" s="5">
        <v>1168.69</v>
      </c>
      <c r="J157" s="5">
        <v>417.25</v>
      </c>
      <c r="K157" s="6">
        <v>394.08333329999999</v>
      </c>
      <c r="L157" s="6">
        <v>508.1333333</v>
      </c>
      <c r="M157" s="6">
        <v>138.83333329999999</v>
      </c>
      <c r="N157" s="6">
        <v>344.3</v>
      </c>
      <c r="O157" s="6">
        <v>563.6166667</v>
      </c>
      <c r="P157" s="6">
        <v>219.31666670000001</v>
      </c>
      <c r="Q157" s="6">
        <v>226.53</v>
      </c>
      <c r="R157" s="5">
        <v>404.23333330000003</v>
      </c>
      <c r="S157" s="6">
        <v>401</v>
      </c>
    </row>
    <row r="158" spans="1:19" customFormat="1" x14ac:dyDescent="0.25">
      <c r="A158" t="s">
        <v>214</v>
      </c>
      <c r="B158">
        <v>2002</v>
      </c>
      <c r="C158">
        <v>196.6</v>
      </c>
      <c r="D158" s="5">
        <v>6.6</v>
      </c>
      <c r="E158" s="5">
        <v>5.29</v>
      </c>
      <c r="F158" s="5">
        <v>1.31</v>
      </c>
      <c r="G158" s="5">
        <v>20.81666667</v>
      </c>
      <c r="H158" s="6">
        <v>81.386666669999997</v>
      </c>
      <c r="I158" s="5">
        <v>1250.085</v>
      </c>
      <c r="J158" s="5">
        <v>425.8666667</v>
      </c>
      <c r="K158" s="6">
        <v>392.93333330000002</v>
      </c>
      <c r="L158" s="6">
        <v>541.3666667</v>
      </c>
      <c r="M158" s="6">
        <v>154.35</v>
      </c>
      <c r="N158" s="6">
        <v>338.01666669999997</v>
      </c>
      <c r="O158" s="6">
        <v>579.68333329999996</v>
      </c>
      <c r="P158" s="6">
        <v>241.66666670000001</v>
      </c>
      <c r="Q158" s="6">
        <v>226.53</v>
      </c>
      <c r="R158" s="5">
        <v>404.23333330000003</v>
      </c>
      <c r="S158" s="6">
        <v>401</v>
      </c>
    </row>
    <row r="159" spans="1:19" customFormat="1" x14ac:dyDescent="0.25">
      <c r="A159" t="s">
        <v>215</v>
      </c>
      <c r="B159">
        <v>2003</v>
      </c>
      <c r="C159">
        <v>203.33</v>
      </c>
      <c r="D159" s="5">
        <v>6.73</v>
      </c>
      <c r="E159" s="5">
        <v>6.06</v>
      </c>
      <c r="F159" s="5">
        <v>0.67</v>
      </c>
      <c r="G159" s="5">
        <v>11.06666667</v>
      </c>
      <c r="H159" s="6">
        <v>86.331666670000004</v>
      </c>
      <c r="I159" s="5">
        <v>1336.42</v>
      </c>
      <c r="J159" s="5">
        <v>413.5</v>
      </c>
      <c r="K159" s="6">
        <v>398.03333329999998</v>
      </c>
      <c r="L159" s="6">
        <v>448.85</v>
      </c>
      <c r="M159" s="6">
        <v>115.05</v>
      </c>
      <c r="N159" s="6">
        <v>351.7</v>
      </c>
      <c r="O159" s="6">
        <v>542.1333333</v>
      </c>
      <c r="P159" s="6">
        <v>190.43333329999999</v>
      </c>
      <c r="Q159" s="6">
        <v>226.53</v>
      </c>
      <c r="R159" s="5">
        <v>404.23333330000003</v>
      </c>
      <c r="S159" s="6">
        <v>401</v>
      </c>
    </row>
    <row r="160" spans="1:19" customFormat="1" x14ac:dyDescent="0.25">
      <c r="A160" t="s">
        <v>216</v>
      </c>
      <c r="B160">
        <v>2004</v>
      </c>
      <c r="C160">
        <v>209.10499999999999</v>
      </c>
      <c r="D160" s="5">
        <v>5.7750000000000004</v>
      </c>
      <c r="E160" s="5">
        <v>4.78</v>
      </c>
      <c r="F160" s="5">
        <v>0.995</v>
      </c>
      <c r="G160" s="5">
        <v>16.93333333</v>
      </c>
      <c r="H160" s="6">
        <v>77.224999999999994</v>
      </c>
      <c r="I160" s="5">
        <v>1413.65</v>
      </c>
      <c r="J160" s="5">
        <v>421.85</v>
      </c>
      <c r="K160" s="6">
        <v>396.91666670000001</v>
      </c>
      <c r="L160" s="6">
        <v>479.4</v>
      </c>
      <c r="M160" s="6">
        <v>127.05</v>
      </c>
      <c r="N160" s="6">
        <v>347.93333330000002</v>
      </c>
      <c r="O160" s="6">
        <v>555.16666669999995</v>
      </c>
      <c r="P160" s="6">
        <v>207.2333333</v>
      </c>
      <c r="Q160" s="6">
        <v>226.53</v>
      </c>
      <c r="R160" s="5">
        <v>404.23333330000003</v>
      </c>
      <c r="S160" s="6">
        <v>401</v>
      </c>
    </row>
    <row r="161" spans="1:19" customFormat="1" x14ac:dyDescent="0.25">
      <c r="A161" t="s">
        <v>217</v>
      </c>
      <c r="B161">
        <v>2005</v>
      </c>
      <c r="C161">
        <v>215.2118644</v>
      </c>
      <c r="D161" s="5">
        <v>4.9830508470000003</v>
      </c>
      <c r="E161" s="5">
        <v>4.4694915249999996</v>
      </c>
      <c r="F161" s="5">
        <v>0.51355932199999998</v>
      </c>
      <c r="G161" s="5">
        <v>13.305084750000001</v>
      </c>
      <c r="H161" s="6">
        <v>68.994915250000005</v>
      </c>
      <c r="I161" s="5">
        <v>1495.757627</v>
      </c>
      <c r="J161" s="5">
        <v>421.2542373</v>
      </c>
      <c r="K161" s="6">
        <v>398.61016949999998</v>
      </c>
      <c r="L161" s="6">
        <v>407.20338980000002</v>
      </c>
      <c r="M161" s="6">
        <v>99.915254239999996</v>
      </c>
      <c r="N161" s="6">
        <v>359.67796609999999</v>
      </c>
      <c r="O161" s="6">
        <v>527.71186439999997</v>
      </c>
      <c r="P161" s="6">
        <v>168.0338983</v>
      </c>
      <c r="Q161" s="6">
        <v>227.9440678</v>
      </c>
      <c r="R161" s="5">
        <v>403.77966099999998</v>
      </c>
      <c r="S161" s="6">
        <v>400.44067799999999</v>
      </c>
    </row>
    <row r="162" spans="1:19" customFormat="1" x14ac:dyDescent="0.25">
      <c r="A162" t="s">
        <v>218</v>
      </c>
      <c r="B162">
        <v>2006</v>
      </c>
      <c r="C162">
        <v>220.00862069999999</v>
      </c>
      <c r="D162" s="5">
        <v>3.6362068970000001</v>
      </c>
      <c r="E162" s="5">
        <v>3.0724137929999999</v>
      </c>
      <c r="F162" s="5">
        <v>0.56379310299999996</v>
      </c>
      <c r="G162" s="5">
        <v>15.913793099999999</v>
      </c>
      <c r="H162" s="6">
        <v>50.796551719999997</v>
      </c>
      <c r="I162" s="5">
        <v>1560.4913790000001</v>
      </c>
      <c r="J162" s="5">
        <v>428.39655169999997</v>
      </c>
      <c r="K162" s="6">
        <v>408.20689659999999</v>
      </c>
      <c r="L162" s="6">
        <v>390.27586209999998</v>
      </c>
      <c r="M162" s="6">
        <v>92.482758619999998</v>
      </c>
      <c r="N162" s="6">
        <v>353.29310340000001</v>
      </c>
      <c r="O162" s="6">
        <v>529.17241379999996</v>
      </c>
      <c r="P162" s="6">
        <v>175.87931029999999</v>
      </c>
      <c r="Q162" s="6">
        <v>229.37586210000001</v>
      </c>
      <c r="R162" s="5">
        <v>403.39655169999997</v>
      </c>
      <c r="S162" s="6">
        <v>400.13793099999998</v>
      </c>
    </row>
    <row r="163" spans="1:19" customFormat="1" x14ac:dyDescent="0.25">
      <c r="A163" t="s">
        <v>219</v>
      </c>
      <c r="B163">
        <v>2007</v>
      </c>
      <c r="C163">
        <v>223.40689660000001</v>
      </c>
      <c r="D163" s="5">
        <v>3.3982758620000002</v>
      </c>
      <c r="E163" s="5">
        <v>2.4310344829999999</v>
      </c>
      <c r="F163" s="5">
        <v>0.96724137899999996</v>
      </c>
      <c r="G163" s="5">
        <v>27.17241379</v>
      </c>
      <c r="H163" s="6">
        <v>48.679310340000001</v>
      </c>
      <c r="I163" s="5">
        <v>1609.1672410000001</v>
      </c>
      <c r="J163" s="5">
        <v>449.93103450000001</v>
      </c>
      <c r="K163" s="6">
        <v>414.5</v>
      </c>
      <c r="L163" s="6">
        <v>473.10344830000003</v>
      </c>
      <c r="M163" s="6">
        <v>113.5517241</v>
      </c>
      <c r="N163" s="6">
        <v>361.01724139999999</v>
      </c>
      <c r="O163" s="6">
        <v>563.32758620000004</v>
      </c>
      <c r="P163" s="6">
        <v>202.3103448</v>
      </c>
      <c r="Q163" s="6">
        <v>229.37586210000001</v>
      </c>
      <c r="R163" s="5">
        <v>403.39655169999997</v>
      </c>
      <c r="S163" s="6">
        <v>400.13793099999998</v>
      </c>
    </row>
    <row r="164" spans="1:19" customFormat="1" x14ac:dyDescent="0.25">
      <c r="A164" t="s">
        <v>220</v>
      </c>
      <c r="B164">
        <v>2008</v>
      </c>
      <c r="C164">
        <v>227.5596491</v>
      </c>
      <c r="D164" s="5">
        <v>4.1210526319999996</v>
      </c>
      <c r="E164" s="5">
        <v>3.4105263159999999</v>
      </c>
      <c r="F164" s="5">
        <v>0.71052631600000005</v>
      </c>
      <c r="G164" s="5">
        <v>17.456140349999998</v>
      </c>
      <c r="H164" s="6">
        <v>59.928070179999999</v>
      </c>
      <c r="I164" s="5">
        <v>1670.273684</v>
      </c>
      <c r="J164" s="5">
        <v>430.01754390000002</v>
      </c>
      <c r="K164" s="6">
        <v>407.87719299999998</v>
      </c>
      <c r="L164" s="6">
        <v>458.24561399999999</v>
      </c>
      <c r="M164" s="6">
        <v>112.52631580000001</v>
      </c>
      <c r="N164" s="6">
        <v>358.4035088</v>
      </c>
      <c r="O164" s="6">
        <v>545.64912279999999</v>
      </c>
      <c r="P164" s="6">
        <v>187.24561399999999</v>
      </c>
      <c r="Q164" s="6">
        <v>229.5789474</v>
      </c>
      <c r="R164" s="5">
        <v>403.75438600000001</v>
      </c>
      <c r="S164" s="6">
        <v>400.4035088</v>
      </c>
    </row>
    <row r="165" spans="1:19" customFormat="1" x14ac:dyDescent="0.25">
      <c r="A165" t="s">
        <v>221</v>
      </c>
      <c r="B165">
        <v>2009</v>
      </c>
      <c r="C165">
        <v>231.49649120000001</v>
      </c>
      <c r="D165" s="5">
        <v>3.9368421050000002</v>
      </c>
      <c r="E165" s="5">
        <v>3.010526316</v>
      </c>
      <c r="F165" s="5">
        <v>0.926315789</v>
      </c>
      <c r="G165" s="5">
        <v>23.350877189999999</v>
      </c>
      <c r="H165" s="6">
        <v>58.357894739999999</v>
      </c>
      <c r="I165" s="5">
        <v>1728.6315790000001</v>
      </c>
      <c r="J165" s="5">
        <v>441.64912279999999</v>
      </c>
      <c r="K165" s="6">
        <v>412.17543860000001</v>
      </c>
      <c r="L165" s="6">
        <v>468.07017539999998</v>
      </c>
      <c r="M165" s="6">
        <v>111.98245609999999</v>
      </c>
      <c r="N165" s="6">
        <v>364.4210526</v>
      </c>
      <c r="O165" s="6">
        <v>551.45614039999998</v>
      </c>
      <c r="P165" s="6">
        <v>187.03508769999999</v>
      </c>
      <c r="Q165" s="6">
        <v>229.5789474</v>
      </c>
      <c r="R165" s="5">
        <v>403.75438600000001</v>
      </c>
      <c r="S165" s="6">
        <v>400.4035088</v>
      </c>
    </row>
    <row r="166" spans="1:19" customFormat="1" x14ac:dyDescent="0.25">
      <c r="A166" t="s">
        <v>222</v>
      </c>
      <c r="B166">
        <v>2010</v>
      </c>
      <c r="C166">
        <v>235.3070175</v>
      </c>
      <c r="D166" s="5">
        <v>3.8105263159999998</v>
      </c>
      <c r="E166" s="5">
        <v>3.0526315789999998</v>
      </c>
      <c r="F166" s="5">
        <v>0.75789473699999999</v>
      </c>
      <c r="G166" s="5">
        <v>20.1754386</v>
      </c>
      <c r="H166" s="6">
        <v>57.52807018</v>
      </c>
      <c r="I166" s="5">
        <v>1786.1561400000001</v>
      </c>
      <c r="J166" s="5">
        <v>433.80701749999997</v>
      </c>
      <c r="K166" s="6">
        <v>405.5087719</v>
      </c>
      <c r="L166" s="6">
        <v>492.15789469999999</v>
      </c>
      <c r="M166" s="6">
        <v>129.12280699999999</v>
      </c>
      <c r="N166" s="6">
        <v>355.63157890000002</v>
      </c>
      <c r="O166" s="6">
        <v>557.17543860000001</v>
      </c>
      <c r="P166" s="6">
        <v>201.54385959999999</v>
      </c>
      <c r="Q166" s="6">
        <v>229.5789474</v>
      </c>
      <c r="R166" s="5">
        <v>403.75438600000001</v>
      </c>
      <c r="S166" s="6">
        <v>400.4035088</v>
      </c>
    </row>
    <row r="167" spans="1:19" customFormat="1" x14ac:dyDescent="0.25">
      <c r="A167" t="s">
        <v>223</v>
      </c>
      <c r="B167">
        <v>2011</v>
      </c>
      <c r="C167">
        <v>239.54642860000001</v>
      </c>
      <c r="D167" s="5">
        <v>3.396428571</v>
      </c>
      <c r="E167" s="5">
        <v>2.7749999999999999</v>
      </c>
      <c r="F167" s="5">
        <v>0.62142857100000004</v>
      </c>
      <c r="G167" s="5">
        <v>18.64285714</v>
      </c>
      <c r="H167" s="6">
        <v>52.473214290000001</v>
      </c>
      <c r="I167" s="5">
        <v>1850.6785709999999</v>
      </c>
      <c r="J167" s="5">
        <v>433.07142859999999</v>
      </c>
      <c r="K167" s="6">
        <v>408.17857140000001</v>
      </c>
      <c r="L167" s="6">
        <v>467.98214289999999</v>
      </c>
      <c r="M167" s="6">
        <v>118.0178571</v>
      </c>
      <c r="N167" s="6">
        <v>365.01785710000001</v>
      </c>
      <c r="O167" s="6">
        <v>548.625</v>
      </c>
      <c r="P167" s="6">
        <v>183.60714290000001</v>
      </c>
      <c r="Q167" s="6">
        <v>230.31964289999999</v>
      </c>
      <c r="R167" s="5">
        <v>403.1607143</v>
      </c>
      <c r="S167" s="6">
        <v>399.7142857</v>
      </c>
    </row>
    <row r="168" spans="1:19" customFormat="1" x14ac:dyDescent="0.25">
      <c r="A168" t="s">
        <v>224</v>
      </c>
      <c r="B168">
        <v>2012</v>
      </c>
      <c r="C168">
        <v>242.10714290000001</v>
      </c>
      <c r="D168" s="5">
        <v>2.5607142860000001</v>
      </c>
      <c r="E168" s="5">
        <v>2.2875000000000001</v>
      </c>
      <c r="F168" s="5">
        <v>0.27321428599999997</v>
      </c>
      <c r="G168" s="5">
        <v>12.83928571</v>
      </c>
      <c r="H168" s="6">
        <v>40.169642860000003</v>
      </c>
      <c r="I168" s="5">
        <v>1890.8446429999999</v>
      </c>
      <c r="J168" s="5">
        <v>419.0892857</v>
      </c>
      <c r="K168" s="6">
        <v>402.10714289999999</v>
      </c>
      <c r="L168" s="6">
        <v>316.82142859999999</v>
      </c>
      <c r="M168" s="6">
        <v>77.303571430000005</v>
      </c>
      <c r="N168" s="6">
        <v>338.375</v>
      </c>
      <c r="O168" s="6">
        <v>508.14285710000001</v>
      </c>
      <c r="P168" s="6">
        <v>169.76785709999999</v>
      </c>
      <c r="Q168" s="6">
        <v>230.31964289999999</v>
      </c>
      <c r="R168" s="5">
        <v>403.1607143</v>
      </c>
      <c r="S168" s="6">
        <v>399.7142857</v>
      </c>
    </row>
    <row r="169" spans="1:19" customFormat="1" x14ac:dyDescent="0.25">
      <c r="A169" t="s">
        <v>195</v>
      </c>
      <c r="B169">
        <v>1999.6456539999999</v>
      </c>
      <c r="C169">
        <v>162.85189120000001</v>
      </c>
      <c r="D169" s="5">
        <v>9.5364299930000005</v>
      </c>
      <c r="E169" s="5">
        <v>8.2174518909999996</v>
      </c>
      <c r="F169" s="5">
        <v>0.86775049800000004</v>
      </c>
      <c r="G169" s="5">
        <v>12.597213010000001</v>
      </c>
      <c r="H169" s="6">
        <v>73.171134699999996</v>
      </c>
      <c r="I169" s="5">
        <v>991.64558729999999</v>
      </c>
      <c r="J169" s="5">
        <v>404.65096219999998</v>
      </c>
      <c r="K169" s="6">
        <v>386.31453219999997</v>
      </c>
      <c r="L169" s="6">
        <v>442.45122759999998</v>
      </c>
      <c r="M169" s="6">
        <v>120.87126739999999</v>
      </c>
      <c r="N169" s="6">
        <v>327.2475116</v>
      </c>
      <c r="O169" s="6">
        <v>539.55806240000004</v>
      </c>
      <c r="P169" s="6">
        <v>212.31055079999999</v>
      </c>
      <c r="Q169" s="6">
        <v>226.53224950000001</v>
      </c>
      <c r="R169" s="5">
        <v>404.12475119999999</v>
      </c>
      <c r="S169" s="6">
        <v>400.98938290000001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T8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36" sqref="A36"/>
    </sheetView>
  </sheetViews>
  <sheetFormatPr defaultRowHeight="15" x14ac:dyDescent="0.25"/>
  <cols>
    <col min="3" max="6" width="9.140625" style="5"/>
    <col min="7" max="9" width="9.140625" style="6"/>
    <col min="10" max="11" width="9.140625" style="5"/>
    <col min="12" max="15" width="9.140625" style="6"/>
    <col min="23" max="25" width="9.140625" style="6"/>
    <col min="28" max="35" width="9.140625" style="6"/>
  </cols>
  <sheetData>
    <row r="1" spans="2:98" x14ac:dyDescent="0.25">
      <c r="B1" t="s">
        <v>3</v>
      </c>
      <c r="C1" s="6" t="s">
        <v>49</v>
      </c>
      <c r="D1" s="6" t="s">
        <v>49</v>
      </c>
      <c r="E1" s="6" t="s">
        <v>49</v>
      </c>
      <c r="F1" s="6" t="s">
        <v>49</v>
      </c>
      <c r="G1" s="6" t="s">
        <v>49</v>
      </c>
      <c r="I1" s="7" t="s">
        <v>3</v>
      </c>
      <c r="J1" s="5" t="s">
        <v>43</v>
      </c>
      <c r="K1" s="5" t="s">
        <v>43</v>
      </c>
      <c r="L1" s="5" t="s">
        <v>43</v>
      </c>
      <c r="M1" s="5" t="s">
        <v>43</v>
      </c>
      <c r="N1" s="5" t="s">
        <v>43</v>
      </c>
      <c r="O1" s="5"/>
      <c r="P1" s="7" t="s">
        <v>3</v>
      </c>
      <c r="Q1" s="5" t="s">
        <v>42</v>
      </c>
      <c r="R1" s="5" t="s">
        <v>42</v>
      </c>
      <c r="S1" s="5" t="s">
        <v>42</v>
      </c>
      <c r="T1" s="5" t="s">
        <v>42</v>
      </c>
      <c r="U1" s="5" t="s">
        <v>42</v>
      </c>
      <c r="V1" s="5"/>
      <c r="W1" s="7" t="s">
        <v>3</v>
      </c>
      <c r="X1" s="5" t="s">
        <v>46</v>
      </c>
      <c r="Y1" s="5" t="s">
        <v>46</v>
      </c>
      <c r="Z1" s="5" t="s">
        <v>46</v>
      </c>
      <c r="AA1" s="5" t="s">
        <v>46</v>
      </c>
      <c r="AB1" s="5" t="s">
        <v>46</v>
      </c>
      <c r="AC1" s="5"/>
      <c r="AD1" s="7" t="s">
        <v>3</v>
      </c>
      <c r="AE1" s="5" t="s">
        <v>46</v>
      </c>
      <c r="AF1" s="5" t="s">
        <v>46</v>
      </c>
      <c r="AG1" s="5" t="s">
        <v>46</v>
      </c>
      <c r="AH1" s="5" t="s">
        <v>46</v>
      </c>
      <c r="AI1" s="5" t="s">
        <v>46</v>
      </c>
      <c r="AJ1" s="5"/>
      <c r="AK1" s="7" t="s">
        <v>3</v>
      </c>
      <c r="AL1" s="5" t="s">
        <v>47</v>
      </c>
      <c r="AM1" s="5" t="s">
        <v>47</v>
      </c>
      <c r="AN1" s="5" t="s">
        <v>47</v>
      </c>
      <c r="AO1" s="5" t="s">
        <v>47</v>
      </c>
      <c r="AP1" s="5" t="s">
        <v>47</v>
      </c>
      <c r="AQ1" s="5"/>
      <c r="AR1" s="7" t="s">
        <v>3</v>
      </c>
      <c r="AS1" s="6" t="s">
        <v>50</v>
      </c>
      <c r="AT1" s="6" t="s">
        <v>50</v>
      </c>
      <c r="AU1" s="6" t="s">
        <v>50</v>
      </c>
      <c r="AV1" s="6" t="s">
        <v>50</v>
      </c>
      <c r="AW1" s="6" t="s">
        <v>50</v>
      </c>
      <c r="AX1" s="6"/>
      <c r="AY1" s="6" t="s">
        <v>45</v>
      </c>
      <c r="AZ1" s="6" t="s">
        <v>45</v>
      </c>
      <c r="BA1" s="6" t="s">
        <v>45</v>
      </c>
      <c r="BB1" s="6" t="s">
        <v>45</v>
      </c>
      <c r="BC1" s="6" t="s">
        <v>45</v>
      </c>
      <c r="BD1" s="6"/>
      <c r="BE1" s="7" t="s">
        <v>3</v>
      </c>
      <c r="BF1" s="5" t="s">
        <v>44</v>
      </c>
      <c r="BG1" s="5" t="s">
        <v>44</v>
      </c>
      <c r="BH1" s="5" t="s">
        <v>44</v>
      </c>
      <c r="BI1" s="5" t="s">
        <v>44</v>
      </c>
      <c r="BJ1" s="5" t="s">
        <v>44</v>
      </c>
      <c r="BK1" s="5"/>
      <c r="BL1" s="7" t="s">
        <v>3</v>
      </c>
      <c r="BM1" s="6" t="s">
        <v>53</v>
      </c>
      <c r="BN1" s="6" t="s">
        <v>53</v>
      </c>
      <c r="BO1" s="6" t="s">
        <v>53</v>
      </c>
      <c r="BP1" s="6" t="s">
        <v>53</v>
      </c>
      <c r="BQ1" s="6" t="s">
        <v>53</v>
      </c>
      <c r="BR1" s="6"/>
      <c r="BS1" s="7" t="s">
        <v>3</v>
      </c>
      <c r="BT1" s="6" t="s">
        <v>52</v>
      </c>
      <c r="BU1" s="6" t="s">
        <v>52</v>
      </c>
      <c r="BV1" s="6" t="s">
        <v>52</v>
      </c>
      <c r="BW1" s="6" t="s">
        <v>52</v>
      </c>
      <c r="BX1" s="6" t="s">
        <v>52</v>
      </c>
      <c r="BY1" s="6"/>
      <c r="BZ1" s="7" t="s">
        <v>3</v>
      </c>
      <c r="CA1" s="5" t="s">
        <v>41</v>
      </c>
      <c r="CB1" s="5" t="s">
        <v>41</v>
      </c>
      <c r="CC1" s="5" t="s">
        <v>41</v>
      </c>
      <c r="CD1" s="5" t="s">
        <v>41</v>
      </c>
      <c r="CE1" s="5" t="s">
        <v>41</v>
      </c>
      <c r="CG1" s="7" t="s">
        <v>3</v>
      </c>
      <c r="CH1" s="6" t="s">
        <v>48</v>
      </c>
      <c r="CI1" s="6" t="s">
        <v>48</v>
      </c>
      <c r="CJ1" s="6" t="s">
        <v>48</v>
      </c>
      <c r="CK1" s="6" t="s">
        <v>48</v>
      </c>
      <c r="CL1" s="6" t="s">
        <v>48</v>
      </c>
      <c r="CM1" s="6"/>
      <c r="CN1" s="5"/>
      <c r="CO1" s="7" t="s">
        <v>3</v>
      </c>
      <c r="CP1" s="6" t="s">
        <v>51</v>
      </c>
      <c r="CQ1" s="6" t="s">
        <v>51</v>
      </c>
      <c r="CR1" s="6" t="s">
        <v>51</v>
      </c>
      <c r="CS1" s="6" t="s">
        <v>51</v>
      </c>
      <c r="CT1" s="6" t="s">
        <v>51</v>
      </c>
    </row>
    <row r="2" spans="2:98" x14ac:dyDescent="0.25">
      <c r="C2" s="5" t="s">
        <v>33</v>
      </c>
      <c r="D2" s="5" t="s">
        <v>225</v>
      </c>
      <c r="E2" s="5" t="s">
        <v>226</v>
      </c>
      <c r="F2" s="5" t="s">
        <v>227</v>
      </c>
      <c r="G2" s="5" t="s">
        <v>228</v>
      </c>
      <c r="I2" s="7"/>
      <c r="J2" s="5" t="s">
        <v>33</v>
      </c>
      <c r="K2" s="5" t="s">
        <v>225</v>
      </c>
      <c r="L2" s="5" t="s">
        <v>226</v>
      </c>
      <c r="M2" s="5" t="s">
        <v>227</v>
      </c>
      <c r="N2" s="5" t="s">
        <v>228</v>
      </c>
      <c r="P2" s="7"/>
      <c r="Q2" s="5" t="s">
        <v>33</v>
      </c>
      <c r="R2" s="5" t="s">
        <v>225</v>
      </c>
      <c r="S2" s="5" t="s">
        <v>226</v>
      </c>
      <c r="T2" s="5" t="s">
        <v>227</v>
      </c>
      <c r="U2" s="5" t="s">
        <v>228</v>
      </c>
      <c r="V2" s="5"/>
      <c r="W2" s="7"/>
      <c r="X2" s="5" t="s">
        <v>33</v>
      </c>
      <c r="Y2" s="5" t="s">
        <v>225</v>
      </c>
      <c r="Z2" s="5" t="s">
        <v>226</v>
      </c>
      <c r="AA2" s="5" t="s">
        <v>227</v>
      </c>
      <c r="AB2" s="5" t="s">
        <v>228</v>
      </c>
      <c r="AC2" s="5"/>
      <c r="AD2" s="7"/>
      <c r="AE2" s="5" t="s">
        <v>33</v>
      </c>
      <c r="AF2" s="5" t="s">
        <v>225</v>
      </c>
      <c r="AG2" s="5" t="s">
        <v>226</v>
      </c>
      <c r="AH2" s="5" t="s">
        <v>227</v>
      </c>
      <c r="AI2" s="5" t="s">
        <v>228</v>
      </c>
      <c r="AJ2" s="5"/>
      <c r="AK2" s="7"/>
      <c r="AL2" s="5" t="s">
        <v>33</v>
      </c>
      <c r="AM2" s="5" t="s">
        <v>225</v>
      </c>
      <c r="AN2" s="5" t="s">
        <v>226</v>
      </c>
      <c r="AO2" s="5" t="s">
        <v>227</v>
      </c>
      <c r="AP2" s="5" t="s">
        <v>228</v>
      </c>
      <c r="AQ2" s="5"/>
      <c r="AR2" s="7"/>
      <c r="AS2" s="5" t="s">
        <v>33</v>
      </c>
      <c r="AT2" s="5" t="s">
        <v>225</v>
      </c>
      <c r="AU2" s="5" t="s">
        <v>226</v>
      </c>
      <c r="AV2" s="5" t="s">
        <v>227</v>
      </c>
      <c r="AW2" s="5" t="s">
        <v>228</v>
      </c>
      <c r="AX2" s="5"/>
      <c r="AY2" s="5" t="s">
        <v>33</v>
      </c>
      <c r="AZ2" s="5" t="s">
        <v>225</v>
      </c>
      <c r="BA2" s="5" t="s">
        <v>226</v>
      </c>
      <c r="BB2" s="5" t="s">
        <v>227</v>
      </c>
      <c r="BC2" s="5" t="s">
        <v>39</v>
      </c>
      <c r="BD2" s="5"/>
      <c r="BE2" s="7"/>
      <c r="BF2" s="5" t="s">
        <v>33</v>
      </c>
      <c r="BG2" s="5" t="s">
        <v>225</v>
      </c>
      <c r="BH2" s="5" t="s">
        <v>226</v>
      </c>
      <c r="BI2" s="5" t="s">
        <v>227</v>
      </c>
      <c r="BJ2" s="5" t="s">
        <v>228</v>
      </c>
      <c r="BK2" s="5"/>
      <c r="BL2" s="7"/>
      <c r="BM2" s="5" t="s">
        <v>33</v>
      </c>
      <c r="BN2" s="5" t="s">
        <v>225</v>
      </c>
      <c r="BO2" s="5" t="s">
        <v>226</v>
      </c>
      <c r="BP2" s="5" t="s">
        <v>227</v>
      </c>
      <c r="BQ2" s="5" t="s">
        <v>228</v>
      </c>
      <c r="BR2" s="5"/>
      <c r="BS2" s="7"/>
      <c r="BT2" s="5" t="s">
        <v>33</v>
      </c>
      <c r="BU2" s="5" t="s">
        <v>225</v>
      </c>
      <c r="BV2" s="5" t="s">
        <v>226</v>
      </c>
      <c r="BW2" s="5" t="s">
        <v>227</v>
      </c>
      <c r="BX2" s="5" t="s">
        <v>228</v>
      </c>
      <c r="BY2" s="5"/>
      <c r="BZ2" s="7"/>
      <c r="CA2" s="5" t="s">
        <v>33</v>
      </c>
      <c r="CB2" s="5" t="s">
        <v>225</v>
      </c>
      <c r="CC2" s="5" t="s">
        <v>226</v>
      </c>
      <c r="CD2" s="5" t="s">
        <v>227</v>
      </c>
      <c r="CE2" s="5" t="s">
        <v>228</v>
      </c>
      <c r="CF2" s="5"/>
      <c r="CG2" s="7"/>
      <c r="CH2" s="5" t="s">
        <v>33</v>
      </c>
      <c r="CI2" s="5" t="s">
        <v>225</v>
      </c>
      <c r="CJ2" s="5" t="s">
        <v>226</v>
      </c>
      <c r="CK2" s="5" t="s">
        <v>227</v>
      </c>
      <c r="CL2" s="5" t="s">
        <v>228</v>
      </c>
      <c r="CM2" s="5"/>
      <c r="CN2" s="5"/>
      <c r="CO2" s="7"/>
      <c r="CP2" s="5" t="s">
        <v>33</v>
      </c>
      <c r="CQ2" s="5" t="s">
        <v>225</v>
      </c>
      <c r="CR2" s="5" t="s">
        <v>226</v>
      </c>
      <c r="CS2" s="5" t="s">
        <v>227</v>
      </c>
      <c r="CT2" s="5" t="s">
        <v>228</v>
      </c>
    </row>
    <row r="3" spans="2:98" x14ac:dyDescent="0.25">
      <c r="B3">
        <v>1985</v>
      </c>
      <c r="C3" s="6">
        <v>377.5</v>
      </c>
      <c r="D3"/>
      <c r="E3"/>
      <c r="F3"/>
      <c r="G3"/>
      <c r="I3" s="7">
        <v>1985</v>
      </c>
      <c r="J3" s="5">
        <v>3.3</v>
      </c>
      <c r="K3"/>
      <c r="L3"/>
      <c r="M3"/>
      <c r="N3"/>
      <c r="P3" s="7">
        <v>1985</v>
      </c>
      <c r="Q3" s="6">
        <v>3.3</v>
      </c>
      <c r="R3" s="6"/>
      <c r="S3" s="6"/>
      <c r="T3" s="6"/>
      <c r="U3" s="6"/>
      <c r="W3" s="7">
        <v>1985</v>
      </c>
      <c r="X3" s="6">
        <v>0.4</v>
      </c>
      <c r="Z3" s="6"/>
      <c r="AA3" s="6"/>
      <c r="AC3"/>
      <c r="AD3" s="7">
        <v>1985</v>
      </c>
      <c r="AE3" s="5">
        <f>X3/10</f>
        <v>0.04</v>
      </c>
      <c r="AF3" s="5">
        <f t="shared" ref="AF3:AI3" si="0">Y3/10</f>
        <v>0</v>
      </c>
      <c r="AG3" s="5">
        <f t="shared" si="0"/>
        <v>0</v>
      </c>
      <c r="AH3" s="5">
        <f t="shared" si="0"/>
        <v>0</v>
      </c>
      <c r="AI3" s="5">
        <f t="shared" si="0"/>
        <v>0</v>
      </c>
      <c r="AK3" s="7">
        <v>1985</v>
      </c>
      <c r="AL3" s="6">
        <v>0.4</v>
      </c>
      <c r="AM3" s="6"/>
      <c r="AN3" s="6"/>
      <c r="AO3" s="6"/>
      <c r="AP3" s="6"/>
      <c r="AR3" s="7">
        <v>1985</v>
      </c>
      <c r="AS3" s="6"/>
      <c r="AW3" s="6"/>
      <c r="AY3" s="6">
        <v>0</v>
      </c>
      <c r="BC3" s="6"/>
      <c r="BE3" s="7">
        <v>1985</v>
      </c>
      <c r="BF3" s="5">
        <v>0</v>
      </c>
      <c r="BL3" s="7">
        <v>1985</v>
      </c>
      <c r="BM3" s="6">
        <v>442</v>
      </c>
      <c r="BS3" s="7">
        <v>1985</v>
      </c>
      <c r="BT3" s="6">
        <v>307</v>
      </c>
      <c r="BZ3" s="7">
        <v>1985</v>
      </c>
      <c r="CA3" s="5">
        <v>3.3</v>
      </c>
      <c r="CG3" s="7">
        <v>1985</v>
      </c>
      <c r="CH3" s="6">
        <v>377.5</v>
      </c>
      <c r="CO3" s="7">
        <v>1985</v>
      </c>
      <c r="CP3" s="6">
        <v>0</v>
      </c>
    </row>
    <row r="4" spans="2:98" x14ac:dyDescent="0.25">
      <c r="B4">
        <v>1986</v>
      </c>
      <c r="C4" s="6">
        <v>350</v>
      </c>
      <c r="D4" s="6">
        <v>371</v>
      </c>
      <c r="E4" s="6">
        <v>376</v>
      </c>
      <c r="F4"/>
      <c r="G4"/>
      <c r="I4" s="7">
        <v>1986</v>
      </c>
      <c r="J4" s="5">
        <v>10.425000000000001</v>
      </c>
      <c r="K4" s="5">
        <v>8.4</v>
      </c>
      <c r="L4" s="5">
        <v>11.7</v>
      </c>
      <c r="M4"/>
      <c r="N4"/>
      <c r="P4" s="7">
        <v>1986</v>
      </c>
      <c r="Q4" s="6">
        <v>13.425000000000001</v>
      </c>
      <c r="R4" s="6">
        <v>11.4</v>
      </c>
      <c r="S4" s="6">
        <v>11.7</v>
      </c>
      <c r="T4" s="6"/>
      <c r="U4" s="6"/>
      <c r="W4" s="7">
        <v>1986</v>
      </c>
      <c r="X4" s="6">
        <v>8.375</v>
      </c>
      <c r="Y4" s="6">
        <v>4.0999999999999996</v>
      </c>
      <c r="Z4" s="6">
        <v>4.3</v>
      </c>
      <c r="AA4" s="6"/>
      <c r="AC4"/>
      <c r="AD4" s="7">
        <v>1986</v>
      </c>
      <c r="AE4" s="5">
        <f t="shared" ref="AE4:AE30" si="1">X4/10</f>
        <v>0.83750000000000002</v>
      </c>
      <c r="AF4" s="5">
        <f t="shared" ref="AF4:AF30" si="2">Y4/10</f>
        <v>0.41</v>
      </c>
      <c r="AG4" s="5">
        <f t="shared" ref="AG4:AG30" si="3">Z4/10</f>
        <v>0.43</v>
      </c>
      <c r="AH4" s="5">
        <f t="shared" ref="AH4:AH30" si="4">AA4/10</f>
        <v>0</v>
      </c>
      <c r="AI4" s="5">
        <f t="shared" ref="AI4:AI30" si="5">AB4/10</f>
        <v>0</v>
      </c>
      <c r="AK4" s="7">
        <v>1986</v>
      </c>
      <c r="AL4" s="6">
        <v>8.5749999999999993</v>
      </c>
      <c r="AM4" s="6">
        <v>4.0999999999999996</v>
      </c>
      <c r="AN4" s="6">
        <v>4.3</v>
      </c>
      <c r="AO4" s="6"/>
      <c r="AP4" s="6"/>
      <c r="AR4" s="7">
        <v>1986</v>
      </c>
      <c r="AS4" s="6"/>
      <c r="AT4" s="6"/>
      <c r="AU4" s="6"/>
      <c r="AW4" s="6"/>
      <c r="AY4" s="6">
        <v>0</v>
      </c>
      <c r="AZ4" s="6">
        <v>0</v>
      </c>
      <c r="BA4" s="6">
        <v>0</v>
      </c>
      <c r="BC4" s="6"/>
      <c r="BE4" s="7">
        <v>1986</v>
      </c>
      <c r="BF4" s="5">
        <v>0</v>
      </c>
      <c r="BG4" s="5">
        <v>0</v>
      </c>
      <c r="BH4" s="5">
        <v>0</v>
      </c>
      <c r="BL4" s="7">
        <v>1986</v>
      </c>
      <c r="BM4" s="6">
        <v>434</v>
      </c>
      <c r="BN4" s="6">
        <v>417</v>
      </c>
      <c r="BO4" s="6">
        <v>462</v>
      </c>
      <c r="BS4" s="7">
        <v>1986</v>
      </c>
      <c r="BT4" s="6">
        <v>291.25</v>
      </c>
      <c r="BU4" s="6">
        <v>300</v>
      </c>
      <c r="BV4" s="6">
        <v>314</v>
      </c>
      <c r="BZ4" s="7">
        <v>1986</v>
      </c>
      <c r="CA4" s="5">
        <v>15.074999999999999</v>
      </c>
      <c r="CB4" s="5">
        <v>11.4</v>
      </c>
      <c r="CC4" s="5">
        <v>11.7</v>
      </c>
      <c r="CG4" s="7">
        <v>1986</v>
      </c>
      <c r="CH4" s="6">
        <v>350</v>
      </c>
      <c r="CI4" s="6">
        <v>371</v>
      </c>
      <c r="CJ4" s="6">
        <v>376</v>
      </c>
      <c r="CO4" s="7">
        <v>1986</v>
      </c>
      <c r="CP4" s="6">
        <v>0</v>
      </c>
      <c r="CQ4" s="6">
        <v>0</v>
      </c>
      <c r="CR4" s="6">
        <v>0</v>
      </c>
    </row>
    <row r="5" spans="2:98" x14ac:dyDescent="0.25">
      <c r="B5">
        <v>1987</v>
      </c>
      <c r="C5" s="6">
        <v>346</v>
      </c>
      <c r="D5" s="6">
        <v>348.5</v>
      </c>
      <c r="E5" s="6">
        <v>346.66666670000001</v>
      </c>
      <c r="F5" s="6">
        <v>349.2</v>
      </c>
      <c r="G5" s="6">
        <v>342.6</v>
      </c>
      <c r="I5" s="7">
        <v>1987</v>
      </c>
      <c r="J5" s="5">
        <v>17.55</v>
      </c>
      <c r="K5" s="5">
        <v>14.025</v>
      </c>
      <c r="L5" s="5">
        <v>18.633333329999999</v>
      </c>
      <c r="M5" s="5">
        <v>15</v>
      </c>
      <c r="N5" s="5">
        <v>13.62</v>
      </c>
      <c r="P5" s="7">
        <v>1987</v>
      </c>
      <c r="Q5" s="6">
        <v>22.55</v>
      </c>
      <c r="R5" s="6">
        <v>16.125</v>
      </c>
      <c r="S5" s="6">
        <v>25.288888889999999</v>
      </c>
      <c r="T5" s="6">
        <v>28.6</v>
      </c>
      <c r="U5" s="6">
        <v>23.16</v>
      </c>
      <c r="V5" s="5"/>
      <c r="W5" s="7">
        <v>1987</v>
      </c>
      <c r="X5" s="6">
        <v>26.412500000000001</v>
      </c>
      <c r="Y5" s="6">
        <v>13.9</v>
      </c>
      <c r="Z5" s="6">
        <v>25.666666670000001</v>
      </c>
      <c r="AA5" s="6">
        <v>28.54</v>
      </c>
      <c r="AB5" s="6">
        <v>23.64</v>
      </c>
      <c r="AC5" s="5"/>
      <c r="AD5" s="7">
        <v>1987</v>
      </c>
      <c r="AE5" s="5">
        <f t="shared" si="1"/>
        <v>2.6412500000000003</v>
      </c>
      <c r="AF5" s="5">
        <f t="shared" si="2"/>
        <v>1.3900000000000001</v>
      </c>
      <c r="AG5" s="5">
        <f t="shared" si="3"/>
        <v>2.5666666670000002</v>
      </c>
      <c r="AH5" s="5">
        <f t="shared" si="4"/>
        <v>2.8540000000000001</v>
      </c>
      <c r="AI5" s="5">
        <f t="shared" si="5"/>
        <v>2.3639999999999999</v>
      </c>
      <c r="AJ5" s="5"/>
      <c r="AK5" s="7">
        <v>1987</v>
      </c>
      <c r="AL5" s="6">
        <v>30.712499999999999</v>
      </c>
      <c r="AM5" s="6">
        <v>14.925000000000001</v>
      </c>
      <c r="AN5" s="6">
        <v>26.144444440000001</v>
      </c>
      <c r="AO5" s="6">
        <v>28.54</v>
      </c>
      <c r="AP5" s="6">
        <v>23.64</v>
      </c>
      <c r="AQ5" s="5"/>
      <c r="AR5" s="7">
        <v>1987</v>
      </c>
      <c r="AS5" s="6"/>
      <c r="AT5" s="6">
        <v>522.5</v>
      </c>
      <c r="AU5" s="6">
        <v>506.6</v>
      </c>
      <c r="AV5" s="6"/>
      <c r="AW5" s="6">
        <v>528</v>
      </c>
      <c r="AX5" s="6"/>
      <c r="AY5" s="6">
        <v>0</v>
      </c>
      <c r="AZ5" s="6">
        <v>3.5</v>
      </c>
      <c r="BA5" s="6">
        <v>1.2222222220000001</v>
      </c>
      <c r="BB5" s="6">
        <v>0</v>
      </c>
      <c r="BC5" s="6">
        <v>3</v>
      </c>
      <c r="BD5" s="6"/>
      <c r="BE5" s="7">
        <v>1987</v>
      </c>
      <c r="BF5" s="5">
        <v>0</v>
      </c>
      <c r="BG5" s="5">
        <v>0.6</v>
      </c>
      <c r="BH5" s="5">
        <v>0.43333333299999999</v>
      </c>
      <c r="BI5" s="5">
        <v>0</v>
      </c>
      <c r="BJ5" s="5">
        <v>1.1399999999999999</v>
      </c>
      <c r="BK5" s="5"/>
      <c r="BL5" s="7">
        <v>1987</v>
      </c>
      <c r="BM5" s="6">
        <v>469.625</v>
      </c>
      <c r="BN5" s="6">
        <v>500</v>
      </c>
      <c r="BO5" s="6">
        <v>495.11111110000002</v>
      </c>
      <c r="BP5" s="6">
        <v>470.4</v>
      </c>
      <c r="BQ5" s="6">
        <v>466.8</v>
      </c>
      <c r="BR5" s="6"/>
      <c r="BS5" s="7">
        <v>1987</v>
      </c>
      <c r="BT5" s="6">
        <v>250.875</v>
      </c>
      <c r="BU5" s="6">
        <v>228.5</v>
      </c>
      <c r="BV5" s="6">
        <v>262.55555559999999</v>
      </c>
      <c r="BW5" s="6">
        <v>240.2</v>
      </c>
      <c r="BX5" s="6">
        <v>193.2</v>
      </c>
      <c r="BY5" s="6"/>
      <c r="BZ5" s="7">
        <v>1987</v>
      </c>
      <c r="CA5" s="5">
        <v>30.087499999999999</v>
      </c>
      <c r="CB5" s="5">
        <v>18.975000000000001</v>
      </c>
      <c r="CC5" s="5">
        <v>26.58888889</v>
      </c>
      <c r="CD5" s="5">
        <v>28.6</v>
      </c>
      <c r="CE5" s="5">
        <v>23.16</v>
      </c>
      <c r="CG5" s="7">
        <v>1987</v>
      </c>
      <c r="CH5" s="6">
        <v>346</v>
      </c>
      <c r="CI5" s="6">
        <v>355.5</v>
      </c>
      <c r="CJ5" s="6">
        <v>350</v>
      </c>
      <c r="CK5" s="6">
        <v>349.2</v>
      </c>
      <c r="CL5" s="6">
        <v>349.6</v>
      </c>
      <c r="CM5" s="6"/>
      <c r="CN5" s="5"/>
      <c r="CO5" s="7">
        <v>1987</v>
      </c>
      <c r="CP5" s="6">
        <v>0</v>
      </c>
      <c r="CQ5" s="6">
        <v>82.5</v>
      </c>
      <c r="CR5" s="6">
        <v>91.222222220000006</v>
      </c>
      <c r="CS5" s="6">
        <v>0</v>
      </c>
      <c r="CT5" s="6">
        <v>26.6</v>
      </c>
    </row>
    <row r="6" spans="2:98" x14ac:dyDescent="0.25">
      <c r="B6">
        <v>1988</v>
      </c>
      <c r="C6" s="6">
        <v>347.2857143</v>
      </c>
      <c r="D6" s="6">
        <v>352.33333329999999</v>
      </c>
      <c r="E6" s="6">
        <v>354.5</v>
      </c>
      <c r="F6" s="6">
        <v>345.7142857</v>
      </c>
      <c r="G6" s="6">
        <v>357</v>
      </c>
      <c r="I6" s="7">
        <v>1988</v>
      </c>
      <c r="J6" s="5">
        <v>21.06428571</v>
      </c>
      <c r="K6" s="5">
        <v>17.766666669999999</v>
      </c>
      <c r="L6" s="5">
        <v>16.86</v>
      </c>
      <c r="M6" s="5">
        <v>21.34285714</v>
      </c>
      <c r="N6" s="5">
        <v>16.585714289999999</v>
      </c>
      <c r="P6" s="7">
        <v>1988</v>
      </c>
      <c r="Q6" s="6">
        <v>27.64285714</v>
      </c>
      <c r="R6" s="6">
        <v>29.47777778</v>
      </c>
      <c r="S6" s="6">
        <v>18.61</v>
      </c>
      <c r="T6" s="6">
        <v>26.64285714</v>
      </c>
      <c r="U6" s="6">
        <v>21.514285709999999</v>
      </c>
      <c r="V6" s="5"/>
      <c r="W6" s="7">
        <v>1988</v>
      </c>
      <c r="X6" s="6">
        <v>50.264285710000003</v>
      </c>
      <c r="Y6" s="6">
        <v>42.977777779999997</v>
      </c>
      <c r="Z6" s="6">
        <v>39.36</v>
      </c>
      <c r="AA6" s="6">
        <v>52.985714289999997</v>
      </c>
      <c r="AB6" s="6">
        <v>36.385714290000003</v>
      </c>
      <c r="AC6" s="5"/>
      <c r="AD6" s="7">
        <v>1988</v>
      </c>
      <c r="AE6" s="5">
        <f t="shared" si="1"/>
        <v>5.0264285710000003</v>
      </c>
      <c r="AF6" s="5">
        <f t="shared" si="2"/>
        <v>4.2977777779999995</v>
      </c>
      <c r="AG6" s="5">
        <f t="shared" si="3"/>
        <v>3.9359999999999999</v>
      </c>
      <c r="AH6" s="5">
        <f t="shared" si="4"/>
        <v>5.2985714289999999</v>
      </c>
      <c r="AI6" s="5">
        <f t="shared" si="5"/>
        <v>3.6385714290000002</v>
      </c>
      <c r="AJ6" s="5"/>
      <c r="AK6" s="7">
        <v>1988</v>
      </c>
      <c r="AL6" s="6">
        <v>67.807142859999999</v>
      </c>
      <c r="AM6" s="6">
        <v>49.611111110000003</v>
      </c>
      <c r="AN6" s="6">
        <v>62.88</v>
      </c>
      <c r="AO6" s="6">
        <v>73.357142859999996</v>
      </c>
      <c r="AP6" s="6">
        <v>53.271428569999998</v>
      </c>
      <c r="AQ6" s="5"/>
      <c r="AR6" s="7">
        <v>1988</v>
      </c>
      <c r="AS6" s="6">
        <v>506.75</v>
      </c>
      <c r="AT6" s="6">
        <v>510.25</v>
      </c>
      <c r="AU6" s="6">
        <v>430</v>
      </c>
      <c r="AV6" s="6">
        <v>513</v>
      </c>
      <c r="AW6" s="6">
        <v>527.75</v>
      </c>
      <c r="AX6" s="6"/>
      <c r="AY6" s="6">
        <v>0.85714285700000004</v>
      </c>
      <c r="AZ6" s="6">
        <v>1.2222222220000001</v>
      </c>
      <c r="BA6" s="6">
        <v>3.2</v>
      </c>
      <c r="BB6" s="6">
        <v>1.1428571430000001</v>
      </c>
      <c r="BC6" s="6">
        <v>3.7142857139999998</v>
      </c>
      <c r="BD6" s="6"/>
      <c r="BE6" s="7">
        <v>1988</v>
      </c>
      <c r="BF6" s="5">
        <v>0.15</v>
      </c>
      <c r="BG6" s="5">
        <v>0.26666666700000002</v>
      </c>
      <c r="BH6" s="5">
        <v>0.75</v>
      </c>
      <c r="BI6" s="5">
        <v>0.3</v>
      </c>
      <c r="BJ6" s="5">
        <v>0.64285714299999996</v>
      </c>
      <c r="BK6" s="5"/>
      <c r="BL6" s="7">
        <v>1988</v>
      </c>
      <c r="BM6" s="6">
        <v>466.07142859999999</v>
      </c>
      <c r="BN6" s="6">
        <v>479</v>
      </c>
      <c r="BO6" s="6">
        <v>498.8</v>
      </c>
      <c r="BP6" s="6">
        <v>480.14285710000001</v>
      </c>
      <c r="BQ6" s="6">
        <v>509.2857143</v>
      </c>
      <c r="BR6" s="6"/>
      <c r="BS6" s="7">
        <v>1988</v>
      </c>
      <c r="BT6" s="6">
        <v>272.35714289999999</v>
      </c>
      <c r="BU6" s="6">
        <v>240.44444440000001</v>
      </c>
      <c r="BV6" s="6">
        <v>273.10000000000002</v>
      </c>
      <c r="BW6" s="6">
        <v>264.2857143</v>
      </c>
      <c r="BX6" s="6">
        <v>273.14285710000001</v>
      </c>
      <c r="BY6" s="6"/>
      <c r="BZ6" s="7">
        <v>1988</v>
      </c>
      <c r="CA6" s="5">
        <v>44.835714289999999</v>
      </c>
      <c r="CB6" s="5">
        <v>37.91111111</v>
      </c>
      <c r="CC6" s="5">
        <v>42.54</v>
      </c>
      <c r="CD6" s="5">
        <v>47.071428570000002</v>
      </c>
      <c r="CE6" s="5">
        <v>38.057142859999999</v>
      </c>
      <c r="CG6" s="7">
        <v>1988</v>
      </c>
      <c r="CH6" s="6">
        <v>348.7857143</v>
      </c>
      <c r="CI6" s="6">
        <v>354.44444440000001</v>
      </c>
      <c r="CJ6" s="6">
        <v>359.7</v>
      </c>
      <c r="CK6" s="6">
        <v>348.42857140000001</v>
      </c>
      <c r="CL6" s="6">
        <v>364.2857143</v>
      </c>
      <c r="CM6" s="6"/>
      <c r="CN6" s="5"/>
      <c r="CO6" s="7">
        <v>1988</v>
      </c>
      <c r="CP6" s="6">
        <v>42.285714290000001</v>
      </c>
      <c r="CQ6" s="6">
        <v>59.444444439999998</v>
      </c>
      <c r="CR6" s="6">
        <v>78.599999999999994</v>
      </c>
      <c r="CS6" s="6">
        <v>48.571428570000002</v>
      </c>
      <c r="CT6" s="6">
        <v>88.285714290000001</v>
      </c>
    </row>
    <row r="7" spans="2:98" x14ac:dyDescent="0.25">
      <c r="B7">
        <v>1989</v>
      </c>
      <c r="C7" s="6">
        <v>350.6</v>
      </c>
      <c r="D7" s="6">
        <v>349.84615380000002</v>
      </c>
      <c r="E7" s="6">
        <v>367.8</v>
      </c>
      <c r="F7" s="6">
        <v>365.625</v>
      </c>
      <c r="G7" s="6">
        <v>355.625</v>
      </c>
      <c r="I7" s="7">
        <v>1989</v>
      </c>
      <c r="J7" s="5">
        <v>15.06</v>
      </c>
      <c r="K7" s="5">
        <v>20.515384619999999</v>
      </c>
      <c r="L7" s="5">
        <v>15.48</v>
      </c>
      <c r="M7" s="5">
        <v>17.362500000000001</v>
      </c>
      <c r="N7" s="5">
        <v>18.75</v>
      </c>
      <c r="P7" s="7">
        <v>1989</v>
      </c>
      <c r="Q7" s="6">
        <v>15.77333333</v>
      </c>
      <c r="R7" s="6">
        <v>25.415384620000001</v>
      </c>
      <c r="S7" s="6">
        <v>16.260000000000002</v>
      </c>
      <c r="T7" s="6">
        <v>20.425000000000001</v>
      </c>
      <c r="U7" s="6">
        <v>20.375</v>
      </c>
      <c r="V7" s="5"/>
      <c r="W7" s="7">
        <v>1989</v>
      </c>
      <c r="X7" s="6">
        <v>48.933333330000004</v>
      </c>
      <c r="Y7" s="6">
        <v>59.238461540000003</v>
      </c>
      <c r="Z7" s="6">
        <v>53.84</v>
      </c>
      <c r="AA7" s="6">
        <v>65.037499999999994</v>
      </c>
      <c r="AB7" s="6">
        <v>55.2</v>
      </c>
      <c r="AC7" s="5"/>
      <c r="AD7" s="7">
        <v>1989</v>
      </c>
      <c r="AE7" s="5">
        <f t="shared" si="1"/>
        <v>4.8933333330000002</v>
      </c>
      <c r="AF7" s="5">
        <f t="shared" si="2"/>
        <v>5.9238461540000005</v>
      </c>
      <c r="AG7" s="5">
        <f t="shared" si="3"/>
        <v>5.3840000000000003</v>
      </c>
      <c r="AH7" s="5">
        <f t="shared" si="4"/>
        <v>6.5037499999999993</v>
      </c>
      <c r="AI7" s="5">
        <f t="shared" si="5"/>
        <v>5.5200000000000005</v>
      </c>
      <c r="AJ7" s="5"/>
      <c r="AK7" s="7">
        <v>1989</v>
      </c>
      <c r="AL7" s="6">
        <v>112.2</v>
      </c>
      <c r="AM7" s="6">
        <v>93.57692308</v>
      </c>
      <c r="AN7" s="6">
        <v>116.74</v>
      </c>
      <c r="AO7" s="6">
        <v>129.21250000000001</v>
      </c>
      <c r="AP7" s="6">
        <v>101.8125</v>
      </c>
      <c r="AQ7" s="5"/>
      <c r="AR7" s="7">
        <v>1989</v>
      </c>
      <c r="AS7" s="6">
        <v>518.27272730000004</v>
      </c>
      <c r="AT7" s="6">
        <v>521.88888889999998</v>
      </c>
      <c r="AU7" s="6">
        <v>527.55555560000005</v>
      </c>
      <c r="AV7" s="6">
        <v>519</v>
      </c>
      <c r="AW7" s="6">
        <v>523.83333330000005</v>
      </c>
      <c r="AX7" s="6"/>
      <c r="AY7" s="6">
        <v>2.1333333329999999</v>
      </c>
      <c r="AZ7" s="6">
        <v>2</v>
      </c>
      <c r="BA7" s="6">
        <v>4.8</v>
      </c>
      <c r="BB7" s="6">
        <v>2.625</v>
      </c>
      <c r="BC7" s="6">
        <v>3.75</v>
      </c>
      <c r="BD7" s="6"/>
      <c r="BE7" s="7">
        <v>1989</v>
      </c>
      <c r="BF7" s="5">
        <v>0.38</v>
      </c>
      <c r="BG7" s="5">
        <v>0.43846153799999998</v>
      </c>
      <c r="BH7" s="5">
        <v>0.78</v>
      </c>
      <c r="BI7" s="5">
        <v>0.5625</v>
      </c>
      <c r="BJ7" s="5">
        <v>0.75</v>
      </c>
      <c r="BK7" s="5"/>
      <c r="BL7" s="7">
        <v>1989</v>
      </c>
      <c r="BM7" s="6">
        <v>506.8</v>
      </c>
      <c r="BN7" s="6">
        <v>514.53846150000004</v>
      </c>
      <c r="BO7" s="6">
        <v>538</v>
      </c>
      <c r="BP7" s="6">
        <v>504.5</v>
      </c>
      <c r="BQ7" s="6">
        <v>527.5</v>
      </c>
      <c r="BR7" s="6"/>
      <c r="BS7" s="7">
        <v>1989</v>
      </c>
      <c r="BT7" s="6">
        <v>287.66666670000001</v>
      </c>
      <c r="BU7" s="6">
        <v>264.30769229999999</v>
      </c>
      <c r="BV7" s="6">
        <v>298.3</v>
      </c>
      <c r="BW7" s="6">
        <v>287.75</v>
      </c>
      <c r="BX7" s="6">
        <v>262.5</v>
      </c>
      <c r="BY7" s="6"/>
      <c r="BZ7" s="7">
        <v>1989</v>
      </c>
      <c r="CA7" s="5">
        <v>57.62</v>
      </c>
      <c r="CB7" s="5">
        <v>51.661538460000003</v>
      </c>
      <c r="CC7" s="5">
        <v>58.8</v>
      </c>
      <c r="CD7" s="5">
        <v>61.612499999999997</v>
      </c>
      <c r="CE7" s="5">
        <v>53.674999999999997</v>
      </c>
      <c r="CG7" s="7">
        <v>1989</v>
      </c>
      <c r="CH7" s="6">
        <v>354.6</v>
      </c>
      <c r="CI7" s="6">
        <v>353.69230770000001</v>
      </c>
      <c r="CJ7" s="6">
        <v>375.8</v>
      </c>
      <c r="CK7" s="6">
        <v>372.125</v>
      </c>
      <c r="CL7" s="6">
        <v>362.25</v>
      </c>
      <c r="CM7" s="6"/>
      <c r="CN7" s="5"/>
      <c r="CO7" s="7">
        <v>1989</v>
      </c>
      <c r="CP7" s="6">
        <v>118.8666667</v>
      </c>
      <c r="CQ7" s="6">
        <v>113.9230769</v>
      </c>
      <c r="CR7" s="6">
        <v>142.30000000000001</v>
      </c>
      <c r="CS7" s="6">
        <v>68.25</v>
      </c>
      <c r="CT7" s="6">
        <v>126</v>
      </c>
    </row>
    <row r="8" spans="2:98" x14ac:dyDescent="0.25">
      <c r="B8">
        <v>1990</v>
      </c>
      <c r="C8" s="6">
        <v>349.46666670000002</v>
      </c>
      <c r="D8" s="6">
        <v>361.2857143</v>
      </c>
      <c r="E8" s="6">
        <v>373.7</v>
      </c>
      <c r="F8" s="6">
        <v>364.6</v>
      </c>
      <c r="G8" s="6">
        <v>355.7</v>
      </c>
      <c r="I8" s="7">
        <v>1990</v>
      </c>
      <c r="J8" s="5">
        <v>12.52</v>
      </c>
      <c r="K8" s="5">
        <v>13.5</v>
      </c>
      <c r="L8" s="5">
        <v>11.46</v>
      </c>
      <c r="M8" s="5">
        <v>12.96</v>
      </c>
      <c r="N8" s="5">
        <v>14.88</v>
      </c>
      <c r="P8" s="7">
        <v>1990</v>
      </c>
      <c r="Q8" s="6">
        <v>13.1</v>
      </c>
      <c r="R8" s="6">
        <v>14.85714286</v>
      </c>
      <c r="S8" s="6">
        <v>13.11</v>
      </c>
      <c r="T8" s="6">
        <v>17.95</v>
      </c>
      <c r="U8" s="6">
        <v>17.809999999999999</v>
      </c>
      <c r="V8" s="5"/>
      <c r="W8" s="7">
        <v>1990</v>
      </c>
      <c r="X8" s="6">
        <v>53.95333333</v>
      </c>
      <c r="Y8" s="6">
        <v>53.06428571</v>
      </c>
      <c r="Z8" s="6">
        <v>56.46</v>
      </c>
      <c r="AA8" s="6">
        <v>54</v>
      </c>
      <c r="AB8" s="6">
        <v>55.83</v>
      </c>
      <c r="AC8" s="5"/>
      <c r="AD8" s="7">
        <v>1990</v>
      </c>
      <c r="AE8" s="5">
        <f t="shared" si="1"/>
        <v>5.395333333</v>
      </c>
      <c r="AF8" s="5">
        <f t="shared" si="2"/>
        <v>5.3064285709999996</v>
      </c>
      <c r="AG8" s="5">
        <f t="shared" si="3"/>
        <v>5.6459999999999999</v>
      </c>
      <c r="AH8" s="5">
        <f t="shared" si="4"/>
        <v>5.4</v>
      </c>
      <c r="AI8" s="5">
        <f t="shared" si="5"/>
        <v>5.5830000000000002</v>
      </c>
      <c r="AJ8" s="5"/>
      <c r="AK8" s="7">
        <v>1990</v>
      </c>
      <c r="AL8" s="6">
        <v>166.16</v>
      </c>
      <c r="AM8" s="6">
        <v>139.9714286</v>
      </c>
      <c r="AN8" s="6">
        <v>173.22</v>
      </c>
      <c r="AO8" s="6">
        <v>157.37</v>
      </c>
      <c r="AP8" s="6">
        <v>137.29</v>
      </c>
      <c r="AQ8" s="5"/>
      <c r="AR8" s="7">
        <v>1990</v>
      </c>
      <c r="AS8" s="6">
        <v>523</v>
      </c>
      <c r="AT8" s="6">
        <v>522.66666669999995</v>
      </c>
      <c r="AU8" s="6">
        <v>531.79999999999995</v>
      </c>
      <c r="AV8" s="6">
        <v>532.57142859999999</v>
      </c>
      <c r="AW8" s="6">
        <v>528.77777779999997</v>
      </c>
      <c r="AX8" s="6"/>
      <c r="AY8" s="6">
        <v>4.4666666670000001</v>
      </c>
      <c r="AZ8" s="6">
        <v>5</v>
      </c>
      <c r="BA8" s="6">
        <v>13.1</v>
      </c>
      <c r="BB8" s="6">
        <v>9.1</v>
      </c>
      <c r="BC8" s="6">
        <v>6.9</v>
      </c>
      <c r="BD8" s="6"/>
      <c r="BE8" s="7">
        <v>1990</v>
      </c>
      <c r="BF8" s="5">
        <v>0.57999999999999996</v>
      </c>
      <c r="BG8" s="5">
        <v>0.64285714299999996</v>
      </c>
      <c r="BH8" s="5">
        <v>1.65</v>
      </c>
      <c r="BI8" s="5">
        <v>0.99</v>
      </c>
      <c r="BJ8" s="5">
        <v>1.23</v>
      </c>
      <c r="BK8" s="5"/>
      <c r="BL8" s="7">
        <v>1990</v>
      </c>
      <c r="BM8" s="6">
        <v>523.33333330000005</v>
      </c>
      <c r="BN8" s="6">
        <v>518.92857140000001</v>
      </c>
      <c r="BO8" s="6">
        <v>561.1</v>
      </c>
      <c r="BP8" s="6">
        <v>529.29999999999995</v>
      </c>
      <c r="BQ8" s="6">
        <v>539.9</v>
      </c>
      <c r="BR8" s="6"/>
      <c r="BS8" s="7">
        <v>1990</v>
      </c>
      <c r="BT8" s="6">
        <v>284.8666667</v>
      </c>
      <c r="BU8" s="6">
        <v>290</v>
      </c>
      <c r="BV8" s="6">
        <v>313.5</v>
      </c>
      <c r="BW8" s="6">
        <v>286.10000000000002</v>
      </c>
      <c r="BX8" s="6">
        <v>281</v>
      </c>
      <c r="BY8" s="6"/>
      <c r="BZ8" s="7">
        <v>1990</v>
      </c>
      <c r="CA8" s="5">
        <v>70.72</v>
      </c>
      <c r="CB8" s="5">
        <v>62.828571429999997</v>
      </c>
      <c r="CC8" s="5">
        <v>71.91</v>
      </c>
      <c r="CD8" s="5">
        <v>67.239999999999995</v>
      </c>
      <c r="CE8" s="5">
        <v>60.75</v>
      </c>
      <c r="CG8" s="7">
        <v>1990</v>
      </c>
      <c r="CH8" s="6">
        <v>357.46666670000002</v>
      </c>
      <c r="CI8" s="6">
        <v>369.14285710000001</v>
      </c>
      <c r="CJ8" s="6">
        <v>394.6</v>
      </c>
      <c r="CK8" s="6">
        <v>379.1</v>
      </c>
      <c r="CL8" s="6">
        <v>368.2</v>
      </c>
      <c r="CM8" s="6"/>
      <c r="CN8" s="5"/>
      <c r="CO8" s="7">
        <v>1990</v>
      </c>
      <c r="CP8" s="6">
        <v>138</v>
      </c>
      <c r="CQ8" s="6">
        <v>100.4285714</v>
      </c>
      <c r="CR8" s="6">
        <v>158.1</v>
      </c>
      <c r="CS8" s="6">
        <v>110.9</v>
      </c>
      <c r="CT8" s="6">
        <v>153.19999999999999</v>
      </c>
    </row>
    <row r="9" spans="2:98" x14ac:dyDescent="0.25">
      <c r="B9">
        <v>1991</v>
      </c>
      <c r="C9" s="6">
        <v>357.33333329999999</v>
      </c>
      <c r="D9" s="6">
        <v>361.35714289999999</v>
      </c>
      <c r="E9" s="6">
        <v>379.6</v>
      </c>
      <c r="F9" s="6">
        <v>377</v>
      </c>
      <c r="G9" s="6">
        <v>379.90909090000002</v>
      </c>
      <c r="I9" s="7">
        <v>1991</v>
      </c>
      <c r="J9" s="5">
        <v>10.96</v>
      </c>
      <c r="K9" s="5">
        <v>12.53571429</v>
      </c>
      <c r="L9" s="5">
        <v>10.199999999999999</v>
      </c>
      <c r="M9" s="5">
        <v>16.2</v>
      </c>
      <c r="N9" s="5">
        <v>15.35454545</v>
      </c>
      <c r="P9" s="7">
        <v>1991</v>
      </c>
      <c r="Q9" s="6">
        <v>12.1</v>
      </c>
      <c r="R9" s="6">
        <v>13.457142859999999</v>
      </c>
      <c r="S9" s="6">
        <v>11.58</v>
      </c>
      <c r="T9" s="6">
        <v>19.081818179999999</v>
      </c>
      <c r="U9" s="6">
        <v>17.718181820000002</v>
      </c>
      <c r="V9" s="5"/>
      <c r="W9" s="7">
        <v>1991</v>
      </c>
      <c r="X9" s="6">
        <v>58.513333330000002</v>
      </c>
      <c r="Y9" s="6">
        <v>57.59285714</v>
      </c>
      <c r="Z9" s="6">
        <v>58.13</v>
      </c>
      <c r="AA9" s="6">
        <v>80.736363639999993</v>
      </c>
      <c r="AB9" s="6">
        <v>69.381818179999996</v>
      </c>
      <c r="AC9" s="5"/>
      <c r="AD9" s="7">
        <v>1991</v>
      </c>
      <c r="AE9" s="5">
        <f t="shared" si="1"/>
        <v>5.8513333330000004</v>
      </c>
      <c r="AF9" s="5">
        <f t="shared" si="2"/>
        <v>5.7592857139999998</v>
      </c>
      <c r="AG9" s="5">
        <f t="shared" si="3"/>
        <v>5.8130000000000006</v>
      </c>
      <c r="AH9" s="5">
        <f t="shared" si="4"/>
        <v>8.0736363639999986</v>
      </c>
      <c r="AI9" s="5">
        <f t="shared" si="5"/>
        <v>6.9381818179999994</v>
      </c>
      <c r="AJ9" s="5"/>
      <c r="AK9" s="7">
        <v>1991</v>
      </c>
      <c r="AL9" s="6">
        <v>224.6733333</v>
      </c>
      <c r="AM9" s="6">
        <v>197.5571429</v>
      </c>
      <c r="AN9" s="6">
        <v>231.33</v>
      </c>
      <c r="AO9" s="6">
        <v>223.8090909</v>
      </c>
      <c r="AP9" s="6">
        <v>194.1909091</v>
      </c>
      <c r="AQ9" s="5"/>
      <c r="AR9" s="7">
        <v>1991</v>
      </c>
      <c r="AS9" s="6">
        <v>525.57142859999999</v>
      </c>
      <c r="AT9" s="6">
        <v>527.30769229999999</v>
      </c>
      <c r="AU9" s="6">
        <v>546</v>
      </c>
      <c r="AV9" s="6">
        <v>513.33333330000005</v>
      </c>
      <c r="AW9" s="6">
        <v>535.27272730000004</v>
      </c>
      <c r="AX9" s="6"/>
      <c r="AY9" s="6">
        <v>9.7333333329999991</v>
      </c>
      <c r="AZ9" s="6">
        <v>6.7857142860000002</v>
      </c>
      <c r="BA9" s="6">
        <v>12</v>
      </c>
      <c r="BB9" s="6">
        <v>6.1818181819999998</v>
      </c>
      <c r="BC9" s="6">
        <v>9</v>
      </c>
      <c r="BD9" s="6"/>
      <c r="BE9" s="7">
        <v>1991</v>
      </c>
      <c r="BF9" s="5">
        <v>1.1399999999999999</v>
      </c>
      <c r="BG9" s="5">
        <v>0.92142857099999997</v>
      </c>
      <c r="BH9" s="5">
        <v>1.38</v>
      </c>
      <c r="BI9" s="5">
        <v>1.0636363639999999</v>
      </c>
      <c r="BJ9" s="5">
        <v>1.636363636</v>
      </c>
      <c r="BK9" s="5"/>
      <c r="BL9" s="7">
        <v>1991</v>
      </c>
      <c r="BM9" s="6">
        <v>538.26666669999997</v>
      </c>
      <c r="BN9" s="6">
        <v>537.57142859999999</v>
      </c>
      <c r="BO9" s="6">
        <v>573.70000000000005</v>
      </c>
      <c r="BP9" s="6">
        <v>515.45454549999999</v>
      </c>
      <c r="BQ9" s="6">
        <v>556.54545450000001</v>
      </c>
      <c r="BR9" s="6"/>
      <c r="BS9" s="7">
        <v>1991</v>
      </c>
      <c r="BT9" s="6">
        <v>294.06666669999998</v>
      </c>
      <c r="BU9" s="6">
        <v>303.57142859999999</v>
      </c>
      <c r="BV9" s="6">
        <v>321.3</v>
      </c>
      <c r="BW9" s="6">
        <v>292.54545450000001</v>
      </c>
      <c r="BX9" s="6">
        <v>321.54545450000001</v>
      </c>
      <c r="BY9" s="6"/>
      <c r="BZ9" s="7">
        <v>1991</v>
      </c>
      <c r="CA9" s="5">
        <v>82.82</v>
      </c>
      <c r="CB9" s="5">
        <v>76.285714290000001</v>
      </c>
      <c r="CC9" s="5">
        <v>83.49</v>
      </c>
      <c r="CD9" s="5">
        <v>80.20909091</v>
      </c>
      <c r="CE9" s="5">
        <v>72.945454549999994</v>
      </c>
      <c r="CG9" s="7">
        <v>1991</v>
      </c>
      <c r="CH9" s="6">
        <v>374.26666669999997</v>
      </c>
      <c r="CI9" s="6">
        <v>373.2142857</v>
      </c>
      <c r="CJ9" s="6">
        <v>400.2</v>
      </c>
      <c r="CK9" s="6">
        <v>384.90909090000002</v>
      </c>
      <c r="CL9" s="6">
        <v>395.54545450000001</v>
      </c>
      <c r="CM9" s="6"/>
      <c r="CN9" s="5"/>
      <c r="CO9" s="7">
        <v>1991</v>
      </c>
      <c r="CP9" s="6">
        <v>156.93333329999999</v>
      </c>
      <c r="CQ9" s="6">
        <v>154.14285709999999</v>
      </c>
      <c r="CR9" s="6">
        <v>166.4</v>
      </c>
      <c r="CS9" s="6">
        <v>105.2727273</v>
      </c>
      <c r="CT9" s="6">
        <v>155.36363639999999</v>
      </c>
    </row>
    <row r="10" spans="2:98" x14ac:dyDescent="0.25">
      <c r="B10">
        <v>1992</v>
      </c>
      <c r="C10" s="6">
        <v>361.4</v>
      </c>
      <c r="D10" s="6">
        <v>366.42857140000001</v>
      </c>
      <c r="E10" s="6">
        <v>386.6</v>
      </c>
      <c r="F10" s="6">
        <v>373.09090909999998</v>
      </c>
      <c r="G10" s="6">
        <v>378.36363640000002</v>
      </c>
      <c r="I10" s="7">
        <v>1992</v>
      </c>
      <c r="J10" s="5">
        <v>13.6</v>
      </c>
      <c r="K10" s="5">
        <v>13.71428571</v>
      </c>
      <c r="L10" s="5">
        <v>11.22</v>
      </c>
      <c r="M10" s="5">
        <v>20.127272730000001</v>
      </c>
      <c r="N10" s="5">
        <v>14.454545449999999</v>
      </c>
      <c r="P10" s="7">
        <v>1992</v>
      </c>
      <c r="Q10" s="6">
        <v>14.7</v>
      </c>
      <c r="R10" s="6">
        <v>14.72142857</v>
      </c>
      <c r="S10" s="6">
        <v>13.05</v>
      </c>
      <c r="T10" s="6">
        <v>21.572727270000001</v>
      </c>
      <c r="U10" s="6">
        <v>15.654545450000001</v>
      </c>
      <c r="V10" s="5"/>
      <c r="W10" s="7">
        <v>1992</v>
      </c>
      <c r="X10" s="6">
        <v>84.54</v>
      </c>
      <c r="Y10" s="6">
        <v>76.235714290000004</v>
      </c>
      <c r="Z10" s="6">
        <v>76.41</v>
      </c>
      <c r="AA10" s="6">
        <v>124.9636364</v>
      </c>
      <c r="AB10" s="6">
        <v>77.863636360000001</v>
      </c>
      <c r="AC10" s="5"/>
      <c r="AD10" s="7">
        <v>1992</v>
      </c>
      <c r="AE10" s="5">
        <f t="shared" si="1"/>
        <v>8.4540000000000006</v>
      </c>
      <c r="AF10" s="5">
        <f t="shared" si="2"/>
        <v>7.6235714290000001</v>
      </c>
      <c r="AG10" s="5">
        <f t="shared" si="3"/>
        <v>7.641</v>
      </c>
      <c r="AH10" s="5">
        <f t="shared" si="4"/>
        <v>12.49636364</v>
      </c>
      <c r="AI10" s="5">
        <f t="shared" si="5"/>
        <v>7.7863636359999999</v>
      </c>
      <c r="AJ10" s="5"/>
      <c r="AK10" s="7">
        <v>1992</v>
      </c>
      <c r="AL10" s="6">
        <v>309.18666669999999</v>
      </c>
      <c r="AM10" s="6">
        <v>273.8</v>
      </c>
      <c r="AN10" s="6">
        <v>307.74</v>
      </c>
      <c r="AO10" s="6">
        <v>348.7636364</v>
      </c>
      <c r="AP10" s="6">
        <v>272.04545450000001</v>
      </c>
      <c r="AQ10" s="5"/>
      <c r="AR10" s="7">
        <v>1992</v>
      </c>
      <c r="AS10" s="6">
        <v>524</v>
      </c>
      <c r="AT10" s="6">
        <v>525.18181819999995</v>
      </c>
      <c r="AU10" s="6">
        <v>532.6</v>
      </c>
      <c r="AV10" s="6">
        <v>523.5</v>
      </c>
      <c r="AW10" s="6">
        <v>529.9</v>
      </c>
      <c r="AX10" s="6"/>
      <c r="AY10" s="6">
        <v>7.4</v>
      </c>
      <c r="AZ10" s="6">
        <v>6.9285714289999998</v>
      </c>
      <c r="BA10" s="6">
        <v>13.8</v>
      </c>
      <c r="BB10" s="6">
        <v>6.8181818180000002</v>
      </c>
      <c r="BC10" s="6">
        <v>7</v>
      </c>
      <c r="BD10" s="6"/>
      <c r="BE10" s="7">
        <v>1992</v>
      </c>
      <c r="BF10" s="5">
        <v>1.1000000000000001</v>
      </c>
      <c r="BG10" s="5">
        <v>1.0071428570000001</v>
      </c>
      <c r="BH10" s="5">
        <v>1.83</v>
      </c>
      <c r="BI10" s="5">
        <v>1.445454545</v>
      </c>
      <c r="BJ10" s="5">
        <v>1.2</v>
      </c>
      <c r="BK10" s="5"/>
      <c r="BL10" s="7">
        <v>1992</v>
      </c>
      <c r="BM10" s="6">
        <v>529.66666669999995</v>
      </c>
      <c r="BN10" s="6">
        <v>530.07142859999999</v>
      </c>
      <c r="BO10" s="6">
        <v>559.1</v>
      </c>
      <c r="BP10" s="6">
        <v>521.72727269999996</v>
      </c>
      <c r="BQ10" s="6">
        <v>541.36363640000002</v>
      </c>
      <c r="BR10" s="6"/>
      <c r="BS10" s="7">
        <v>1992</v>
      </c>
      <c r="BT10" s="6">
        <v>302.66666670000001</v>
      </c>
      <c r="BU10" s="6">
        <v>306.42857140000001</v>
      </c>
      <c r="BV10" s="6">
        <v>339</v>
      </c>
      <c r="BW10" s="6">
        <v>310</v>
      </c>
      <c r="BX10" s="6">
        <v>320.72727270000001</v>
      </c>
      <c r="BY10" s="6"/>
      <c r="BZ10" s="7">
        <v>1992</v>
      </c>
      <c r="CA10" s="5">
        <v>97.52</v>
      </c>
      <c r="CB10" s="5">
        <v>91.007142860000002</v>
      </c>
      <c r="CC10" s="5">
        <v>96.54</v>
      </c>
      <c r="CD10" s="5">
        <v>101.7818182</v>
      </c>
      <c r="CE10" s="5">
        <v>88.6</v>
      </c>
      <c r="CG10" s="7">
        <v>1992</v>
      </c>
      <c r="CH10" s="6">
        <v>373.73333330000003</v>
      </c>
      <c r="CI10" s="6">
        <v>377.42857140000001</v>
      </c>
      <c r="CJ10" s="6">
        <v>407</v>
      </c>
      <c r="CK10" s="6">
        <v>383.63636359999998</v>
      </c>
      <c r="CL10" s="6">
        <v>389.18181820000001</v>
      </c>
      <c r="CM10" s="6"/>
      <c r="CN10" s="5"/>
      <c r="CO10" s="7">
        <v>1992</v>
      </c>
      <c r="CP10" s="6">
        <v>126.8666667</v>
      </c>
      <c r="CQ10" s="6">
        <v>122.9285714</v>
      </c>
      <c r="CR10" s="6">
        <v>146</v>
      </c>
      <c r="CS10" s="6">
        <v>105.0909091</v>
      </c>
      <c r="CT10" s="6">
        <v>137</v>
      </c>
    </row>
    <row r="11" spans="2:98" x14ac:dyDescent="0.25">
      <c r="B11">
        <v>1993</v>
      </c>
      <c r="C11" s="6">
        <v>360.53333329999998</v>
      </c>
      <c r="D11" s="6">
        <v>374.85714289999999</v>
      </c>
      <c r="E11" s="6">
        <v>378.5</v>
      </c>
      <c r="F11" s="6">
        <v>364.18181820000001</v>
      </c>
      <c r="G11" s="6">
        <v>376.72727270000001</v>
      </c>
      <c r="I11" s="7">
        <v>1993</v>
      </c>
      <c r="J11" s="5">
        <v>11.72</v>
      </c>
      <c r="K11" s="5">
        <v>10.264285709999999</v>
      </c>
      <c r="L11" s="5">
        <v>8.85</v>
      </c>
      <c r="M11" s="5">
        <v>18.245454550000002</v>
      </c>
      <c r="N11" s="5">
        <v>12.845454549999999</v>
      </c>
      <c r="P11" s="7">
        <v>1993</v>
      </c>
      <c r="Q11" s="6">
        <v>12.94</v>
      </c>
      <c r="R11" s="6">
        <v>11.35714286</v>
      </c>
      <c r="S11" s="6">
        <v>10.44</v>
      </c>
      <c r="T11" s="6">
        <v>19.418181820000001</v>
      </c>
      <c r="U11" s="6">
        <v>13.8</v>
      </c>
      <c r="V11" s="5"/>
      <c r="W11" s="7">
        <v>1993</v>
      </c>
      <c r="X11" s="6">
        <v>85.82</v>
      </c>
      <c r="Y11" s="6">
        <v>67.864285710000004</v>
      </c>
      <c r="Z11" s="6">
        <v>71.03</v>
      </c>
      <c r="AA11" s="6">
        <v>138.48181819999999</v>
      </c>
      <c r="AB11" s="6">
        <v>83.381818179999996</v>
      </c>
      <c r="AC11" s="5"/>
      <c r="AD11" s="7">
        <v>1993</v>
      </c>
      <c r="AE11" s="5">
        <f t="shared" si="1"/>
        <v>8.581999999999999</v>
      </c>
      <c r="AF11" s="5">
        <f t="shared" si="2"/>
        <v>6.7864285710000001</v>
      </c>
      <c r="AG11" s="5">
        <f t="shared" si="3"/>
        <v>7.1029999999999998</v>
      </c>
      <c r="AH11" s="5">
        <f t="shared" si="4"/>
        <v>13.848181819999999</v>
      </c>
      <c r="AI11" s="5">
        <f t="shared" si="5"/>
        <v>8.3381818179999989</v>
      </c>
      <c r="AJ11" s="5"/>
      <c r="AK11" s="7">
        <v>1993</v>
      </c>
      <c r="AL11" s="6">
        <v>395.0133333</v>
      </c>
      <c r="AM11" s="6">
        <v>341.65</v>
      </c>
      <c r="AN11" s="6">
        <v>378.75</v>
      </c>
      <c r="AO11" s="6">
        <v>487.2363636</v>
      </c>
      <c r="AP11" s="6">
        <v>355.46363639999998</v>
      </c>
      <c r="AQ11" s="5"/>
      <c r="AR11" s="7">
        <v>1993</v>
      </c>
      <c r="AS11" s="6">
        <v>521.07692310000004</v>
      </c>
      <c r="AT11" s="6">
        <v>532.07692310000004</v>
      </c>
      <c r="AU11" s="6">
        <v>544.70000000000005</v>
      </c>
      <c r="AV11" s="6">
        <v>511</v>
      </c>
      <c r="AW11" s="6">
        <v>523.88888889999998</v>
      </c>
      <c r="AX11" s="6"/>
      <c r="AY11" s="6">
        <v>9</v>
      </c>
      <c r="AZ11" s="6">
        <v>9.9285714289999998</v>
      </c>
      <c r="BA11" s="6">
        <v>15</v>
      </c>
      <c r="BB11" s="6">
        <v>5.5454545450000001</v>
      </c>
      <c r="BC11" s="6">
        <v>7.3636363640000004</v>
      </c>
      <c r="BD11" s="6"/>
      <c r="BE11" s="7">
        <v>1993</v>
      </c>
      <c r="BF11" s="5">
        <v>1.22</v>
      </c>
      <c r="BG11" s="5">
        <v>1.092857143</v>
      </c>
      <c r="BH11" s="5">
        <v>1.59</v>
      </c>
      <c r="BI11" s="5">
        <v>1.172727273</v>
      </c>
      <c r="BJ11" s="5">
        <v>0.95454545499999999</v>
      </c>
      <c r="BK11" s="5"/>
      <c r="BL11" s="7">
        <v>1993</v>
      </c>
      <c r="BM11" s="6">
        <v>529</v>
      </c>
      <c r="BN11" s="6">
        <v>549.7142857</v>
      </c>
      <c r="BO11" s="6">
        <v>570.29999999999995</v>
      </c>
      <c r="BP11" s="6">
        <v>518.81818180000005</v>
      </c>
      <c r="BQ11" s="6">
        <v>526.90909090000002</v>
      </c>
      <c r="BR11" s="6"/>
      <c r="BS11" s="7">
        <v>1993</v>
      </c>
      <c r="BT11" s="6">
        <v>296.06666669999998</v>
      </c>
      <c r="BU11" s="6">
        <v>321.42857140000001</v>
      </c>
      <c r="BV11" s="6">
        <v>321.10000000000002</v>
      </c>
      <c r="BW11" s="6">
        <v>297.18181820000001</v>
      </c>
      <c r="BX11" s="6">
        <v>313.27272729999999</v>
      </c>
      <c r="BY11" s="6"/>
      <c r="BZ11" s="7">
        <v>1993</v>
      </c>
      <c r="CA11" s="5">
        <v>110.46</v>
      </c>
      <c r="CB11" s="5">
        <v>102.3642857</v>
      </c>
      <c r="CC11" s="5">
        <v>106.98</v>
      </c>
      <c r="CD11" s="5">
        <v>121.2</v>
      </c>
      <c r="CE11" s="5">
        <v>102.4</v>
      </c>
      <c r="CG11" s="7">
        <v>1993</v>
      </c>
      <c r="CH11" s="6">
        <v>375.2</v>
      </c>
      <c r="CI11" s="6">
        <v>390.85714289999999</v>
      </c>
      <c r="CJ11" s="6">
        <v>403.6</v>
      </c>
      <c r="CK11" s="6">
        <v>373.18181820000001</v>
      </c>
      <c r="CL11" s="6">
        <v>388.36363640000002</v>
      </c>
      <c r="CM11" s="6"/>
      <c r="CN11" s="5"/>
      <c r="CO11" s="7">
        <v>1993</v>
      </c>
      <c r="CP11" s="6">
        <v>135.46666669999999</v>
      </c>
      <c r="CQ11" s="6">
        <v>146.07142859999999</v>
      </c>
      <c r="CR11" s="6">
        <v>166.2</v>
      </c>
      <c r="CS11" s="6">
        <v>132.54545450000001</v>
      </c>
      <c r="CT11" s="6">
        <v>120</v>
      </c>
    </row>
    <row r="12" spans="2:98" x14ac:dyDescent="0.25">
      <c r="B12">
        <v>1994</v>
      </c>
      <c r="C12" s="6">
        <v>372.46666670000002</v>
      </c>
      <c r="D12" s="6">
        <v>374.14285710000001</v>
      </c>
      <c r="E12" s="6">
        <v>386.5</v>
      </c>
      <c r="F12" s="6">
        <v>367.90909090000002</v>
      </c>
      <c r="G12" s="6">
        <v>380</v>
      </c>
      <c r="I12" s="7">
        <v>1994</v>
      </c>
      <c r="J12" s="5">
        <v>11</v>
      </c>
      <c r="K12" s="5">
        <v>9.5571428570000005</v>
      </c>
      <c r="L12" s="5">
        <v>7.8</v>
      </c>
      <c r="M12" s="5">
        <v>17.372727269999999</v>
      </c>
      <c r="N12" s="5">
        <v>12.38181818</v>
      </c>
      <c r="P12" s="7">
        <v>1994</v>
      </c>
      <c r="Q12" s="6">
        <v>11.9</v>
      </c>
      <c r="R12" s="6">
        <v>10.371428570000001</v>
      </c>
      <c r="S12" s="6">
        <v>9.06</v>
      </c>
      <c r="T12" s="6">
        <v>18.272727270000001</v>
      </c>
      <c r="U12" s="6">
        <v>13.30909091</v>
      </c>
      <c r="V12" s="5"/>
      <c r="W12" s="7">
        <v>1994</v>
      </c>
      <c r="X12" s="6">
        <v>89.066666670000004</v>
      </c>
      <c r="Y12" s="6">
        <v>69.392857140000004</v>
      </c>
      <c r="Z12" s="6">
        <v>67.61</v>
      </c>
      <c r="AA12" s="6">
        <v>153.8818182</v>
      </c>
      <c r="AB12" s="6">
        <v>91.7</v>
      </c>
      <c r="AC12" s="5"/>
      <c r="AD12" s="7">
        <v>1994</v>
      </c>
      <c r="AE12" s="5">
        <f t="shared" si="1"/>
        <v>8.9066666669999996</v>
      </c>
      <c r="AF12" s="5">
        <f t="shared" si="2"/>
        <v>6.9392857140000004</v>
      </c>
      <c r="AG12" s="5">
        <f t="shared" si="3"/>
        <v>6.7610000000000001</v>
      </c>
      <c r="AH12" s="5">
        <f t="shared" si="4"/>
        <v>15.38818182</v>
      </c>
      <c r="AI12" s="5">
        <f t="shared" si="5"/>
        <v>9.17</v>
      </c>
      <c r="AJ12" s="5"/>
      <c r="AK12" s="7">
        <v>1994</v>
      </c>
      <c r="AL12" s="6">
        <v>484.09333329999998</v>
      </c>
      <c r="AM12" s="6">
        <v>411.04285709999999</v>
      </c>
      <c r="AN12" s="6">
        <v>446.36</v>
      </c>
      <c r="AO12" s="6">
        <v>641.1181818</v>
      </c>
      <c r="AP12" s="6">
        <v>447.13636359999998</v>
      </c>
      <c r="AQ12" s="5"/>
      <c r="AR12" s="7">
        <v>1994</v>
      </c>
      <c r="AS12" s="6">
        <v>531.4</v>
      </c>
      <c r="AT12" s="6">
        <v>525.5</v>
      </c>
      <c r="AU12" s="6">
        <v>539.29999999999995</v>
      </c>
      <c r="AV12" s="6">
        <v>514.79999999999995</v>
      </c>
      <c r="AW12" s="6">
        <v>528.70000000000005</v>
      </c>
      <c r="AX12" s="6"/>
      <c r="AY12" s="6">
        <v>7.9333333330000002</v>
      </c>
      <c r="AZ12" s="6">
        <v>7.9285714289999998</v>
      </c>
      <c r="BA12" s="6">
        <v>15.3</v>
      </c>
      <c r="BB12" s="6">
        <v>5.0909090910000003</v>
      </c>
      <c r="BC12" s="6">
        <v>7.6363636359999996</v>
      </c>
      <c r="BD12" s="6"/>
      <c r="BE12" s="7">
        <v>1994</v>
      </c>
      <c r="BF12" s="5">
        <v>0.9</v>
      </c>
      <c r="BG12" s="5">
        <v>0.81428571400000005</v>
      </c>
      <c r="BH12" s="5">
        <v>1.26</v>
      </c>
      <c r="BI12" s="5">
        <v>0.9</v>
      </c>
      <c r="BJ12" s="5">
        <v>0.92727272699999996</v>
      </c>
      <c r="BK12" s="5"/>
      <c r="BL12" s="7">
        <v>1994</v>
      </c>
      <c r="BM12" s="6">
        <v>543.8666667</v>
      </c>
      <c r="BN12" s="6">
        <v>532.7142857</v>
      </c>
      <c r="BO12" s="6">
        <v>558.5</v>
      </c>
      <c r="BP12" s="6">
        <v>518.27272730000004</v>
      </c>
      <c r="BQ12" s="6">
        <v>540.18181819999995</v>
      </c>
      <c r="BR12" s="6"/>
      <c r="BS12" s="7">
        <v>1994</v>
      </c>
      <c r="BT12" s="6">
        <v>302.33333329999999</v>
      </c>
      <c r="BU12" s="6">
        <v>290.85714289999999</v>
      </c>
      <c r="BV12" s="6">
        <v>326.39999999999998</v>
      </c>
      <c r="BW12" s="6">
        <v>293.09090909999998</v>
      </c>
      <c r="BX12" s="6">
        <v>317.72727270000001</v>
      </c>
      <c r="BY12" s="6"/>
      <c r="BZ12" s="7">
        <v>1994</v>
      </c>
      <c r="CA12" s="5">
        <v>122.36</v>
      </c>
      <c r="CB12" s="5">
        <v>112.7357143</v>
      </c>
      <c r="CC12" s="5">
        <v>116.04</v>
      </c>
      <c r="CD12" s="5">
        <v>139.4727273</v>
      </c>
      <c r="CE12" s="5">
        <v>115.70909090000001</v>
      </c>
      <c r="CG12" s="7">
        <v>1994</v>
      </c>
      <c r="CH12" s="6">
        <v>385</v>
      </c>
      <c r="CI12" s="6">
        <v>386.64285710000001</v>
      </c>
      <c r="CJ12" s="6">
        <v>409.3</v>
      </c>
      <c r="CK12" s="6">
        <v>375.72727270000001</v>
      </c>
      <c r="CL12" s="6">
        <v>392</v>
      </c>
      <c r="CM12" s="6"/>
      <c r="CN12" s="5"/>
      <c r="CO12" s="7">
        <v>1994</v>
      </c>
      <c r="CP12" s="6">
        <v>158.93333329999999</v>
      </c>
      <c r="CQ12" s="6">
        <v>130.5</v>
      </c>
      <c r="CR12" s="6">
        <v>152.80000000000001</v>
      </c>
      <c r="CS12" s="6">
        <v>127.7272727</v>
      </c>
      <c r="CT12" s="6">
        <v>134.54545450000001</v>
      </c>
    </row>
    <row r="13" spans="2:98" x14ac:dyDescent="0.25">
      <c r="B13">
        <v>1995</v>
      </c>
      <c r="C13" s="6">
        <v>376.26666669999997</v>
      </c>
      <c r="D13" s="6">
        <v>383.7857143</v>
      </c>
      <c r="E13" s="6">
        <v>399.8</v>
      </c>
      <c r="F13" s="6">
        <v>368.45454549999999</v>
      </c>
      <c r="G13" s="6">
        <v>376.09090909999998</v>
      </c>
      <c r="I13" s="7">
        <v>1995</v>
      </c>
      <c r="J13" s="5">
        <v>9.4</v>
      </c>
      <c r="K13" s="5">
        <v>7.7142857139999998</v>
      </c>
      <c r="L13" s="5">
        <v>7.02</v>
      </c>
      <c r="M13" s="5">
        <v>16.418181820000001</v>
      </c>
      <c r="N13" s="5">
        <v>12.40909091</v>
      </c>
      <c r="P13" s="7">
        <v>1995</v>
      </c>
      <c r="Q13" s="6">
        <v>10.199999999999999</v>
      </c>
      <c r="R13" s="6">
        <v>8.335714286</v>
      </c>
      <c r="S13" s="6">
        <v>7.71</v>
      </c>
      <c r="T13" s="6">
        <v>17.481818180000001</v>
      </c>
      <c r="U13" s="6">
        <v>13.09090909</v>
      </c>
      <c r="V13" s="5"/>
      <c r="W13" s="7">
        <v>1995</v>
      </c>
      <c r="X13" s="6">
        <v>82.28</v>
      </c>
      <c r="Y13" s="6">
        <v>60.56428571</v>
      </c>
      <c r="Z13" s="6">
        <v>60.22</v>
      </c>
      <c r="AA13" s="6">
        <v>167.31818179999999</v>
      </c>
      <c r="AB13" s="6">
        <v>104.2636364</v>
      </c>
      <c r="AC13" s="5"/>
      <c r="AD13" s="7">
        <v>1995</v>
      </c>
      <c r="AE13" s="5">
        <f t="shared" si="1"/>
        <v>8.2279999999999998</v>
      </c>
      <c r="AF13" s="5">
        <f t="shared" si="2"/>
        <v>6.0564285709999996</v>
      </c>
      <c r="AG13" s="5">
        <f t="shared" si="3"/>
        <v>6.0220000000000002</v>
      </c>
      <c r="AH13" s="5">
        <f t="shared" si="4"/>
        <v>16.731818179999998</v>
      </c>
      <c r="AI13" s="5">
        <f t="shared" si="5"/>
        <v>10.42636364</v>
      </c>
      <c r="AJ13" s="5"/>
      <c r="AK13" s="7">
        <v>1995</v>
      </c>
      <c r="AL13" s="6">
        <v>566.3666667</v>
      </c>
      <c r="AM13" s="6">
        <v>471.60714289999999</v>
      </c>
      <c r="AN13" s="6">
        <v>506.6</v>
      </c>
      <c r="AO13" s="6">
        <v>808.4272727</v>
      </c>
      <c r="AP13" s="6">
        <v>551.3818182</v>
      </c>
      <c r="AQ13" s="5"/>
      <c r="AR13" s="7">
        <v>1995</v>
      </c>
      <c r="AS13" s="6">
        <v>534.58333330000005</v>
      </c>
      <c r="AT13" s="6">
        <v>530.25</v>
      </c>
      <c r="AU13" s="6">
        <v>534.29999999999995</v>
      </c>
      <c r="AV13" s="6">
        <v>519.79999999999995</v>
      </c>
      <c r="AW13" s="6">
        <v>532.29999999999995</v>
      </c>
      <c r="AX13" s="6"/>
      <c r="AY13" s="6">
        <v>7.8666666669999996</v>
      </c>
      <c r="AZ13" s="6">
        <v>8.4285714289999998</v>
      </c>
      <c r="BA13" s="6">
        <v>9.6</v>
      </c>
      <c r="BB13" s="6">
        <v>6.1818181819999998</v>
      </c>
      <c r="BC13" s="6">
        <v>5.1818181819999998</v>
      </c>
      <c r="BD13" s="6"/>
      <c r="BE13" s="7">
        <v>1995</v>
      </c>
      <c r="BF13" s="5">
        <v>0.8</v>
      </c>
      <c r="BG13" s="5">
        <v>0.62142857100000004</v>
      </c>
      <c r="BH13" s="5">
        <v>0.69</v>
      </c>
      <c r="BI13" s="5">
        <v>1.0636363639999999</v>
      </c>
      <c r="BJ13" s="5">
        <v>0.68181818199999999</v>
      </c>
      <c r="BK13" s="5"/>
      <c r="BL13" s="7">
        <v>1995</v>
      </c>
      <c r="BM13" s="6">
        <v>540.73333330000003</v>
      </c>
      <c r="BN13" s="6">
        <v>535.92857140000001</v>
      </c>
      <c r="BO13" s="6">
        <v>550.79999999999995</v>
      </c>
      <c r="BP13" s="6">
        <v>524.63636359999998</v>
      </c>
      <c r="BQ13" s="6">
        <v>541.54545450000001</v>
      </c>
      <c r="BR13" s="6"/>
      <c r="BS13" s="7">
        <v>1995</v>
      </c>
      <c r="BT13" s="6">
        <v>304.53333329999998</v>
      </c>
      <c r="BU13" s="6">
        <v>311.85714289999999</v>
      </c>
      <c r="BV13" s="6">
        <v>328.8</v>
      </c>
      <c r="BW13" s="6">
        <v>294</v>
      </c>
      <c r="BX13" s="6">
        <v>309.09090909999998</v>
      </c>
      <c r="BY13" s="6"/>
      <c r="BZ13" s="7">
        <v>1995</v>
      </c>
      <c r="CA13" s="5">
        <v>132.56</v>
      </c>
      <c r="CB13" s="5">
        <v>121.0714286</v>
      </c>
      <c r="CC13" s="5">
        <v>123.75</v>
      </c>
      <c r="CD13" s="5">
        <v>156.95454549999999</v>
      </c>
      <c r="CE13" s="5">
        <v>128.80000000000001</v>
      </c>
      <c r="CG13" s="7">
        <v>1995</v>
      </c>
      <c r="CH13" s="6">
        <v>389</v>
      </c>
      <c r="CI13" s="6">
        <v>395.7857143</v>
      </c>
      <c r="CJ13" s="6">
        <v>413</v>
      </c>
      <c r="CK13" s="6">
        <v>378.36363640000002</v>
      </c>
      <c r="CL13" s="6">
        <v>384.36363640000002</v>
      </c>
      <c r="CM13" s="6"/>
      <c r="CN13" s="5"/>
      <c r="CO13" s="7">
        <v>1995</v>
      </c>
      <c r="CP13" s="6">
        <v>126.6</v>
      </c>
      <c r="CQ13" s="6">
        <v>120.2857143</v>
      </c>
      <c r="CR13" s="6">
        <v>134.5</v>
      </c>
      <c r="CS13" s="6">
        <v>134.27272730000001</v>
      </c>
      <c r="CT13" s="6">
        <v>142.36363639999999</v>
      </c>
    </row>
    <row r="14" spans="2:98" x14ac:dyDescent="0.25">
      <c r="B14">
        <v>1996</v>
      </c>
      <c r="C14" s="6">
        <v>362.4</v>
      </c>
      <c r="D14" s="6">
        <v>370.14285710000001</v>
      </c>
      <c r="E14" s="6">
        <v>377.8</v>
      </c>
      <c r="F14" s="6">
        <v>358.36363640000002</v>
      </c>
      <c r="G14" s="6">
        <v>364.54545450000001</v>
      </c>
      <c r="I14" s="7">
        <v>1996</v>
      </c>
      <c r="J14" s="5">
        <v>8.58</v>
      </c>
      <c r="K14" s="5">
        <v>8.9357142859999996</v>
      </c>
      <c r="L14" s="5">
        <v>8.16</v>
      </c>
      <c r="M14" s="5">
        <v>14.345454549999999</v>
      </c>
      <c r="N14" s="5">
        <v>12.02727273</v>
      </c>
      <c r="P14" s="7">
        <v>1996</v>
      </c>
      <c r="Q14" s="6">
        <v>9.74</v>
      </c>
      <c r="R14" s="6">
        <v>10.050000000000001</v>
      </c>
      <c r="S14" s="6">
        <v>9.84</v>
      </c>
      <c r="T14" s="6">
        <v>15.24545455</v>
      </c>
      <c r="U14" s="6">
        <v>13.2</v>
      </c>
      <c r="V14" s="5"/>
      <c r="W14" s="7">
        <v>1996</v>
      </c>
      <c r="X14" s="6">
        <v>86.066666670000004</v>
      </c>
      <c r="Y14" s="6">
        <v>80.135714289999996</v>
      </c>
      <c r="Z14" s="6">
        <v>78.53</v>
      </c>
      <c r="AA14" s="6">
        <v>162.32727270000001</v>
      </c>
      <c r="AB14" s="6">
        <v>111.74545449999999</v>
      </c>
      <c r="AC14" s="5"/>
      <c r="AD14" s="7">
        <v>1996</v>
      </c>
      <c r="AE14" s="5">
        <f t="shared" si="1"/>
        <v>8.6066666670000007</v>
      </c>
      <c r="AF14" s="5">
        <f t="shared" si="2"/>
        <v>8.0135714289999989</v>
      </c>
      <c r="AG14" s="5">
        <f t="shared" si="3"/>
        <v>7.8529999999999998</v>
      </c>
      <c r="AH14" s="5">
        <f t="shared" si="4"/>
        <v>16.232727270000002</v>
      </c>
      <c r="AI14" s="5">
        <f t="shared" si="5"/>
        <v>11.17454545</v>
      </c>
      <c r="AJ14" s="5"/>
      <c r="AK14" s="7">
        <v>1996</v>
      </c>
      <c r="AL14" s="6">
        <v>652.44000000000005</v>
      </c>
      <c r="AM14" s="6">
        <v>551.75</v>
      </c>
      <c r="AN14" s="6">
        <v>585.12</v>
      </c>
      <c r="AO14" s="6">
        <v>970.78181819999998</v>
      </c>
      <c r="AP14" s="6">
        <v>663.10909089999996</v>
      </c>
      <c r="AQ14" s="5"/>
      <c r="AR14" s="7">
        <v>1996</v>
      </c>
      <c r="AS14" s="6">
        <v>525.26666669999997</v>
      </c>
      <c r="AT14" s="6">
        <v>533.76923079999995</v>
      </c>
      <c r="AU14" s="6">
        <v>545.79999999999995</v>
      </c>
      <c r="AV14" s="6">
        <v>518.375</v>
      </c>
      <c r="AW14" s="6">
        <v>526</v>
      </c>
      <c r="AX14" s="6"/>
      <c r="AY14" s="6">
        <v>11.33333333</v>
      </c>
      <c r="AZ14" s="6">
        <v>11.42857143</v>
      </c>
      <c r="BA14" s="6">
        <v>17.100000000000001</v>
      </c>
      <c r="BB14" s="6">
        <v>5.1818181819999998</v>
      </c>
      <c r="BC14" s="6">
        <v>9.0909090910000003</v>
      </c>
      <c r="BD14" s="6"/>
      <c r="BE14" s="7">
        <v>1996</v>
      </c>
      <c r="BF14" s="5">
        <v>1.1599999999999999</v>
      </c>
      <c r="BG14" s="5">
        <v>1.114285714</v>
      </c>
      <c r="BH14" s="5">
        <v>1.68</v>
      </c>
      <c r="BI14" s="5">
        <v>0.9</v>
      </c>
      <c r="BJ14" s="5">
        <v>1.172727273</v>
      </c>
      <c r="BK14" s="5"/>
      <c r="BL14" s="7">
        <v>1996</v>
      </c>
      <c r="BM14" s="6">
        <v>541.79999999999995</v>
      </c>
      <c r="BN14" s="6">
        <v>552.92857140000001</v>
      </c>
      <c r="BO14" s="6">
        <v>571.70000000000005</v>
      </c>
      <c r="BP14" s="6">
        <v>516.09090909999998</v>
      </c>
      <c r="BQ14" s="6">
        <v>541.36363640000002</v>
      </c>
      <c r="BR14" s="6"/>
      <c r="BS14" s="7">
        <v>1996</v>
      </c>
      <c r="BT14" s="6">
        <v>302.8666667</v>
      </c>
      <c r="BU14" s="6">
        <v>303.92857140000001</v>
      </c>
      <c r="BV14" s="6">
        <v>325.39999999999998</v>
      </c>
      <c r="BW14" s="6">
        <v>294.36363640000002</v>
      </c>
      <c r="BX14" s="6">
        <v>300.36363640000002</v>
      </c>
      <c r="BY14" s="6"/>
      <c r="BZ14" s="7">
        <v>1996</v>
      </c>
      <c r="CA14" s="5">
        <v>142.30000000000001</v>
      </c>
      <c r="CB14" s="5">
        <v>131.1214286</v>
      </c>
      <c r="CC14" s="5">
        <v>133.59</v>
      </c>
      <c r="CD14" s="5">
        <v>172.2</v>
      </c>
      <c r="CE14" s="5">
        <v>142</v>
      </c>
      <c r="CG14" s="7">
        <v>1996</v>
      </c>
      <c r="CH14" s="6">
        <v>381.73333330000003</v>
      </c>
      <c r="CI14" s="6">
        <v>389.7857143</v>
      </c>
      <c r="CJ14" s="6">
        <v>407.1</v>
      </c>
      <c r="CK14" s="6">
        <v>366.81818179999999</v>
      </c>
      <c r="CL14" s="6">
        <v>380.18181820000001</v>
      </c>
      <c r="CM14" s="6"/>
      <c r="CN14" s="5"/>
      <c r="CO14" s="7">
        <v>1996</v>
      </c>
      <c r="CP14" s="6">
        <v>162.8666667</v>
      </c>
      <c r="CQ14" s="6">
        <v>151.14285709999999</v>
      </c>
      <c r="CR14" s="6">
        <v>168</v>
      </c>
      <c r="CS14" s="6">
        <v>111.45454549999999</v>
      </c>
      <c r="CT14" s="6">
        <v>161.45454549999999</v>
      </c>
    </row>
    <row r="15" spans="2:98" x14ac:dyDescent="0.25">
      <c r="B15">
        <v>1997</v>
      </c>
      <c r="C15" s="6">
        <v>370.66666670000001</v>
      </c>
      <c r="D15" s="6">
        <v>385.14285710000001</v>
      </c>
      <c r="E15" s="6">
        <v>398</v>
      </c>
      <c r="F15" s="6">
        <v>369.18181820000001</v>
      </c>
      <c r="G15" s="6">
        <v>372</v>
      </c>
      <c r="I15" s="7">
        <v>1997</v>
      </c>
      <c r="J15" s="5">
        <v>9.42</v>
      </c>
      <c r="K15" s="5">
        <v>9.6857142859999996</v>
      </c>
      <c r="L15" s="5">
        <v>9.81</v>
      </c>
      <c r="M15" s="5">
        <v>13.172727269999999</v>
      </c>
      <c r="N15" s="5">
        <v>13.172727269999999</v>
      </c>
      <c r="P15" s="7">
        <v>1997</v>
      </c>
      <c r="Q15" s="6">
        <v>10.84</v>
      </c>
      <c r="R15" s="6">
        <v>10.84285714</v>
      </c>
      <c r="S15" s="6">
        <v>11.79</v>
      </c>
      <c r="T15" s="6">
        <v>14.12727273</v>
      </c>
      <c r="U15" s="6">
        <v>14.12727273</v>
      </c>
      <c r="V15" s="5"/>
      <c r="W15" s="7">
        <v>1997</v>
      </c>
      <c r="X15" s="6">
        <v>103.7333333</v>
      </c>
      <c r="Y15" s="6">
        <v>94.25</v>
      </c>
      <c r="Z15" s="6">
        <v>103.14</v>
      </c>
      <c r="AA15" s="6">
        <v>163.55454549999999</v>
      </c>
      <c r="AB15" s="6">
        <v>131.60909090000001</v>
      </c>
      <c r="AC15" s="5"/>
      <c r="AD15" s="7">
        <v>1997</v>
      </c>
      <c r="AE15" s="5">
        <f t="shared" si="1"/>
        <v>10.373333329999999</v>
      </c>
      <c r="AF15" s="5">
        <f t="shared" si="2"/>
        <v>9.4250000000000007</v>
      </c>
      <c r="AG15" s="5">
        <f t="shared" si="3"/>
        <v>10.314</v>
      </c>
      <c r="AH15" s="5">
        <f t="shared" si="4"/>
        <v>16.355454549999997</v>
      </c>
      <c r="AI15" s="5">
        <f t="shared" si="5"/>
        <v>13.160909090000001</v>
      </c>
      <c r="AJ15" s="5"/>
      <c r="AK15" s="7">
        <v>1997</v>
      </c>
      <c r="AL15" s="6">
        <v>756.16666669999995</v>
      </c>
      <c r="AM15" s="6">
        <v>646</v>
      </c>
      <c r="AN15" s="6">
        <v>688.26</v>
      </c>
      <c r="AO15" s="6">
        <v>1134.3454549999999</v>
      </c>
      <c r="AP15" s="6">
        <v>794.7636364</v>
      </c>
      <c r="AQ15" s="5"/>
      <c r="AR15" s="7">
        <v>1997</v>
      </c>
      <c r="AS15" s="6">
        <v>529.06666670000004</v>
      </c>
      <c r="AT15" s="6">
        <v>532.14285710000001</v>
      </c>
      <c r="AU15" s="6">
        <v>543.9</v>
      </c>
      <c r="AV15" s="6">
        <v>519.7142857</v>
      </c>
      <c r="AW15" s="6">
        <v>527.6</v>
      </c>
      <c r="AX15" s="6"/>
      <c r="AY15" s="6">
        <v>13.4</v>
      </c>
      <c r="AZ15" s="6">
        <v>12.85714286</v>
      </c>
      <c r="BA15" s="6">
        <v>16.5</v>
      </c>
      <c r="BB15" s="6">
        <v>5.6363636359999996</v>
      </c>
      <c r="BC15" s="6">
        <v>6.7272727269999999</v>
      </c>
      <c r="BD15" s="6"/>
      <c r="BE15" s="7">
        <v>1997</v>
      </c>
      <c r="BF15" s="5">
        <v>1.42</v>
      </c>
      <c r="BG15" s="5">
        <v>1.157142857</v>
      </c>
      <c r="BH15" s="5">
        <v>1.98</v>
      </c>
      <c r="BI15" s="5">
        <v>0.95454545499999999</v>
      </c>
      <c r="BJ15" s="5">
        <v>0.95454545499999999</v>
      </c>
      <c r="BK15" s="5"/>
      <c r="BL15" s="7">
        <v>1997</v>
      </c>
      <c r="BM15" s="6">
        <v>548.8666667</v>
      </c>
      <c r="BN15" s="6">
        <v>552.2857143</v>
      </c>
      <c r="BO15" s="6">
        <v>568.6</v>
      </c>
      <c r="BP15" s="6">
        <v>516.81818180000005</v>
      </c>
      <c r="BQ15" s="6">
        <v>535.09090909999998</v>
      </c>
      <c r="BR15" s="6"/>
      <c r="BS15" s="7">
        <v>1997</v>
      </c>
      <c r="BT15" s="6">
        <v>315.46666670000002</v>
      </c>
      <c r="BU15" s="6">
        <v>330.5</v>
      </c>
      <c r="BV15" s="6">
        <v>348.6</v>
      </c>
      <c r="BW15" s="6">
        <v>301.72727270000001</v>
      </c>
      <c r="BX15" s="6">
        <v>319.63636359999998</v>
      </c>
      <c r="BY15" s="6"/>
      <c r="BZ15" s="7">
        <v>1997</v>
      </c>
      <c r="CA15" s="5">
        <v>153.13999999999999</v>
      </c>
      <c r="CB15" s="5">
        <v>141.9642857</v>
      </c>
      <c r="CC15" s="5">
        <v>145.38</v>
      </c>
      <c r="CD15" s="5">
        <v>186.32727270000001</v>
      </c>
      <c r="CE15" s="5">
        <v>156.12727269999999</v>
      </c>
      <c r="CG15" s="7">
        <v>1997</v>
      </c>
      <c r="CH15" s="6">
        <v>392.1333333</v>
      </c>
      <c r="CI15" s="6">
        <v>403.2857143</v>
      </c>
      <c r="CJ15" s="6">
        <v>422.7</v>
      </c>
      <c r="CK15" s="6">
        <v>377.54545450000001</v>
      </c>
      <c r="CL15" s="6">
        <v>383.27272729999999</v>
      </c>
      <c r="CM15" s="6"/>
      <c r="CN15" s="5"/>
      <c r="CO15" s="7">
        <v>1997</v>
      </c>
      <c r="CP15" s="6">
        <v>158.4</v>
      </c>
      <c r="CQ15" s="6">
        <v>147</v>
      </c>
      <c r="CR15" s="6">
        <v>145.9</v>
      </c>
      <c r="CS15" s="6">
        <v>92.636363639999999</v>
      </c>
      <c r="CT15" s="6">
        <v>140.9090909</v>
      </c>
    </row>
    <row r="16" spans="2:98" x14ac:dyDescent="0.25">
      <c r="B16">
        <v>1998</v>
      </c>
      <c r="C16" s="6">
        <v>380.73333330000003</v>
      </c>
      <c r="D16" s="6">
        <v>394.35714289999999</v>
      </c>
      <c r="E16" s="6">
        <v>399.5</v>
      </c>
      <c r="F16" s="6">
        <v>374.72727270000001</v>
      </c>
      <c r="G16" s="6">
        <v>383.90909090000002</v>
      </c>
      <c r="I16" s="7">
        <v>1998</v>
      </c>
      <c r="J16" s="5">
        <v>5.9</v>
      </c>
      <c r="K16" s="5">
        <v>6.6428571429999996</v>
      </c>
      <c r="L16" s="5">
        <v>7.14</v>
      </c>
      <c r="M16" s="5">
        <v>6.9272727270000001</v>
      </c>
      <c r="N16" s="5">
        <v>9.190909091</v>
      </c>
      <c r="P16" s="7">
        <v>1998</v>
      </c>
      <c r="Q16" s="6">
        <v>7.18</v>
      </c>
      <c r="R16" s="6">
        <v>7.8214285710000002</v>
      </c>
      <c r="S16" s="6">
        <v>8.4600000000000009</v>
      </c>
      <c r="T16" s="6">
        <v>8.0181818180000004</v>
      </c>
      <c r="U16" s="6">
        <v>10.172727269999999</v>
      </c>
      <c r="V16" s="5"/>
      <c r="W16" s="7">
        <v>1998</v>
      </c>
      <c r="X16" s="6">
        <v>72.293333329999996</v>
      </c>
      <c r="Y16" s="6">
        <v>71.849999999999994</v>
      </c>
      <c r="Z16" s="6">
        <v>78.33</v>
      </c>
      <c r="AA16" s="6">
        <v>98.354545450000003</v>
      </c>
      <c r="AB16" s="6">
        <v>103.24545449999999</v>
      </c>
      <c r="AC16" s="5"/>
      <c r="AD16" s="7">
        <v>1998</v>
      </c>
      <c r="AE16" s="5">
        <f t="shared" si="1"/>
        <v>7.2293333329999996</v>
      </c>
      <c r="AF16" s="5">
        <f t="shared" si="2"/>
        <v>7.1849999999999996</v>
      </c>
      <c r="AG16" s="5">
        <f t="shared" si="3"/>
        <v>7.8330000000000002</v>
      </c>
      <c r="AH16" s="5">
        <f t="shared" si="4"/>
        <v>9.835454545000001</v>
      </c>
      <c r="AI16" s="5">
        <f t="shared" si="5"/>
        <v>10.324545449999999</v>
      </c>
      <c r="AJ16" s="5"/>
      <c r="AK16" s="7">
        <v>1998</v>
      </c>
      <c r="AL16" s="6">
        <v>828.44666670000004</v>
      </c>
      <c r="AM16" s="6">
        <v>717.85</v>
      </c>
      <c r="AN16" s="6">
        <v>766.6</v>
      </c>
      <c r="AO16" s="6">
        <v>1232.6909089999999</v>
      </c>
      <c r="AP16" s="6">
        <v>898.01818179999998</v>
      </c>
      <c r="AQ16" s="5"/>
      <c r="AR16" s="7">
        <v>1998</v>
      </c>
      <c r="AS16" s="6">
        <v>537.79999999999995</v>
      </c>
      <c r="AT16" s="6">
        <v>530.53846150000004</v>
      </c>
      <c r="AU16" s="6">
        <v>540.33333330000005</v>
      </c>
      <c r="AV16" s="6">
        <v>532.11111110000002</v>
      </c>
      <c r="AW16" s="6">
        <v>531.27272730000004</v>
      </c>
      <c r="AX16" s="6"/>
      <c r="AY16" s="6">
        <v>17.600000000000001</v>
      </c>
      <c r="AZ16" s="6">
        <v>15.21428571</v>
      </c>
      <c r="BA16" s="6">
        <v>16.2</v>
      </c>
      <c r="BB16" s="6">
        <v>11.272727270000001</v>
      </c>
      <c r="BC16" s="6">
        <v>11.09090909</v>
      </c>
      <c r="BD16" s="6"/>
      <c r="BE16" s="7">
        <v>1998</v>
      </c>
      <c r="BF16" s="5">
        <v>1.28</v>
      </c>
      <c r="BG16" s="5">
        <v>1.178571429</v>
      </c>
      <c r="BH16" s="5">
        <v>1.32</v>
      </c>
      <c r="BI16" s="5">
        <v>1.0909090910000001</v>
      </c>
      <c r="BJ16" s="5">
        <v>0.98181818200000004</v>
      </c>
      <c r="BK16" s="5"/>
      <c r="BL16" s="7">
        <v>1998</v>
      </c>
      <c r="BM16" s="6">
        <v>561.6</v>
      </c>
      <c r="BN16" s="6">
        <v>547.7857143</v>
      </c>
      <c r="BO16" s="6">
        <v>562.5</v>
      </c>
      <c r="BP16" s="6">
        <v>537.36363640000002</v>
      </c>
      <c r="BQ16" s="6">
        <v>547.45454549999999</v>
      </c>
      <c r="BR16" s="6"/>
      <c r="BS16" s="7">
        <v>1998</v>
      </c>
      <c r="BT16" s="6">
        <v>315.39999999999998</v>
      </c>
      <c r="BU16" s="6">
        <v>334.64285710000001</v>
      </c>
      <c r="BV16" s="6">
        <v>331.2</v>
      </c>
      <c r="BW16" s="6">
        <v>318.54545450000001</v>
      </c>
      <c r="BX16" s="6">
        <v>318.81818179999999</v>
      </c>
      <c r="BY16" s="6"/>
      <c r="BZ16" s="7">
        <v>1998</v>
      </c>
      <c r="CA16" s="5">
        <v>160.32</v>
      </c>
      <c r="CB16" s="5">
        <v>149.7857143</v>
      </c>
      <c r="CC16" s="5">
        <v>153.84</v>
      </c>
      <c r="CD16" s="5">
        <v>194.34545449999999</v>
      </c>
      <c r="CE16" s="5">
        <v>166.3</v>
      </c>
      <c r="CG16" s="7">
        <v>1998</v>
      </c>
      <c r="CH16" s="6">
        <v>408.4</v>
      </c>
      <c r="CI16" s="6">
        <v>414.92857140000001</v>
      </c>
      <c r="CJ16" s="6">
        <v>421.7</v>
      </c>
      <c r="CK16" s="6">
        <v>391.72727270000001</v>
      </c>
      <c r="CL16" s="6">
        <v>401.27272729999999</v>
      </c>
      <c r="CM16" s="6"/>
      <c r="CN16" s="5"/>
      <c r="CO16" s="7">
        <v>1998</v>
      </c>
      <c r="CP16" s="6">
        <v>157.06666670000001</v>
      </c>
      <c r="CQ16" s="6">
        <v>127.3571429</v>
      </c>
      <c r="CR16" s="6">
        <v>128</v>
      </c>
      <c r="CS16" s="6">
        <v>126.45454549999999</v>
      </c>
      <c r="CT16" s="6">
        <v>147.36363639999999</v>
      </c>
    </row>
    <row r="17" spans="2:98" x14ac:dyDescent="0.25">
      <c r="B17">
        <v>1999</v>
      </c>
      <c r="C17" s="6">
        <v>390.1333333</v>
      </c>
      <c r="D17" s="6">
        <v>393.92857140000001</v>
      </c>
      <c r="E17" s="6">
        <v>396.2</v>
      </c>
      <c r="F17" s="6">
        <v>387.18181820000001</v>
      </c>
      <c r="G17" s="6">
        <v>382</v>
      </c>
      <c r="I17" s="7">
        <v>1999</v>
      </c>
      <c r="J17" s="5">
        <v>7.32</v>
      </c>
      <c r="K17" s="5">
        <v>8.0785714290000001</v>
      </c>
      <c r="L17" s="5">
        <v>9.18</v>
      </c>
      <c r="M17" s="5">
        <v>8.8363636359999997</v>
      </c>
      <c r="N17" s="5">
        <v>11.61818182</v>
      </c>
      <c r="P17" s="7">
        <v>1999</v>
      </c>
      <c r="Q17" s="6">
        <v>8.0399999999999991</v>
      </c>
      <c r="R17" s="6">
        <v>8.7642857139999997</v>
      </c>
      <c r="S17" s="6">
        <v>9.75</v>
      </c>
      <c r="T17" s="6">
        <v>9.6545454549999992</v>
      </c>
      <c r="U17" s="6">
        <v>12.081818180000001</v>
      </c>
      <c r="V17" s="5"/>
      <c r="W17" s="7">
        <v>1999</v>
      </c>
      <c r="X17" s="6">
        <v>85.653333329999995</v>
      </c>
      <c r="Y17" s="6">
        <v>85.842857140000007</v>
      </c>
      <c r="Z17" s="6">
        <v>96.97</v>
      </c>
      <c r="AA17" s="6">
        <v>123.9272727</v>
      </c>
      <c r="AB17" s="6">
        <v>129.99090910000001</v>
      </c>
      <c r="AC17" s="5"/>
      <c r="AD17" s="7">
        <v>1999</v>
      </c>
      <c r="AE17" s="5">
        <f t="shared" si="1"/>
        <v>8.5653333329999999</v>
      </c>
      <c r="AF17" s="5">
        <f t="shared" si="2"/>
        <v>8.584285714</v>
      </c>
      <c r="AG17" s="5">
        <f t="shared" si="3"/>
        <v>9.6969999999999992</v>
      </c>
      <c r="AH17" s="5">
        <f t="shared" si="4"/>
        <v>12.39272727</v>
      </c>
      <c r="AI17" s="5">
        <f t="shared" si="5"/>
        <v>12.999090910000001</v>
      </c>
      <c r="AJ17" s="5"/>
      <c r="AK17" s="7">
        <v>1999</v>
      </c>
      <c r="AL17" s="6">
        <v>914.10666670000001</v>
      </c>
      <c r="AM17" s="6">
        <v>803.68571429999997</v>
      </c>
      <c r="AN17" s="6">
        <v>863.57</v>
      </c>
      <c r="AO17" s="6">
        <v>1356.6272730000001</v>
      </c>
      <c r="AP17" s="6">
        <v>1028.018182</v>
      </c>
      <c r="AQ17" s="5"/>
      <c r="AR17" s="7">
        <v>1999</v>
      </c>
      <c r="AS17" s="6">
        <v>538.36363640000002</v>
      </c>
      <c r="AT17" s="6">
        <v>527.36363640000002</v>
      </c>
      <c r="AU17" s="6">
        <v>525.7142857</v>
      </c>
      <c r="AV17" s="6">
        <v>529.11111110000002</v>
      </c>
      <c r="AW17" s="6">
        <v>534.85714289999999</v>
      </c>
      <c r="AX17" s="6"/>
      <c r="AY17" s="6">
        <v>9.1333333329999995</v>
      </c>
      <c r="AZ17" s="6">
        <v>8.7142857140000007</v>
      </c>
      <c r="BA17" s="6">
        <v>5.0999999999999996</v>
      </c>
      <c r="BB17" s="6">
        <v>7.8181818180000002</v>
      </c>
      <c r="BC17" s="6">
        <v>3.4545454549999999</v>
      </c>
      <c r="BD17" s="6"/>
      <c r="BE17" s="7">
        <v>1999</v>
      </c>
      <c r="BF17" s="5">
        <v>0.72</v>
      </c>
      <c r="BG17" s="5">
        <v>0.68571428599999995</v>
      </c>
      <c r="BH17" s="5">
        <v>0.56999999999999995</v>
      </c>
      <c r="BI17" s="5">
        <v>0.81818181800000001</v>
      </c>
      <c r="BJ17" s="5">
        <v>0.46363636400000002</v>
      </c>
      <c r="BK17" s="5"/>
      <c r="BL17" s="7">
        <v>1999</v>
      </c>
      <c r="BM17" s="6">
        <v>537.33333330000005</v>
      </c>
      <c r="BN17" s="6">
        <v>529.35714289999999</v>
      </c>
      <c r="BO17" s="6">
        <v>523.20000000000005</v>
      </c>
      <c r="BP17" s="6">
        <v>533</v>
      </c>
      <c r="BQ17" s="6">
        <v>522</v>
      </c>
      <c r="BR17" s="6"/>
      <c r="BS17" s="7">
        <v>1999</v>
      </c>
      <c r="BT17" s="6">
        <v>337.2</v>
      </c>
      <c r="BU17" s="6">
        <v>330.7857143</v>
      </c>
      <c r="BV17" s="6">
        <v>349.1</v>
      </c>
      <c r="BW17" s="6">
        <v>328.63636359999998</v>
      </c>
      <c r="BX17" s="6">
        <v>327.18181820000001</v>
      </c>
      <c r="BY17" s="6"/>
      <c r="BZ17" s="7">
        <v>1999</v>
      </c>
      <c r="CA17" s="5">
        <v>168.36</v>
      </c>
      <c r="CB17" s="5">
        <v>158.55000000000001</v>
      </c>
      <c r="CC17" s="5">
        <v>163.59</v>
      </c>
      <c r="CD17" s="5">
        <v>204</v>
      </c>
      <c r="CE17" s="5">
        <v>178.3818182</v>
      </c>
      <c r="CG17" s="7">
        <v>1999</v>
      </c>
      <c r="CH17" s="6">
        <v>403.26666669999997</v>
      </c>
      <c r="CI17" s="6">
        <v>405.35714289999999</v>
      </c>
      <c r="CJ17" s="6">
        <v>403.1</v>
      </c>
      <c r="CK17" s="6">
        <v>398.18181820000001</v>
      </c>
      <c r="CL17" s="6">
        <v>387.18181820000001</v>
      </c>
      <c r="CM17" s="6"/>
      <c r="CN17" s="5"/>
      <c r="CO17" s="7">
        <v>1999</v>
      </c>
      <c r="CP17" s="6">
        <v>105.0666667</v>
      </c>
      <c r="CQ17" s="6">
        <v>102.2857143</v>
      </c>
      <c r="CR17" s="6">
        <v>92.2</v>
      </c>
      <c r="CS17" s="6">
        <v>114.2727273</v>
      </c>
      <c r="CT17" s="6">
        <v>95.909090910000003</v>
      </c>
    </row>
    <row r="18" spans="2:98" x14ac:dyDescent="0.25">
      <c r="B18">
        <v>2000</v>
      </c>
      <c r="C18" s="6">
        <v>382</v>
      </c>
      <c r="D18" s="6">
        <v>387.42857140000001</v>
      </c>
      <c r="E18" s="6">
        <v>390.8</v>
      </c>
      <c r="F18" s="6">
        <v>381.54545450000001</v>
      </c>
      <c r="G18" s="6">
        <v>378.54545450000001</v>
      </c>
      <c r="I18" s="7">
        <v>2000</v>
      </c>
      <c r="J18" s="5">
        <v>5.98</v>
      </c>
      <c r="K18" s="5">
        <v>7.6714285709999999</v>
      </c>
      <c r="L18" s="5">
        <v>7.05</v>
      </c>
      <c r="M18" s="5">
        <v>6.0272727269999997</v>
      </c>
      <c r="N18" s="5">
        <v>9.4909090910000007</v>
      </c>
      <c r="P18" s="7">
        <v>2000</v>
      </c>
      <c r="Q18" s="6">
        <v>6.88</v>
      </c>
      <c r="R18" s="6">
        <v>8.6142857139999993</v>
      </c>
      <c r="S18" s="6">
        <v>7.89</v>
      </c>
      <c r="T18" s="6">
        <v>6.7636363639999999</v>
      </c>
      <c r="U18" s="6">
        <v>10.06363636</v>
      </c>
      <c r="V18" s="5"/>
      <c r="W18" s="7">
        <v>2000</v>
      </c>
      <c r="X18" s="6">
        <v>76.806666669999998</v>
      </c>
      <c r="Y18" s="6">
        <v>89.385714289999996</v>
      </c>
      <c r="Z18" s="6">
        <v>83.24</v>
      </c>
      <c r="AA18" s="6">
        <v>90.218181819999998</v>
      </c>
      <c r="AB18" s="6">
        <v>114.37272729999999</v>
      </c>
      <c r="AC18" s="5"/>
      <c r="AD18" s="7">
        <v>2000</v>
      </c>
      <c r="AE18" s="5">
        <f t="shared" si="1"/>
        <v>7.6806666669999997</v>
      </c>
      <c r="AF18" s="5">
        <f t="shared" si="2"/>
        <v>8.9385714289999996</v>
      </c>
      <c r="AG18" s="5">
        <f t="shared" si="3"/>
        <v>8.3239999999999998</v>
      </c>
      <c r="AH18" s="5">
        <f t="shared" si="4"/>
        <v>9.0218181820000005</v>
      </c>
      <c r="AI18" s="5">
        <f t="shared" si="5"/>
        <v>11.43727273</v>
      </c>
      <c r="AJ18" s="5"/>
      <c r="AK18" s="7">
        <v>2000</v>
      </c>
      <c r="AL18" s="6">
        <v>990.92</v>
      </c>
      <c r="AM18" s="6">
        <v>893.08571429999995</v>
      </c>
      <c r="AN18" s="6">
        <v>946.81</v>
      </c>
      <c r="AO18" s="6">
        <v>1446.8272730000001</v>
      </c>
      <c r="AP18" s="6">
        <v>1142.3818180000001</v>
      </c>
      <c r="AQ18" s="5"/>
      <c r="AR18" s="7">
        <v>2000</v>
      </c>
      <c r="AS18" s="6">
        <v>537</v>
      </c>
      <c r="AT18" s="6">
        <v>534.07142859999999</v>
      </c>
      <c r="AU18" s="6">
        <v>539.44444439999995</v>
      </c>
      <c r="AV18" s="6">
        <v>538.18181819999995</v>
      </c>
      <c r="AW18" s="6">
        <v>530.9</v>
      </c>
      <c r="AX18" s="6"/>
      <c r="AY18" s="6">
        <v>12.4</v>
      </c>
      <c r="AZ18" s="6">
        <v>11.64285714</v>
      </c>
      <c r="BA18" s="6">
        <v>11.4</v>
      </c>
      <c r="BB18" s="6">
        <v>10.545454550000001</v>
      </c>
      <c r="BC18" s="6">
        <v>6.1818181819999998</v>
      </c>
      <c r="BD18" s="6"/>
      <c r="BE18" s="7">
        <v>2000</v>
      </c>
      <c r="BF18" s="5">
        <v>0.9</v>
      </c>
      <c r="BG18" s="5">
        <v>0.94285714300000001</v>
      </c>
      <c r="BH18" s="5">
        <v>0.84</v>
      </c>
      <c r="BI18" s="5">
        <v>0.73636363599999999</v>
      </c>
      <c r="BJ18" s="5">
        <v>0.57272727300000004</v>
      </c>
      <c r="BK18" s="5"/>
      <c r="BL18" s="7">
        <v>2000</v>
      </c>
      <c r="BM18" s="6">
        <v>552</v>
      </c>
      <c r="BN18" s="6">
        <v>551.35714289999999</v>
      </c>
      <c r="BO18" s="6">
        <v>550.70000000000005</v>
      </c>
      <c r="BP18" s="6">
        <v>552.45454549999999</v>
      </c>
      <c r="BQ18" s="6">
        <v>538.18181819999995</v>
      </c>
      <c r="BR18" s="6"/>
      <c r="BS18" s="7">
        <v>2000</v>
      </c>
      <c r="BT18" s="6">
        <v>315.53333329999998</v>
      </c>
      <c r="BU18" s="6">
        <v>323</v>
      </c>
      <c r="BV18" s="6">
        <v>331.4</v>
      </c>
      <c r="BW18" s="6">
        <v>327.18181820000001</v>
      </c>
      <c r="BX18" s="6">
        <v>315.27272729999999</v>
      </c>
      <c r="BY18" s="6"/>
      <c r="BZ18" s="7">
        <v>2000</v>
      </c>
      <c r="CA18" s="5">
        <v>175.24</v>
      </c>
      <c r="CB18" s="5">
        <v>167.16428569999999</v>
      </c>
      <c r="CC18" s="5">
        <v>171.48</v>
      </c>
      <c r="CD18" s="5">
        <v>210.7636364</v>
      </c>
      <c r="CE18" s="5">
        <v>188.44545450000001</v>
      </c>
      <c r="CG18" s="7">
        <v>2000</v>
      </c>
      <c r="CH18" s="6">
        <v>400.46666670000002</v>
      </c>
      <c r="CI18" s="6">
        <v>403.85714289999999</v>
      </c>
      <c r="CJ18" s="6">
        <v>407.2</v>
      </c>
      <c r="CK18" s="6">
        <v>398.72727270000001</v>
      </c>
      <c r="CL18" s="6">
        <v>388.36363640000002</v>
      </c>
      <c r="CM18" s="6"/>
      <c r="CN18" s="5"/>
      <c r="CO18" s="7">
        <v>2000</v>
      </c>
      <c r="CP18" s="6">
        <v>141.66666670000001</v>
      </c>
      <c r="CQ18" s="6">
        <v>146.64285709999999</v>
      </c>
      <c r="CR18" s="6">
        <v>132.1</v>
      </c>
      <c r="CS18" s="6">
        <v>156.63636360000001</v>
      </c>
      <c r="CT18" s="6">
        <v>136.54545450000001</v>
      </c>
    </row>
    <row r="19" spans="2:98" x14ac:dyDescent="0.25">
      <c r="B19">
        <v>2001</v>
      </c>
      <c r="C19" s="6">
        <v>386.7142857</v>
      </c>
      <c r="D19" s="6">
        <v>400.64285710000001</v>
      </c>
      <c r="E19" s="6">
        <v>407.9</v>
      </c>
      <c r="F19" s="6">
        <v>386.90909090000002</v>
      </c>
      <c r="G19" s="6">
        <v>389.72727270000001</v>
      </c>
      <c r="I19" s="7">
        <v>2001</v>
      </c>
      <c r="J19" s="5">
        <v>5.3571428570000004</v>
      </c>
      <c r="K19" s="5">
        <v>6.042857143</v>
      </c>
      <c r="L19" s="5">
        <v>6.63</v>
      </c>
      <c r="M19" s="5">
        <v>4.7727272730000001</v>
      </c>
      <c r="N19" s="5">
        <v>8.5363636360000008</v>
      </c>
      <c r="P19" s="7">
        <v>2001</v>
      </c>
      <c r="Q19" s="6">
        <v>6.45</v>
      </c>
      <c r="R19" s="6">
        <v>7.1571428570000002</v>
      </c>
      <c r="S19" s="6">
        <v>7.74</v>
      </c>
      <c r="T19" s="6">
        <v>5.6727272729999996</v>
      </c>
      <c r="U19" s="6">
        <v>9.7909090909999996</v>
      </c>
      <c r="V19" s="5"/>
      <c r="W19" s="7">
        <v>2001</v>
      </c>
      <c r="X19" s="6">
        <v>76.849999999999994</v>
      </c>
      <c r="Y19" s="6">
        <v>79.507142860000002</v>
      </c>
      <c r="Z19" s="6">
        <v>85.79</v>
      </c>
      <c r="AA19" s="6">
        <v>78.436363639999996</v>
      </c>
      <c r="AB19" s="6">
        <v>117.8545455</v>
      </c>
      <c r="AC19" s="5"/>
      <c r="AD19" s="7">
        <v>2001</v>
      </c>
      <c r="AE19" s="5">
        <f t="shared" si="1"/>
        <v>7.6849999999999996</v>
      </c>
      <c r="AF19" s="5">
        <f t="shared" si="2"/>
        <v>7.9507142860000002</v>
      </c>
      <c r="AG19" s="5">
        <f t="shared" si="3"/>
        <v>8.5790000000000006</v>
      </c>
      <c r="AH19" s="5">
        <f t="shared" si="4"/>
        <v>7.843636364</v>
      </c>
      <c r="AI19" s="5">
        <f t="shared" si="5"/>
        <v>11.785454550000001</v>
      </c>
      <c r="AJ19" s="5"/>
      <c r="AK19" s="7">
        <v>2001</v>
      </c>
      <c r="AL19" s="6">
        <v>1109.9000000000001</v>
      </c>
      <c r="AM19" s="6">
        <v>972.58571429999995</v>
      </c>
      <c r="AN19" s="6">
        <v>1032.6199999999999</v>
      </c>
      <c r="AO19" s="6">
        <v>1525.272727</v>
      </c>
      <c r="AP19" s="6">
        <v>1260.2181820000001</v>
      </c>
      <c r="AQ19" s="5"/>
      <c r="AR19" s="7">
        <v>2001</v>
      </c>
      <c r="AS19" s="6">
        <v>550</v>
      </c>
      <c r="AT19" s="6">
        <v>542.57142859999999</v>
      </c>
      <c r="AU19" s="6">
        <v>547.79999999999995</v>
      </c>
      <c r="AV19" s="6">
        <v>546.79999999999995</v>
      </c>
      <c r="AW19" s="6">
        <v>532.88888889999998</v>
      </c>
      <c r="AX19" s="6"/>
      <c r="AY19" s="6">
        <v>15.71428571</v>
      </c>
      <c r="AZ19" s="6">
        <v>18.14285714</v>
      </c>
      <c r="BA19" s="6">
        <v>14.6</v>
      </c>
      <c r="BB19" s="6">
        <v>14.454545449999999</v>
      </c>
      <c r="BC19" s="6">
        <v>14.636363640000001</v>
      </c>
      <c r="BD19" s="6"/>
      <c r="BE19" s="7">
        <v>2001</v>
      </c>
      <c r="BF19" s="5">
        <v>1.092857143</v>
      </c>
      <c r="BG19" s="5">
        <v>1.114285714</v>
      </c>
      <c r="BH19" s="5">
        <v>1.1100000000000001</v>
      </c>
      <c r="BI19" s="5">
        <v>0.9</v>
      </c>
      <c r="BJ19" s="5">
        <v>1.2545454549999999</v>
      </c>
      <c r="BK19" s="5"/>
      <c r="BL19" s="7">
        <v>2001</v>
      </c>
      <c r="BM19" s="6">
        <v>574.07142859999999</v>
      </c>
      <c r="BN19" s="6">
        <v>565.35714289999999</v>
      </c>
      <c r="BO19" s="6">
        <v>575.29999999999995</v>
      </c>
      <c r="BP19" s="6">
        <v>557.36363640000002</v>
      </c>
      <c r="BQ19" s="6">
        <v>543.72727269999996</v>
      </c>
      <c r="BR19" s="6"/>
      <c r="BS19" s="7">
        <v>2001</v>
      </c>
      <c r="BT19" s="6">
        <v>341.92857140000001</v>
      </c>
      <c r="BU19" s="6">
        <v>351.07142859999999</v>
      </c>
      <c r="BV19" s="6">
        <v>353.4</v>
      </c>
      <c r="BW19" s="6">
        <v>341.36363640000002</v>
      </c>
      <c r="BX19" s="6">
        <v>333.36363640000002</v>
      </c>
      <c r="BY19" s="6"/>
      <c r="BZ19" s="7">
        <v>2001</v>
      </c>
      <c r="CA19" s="5">
        <v>186.13571429999999</v>
      </c>
      <c r="CB19" s="5">
        <v>174.32142859999999</v>
      </c>
      <c r="CC19" s="5">
        <v>179.22</v>
      </c>
      <c r="CD19" s="5">
        <v>216.43636359999999</v>
      </c>
      <c r="CE19" s="5">
        <v>198.2363636</v>
      </c>
      <c r="CG19" s="7">
        <v>2001</v>
      </c>
      <c r="CH19" s="6">
        <v>411.64285710000001</v>
      </c>
      <c r="CI19" s="6">
        <v>424.85714289999999</v>
      </c>
      <c r="CJ19" s="6">
        <v>428.8</v>
      </c>
      <c r="CK19" s="6">
        <v>410.54545450000001</v>
      </c>
      <c r="CL19" s="6">
        <v>410.90909090000002</v>
      </c>
      <c r="CM19" s="6"/>
      <c r="CN19" s="5"/>
      <c r="CO19" s="7">
        <v>2001</v>
      </c>
      <c r="CP19" s="6">
        <v>148</v>
      </c>
      <c r="CQ19" s="6">
        <v>141.92857140000001</v>
      </c>
      <c r="CR19" s="6">
        <v>139.9</v>
      </c>
      <c r="CS19" s="6">
        <v>149.36363639999999</v>
      </c>
      <c r="CT19" s="6">
        <v>111.7272727</v>
      </c>
    </row>
    <row r="20" spans="2:98" x14ac:dyDescent="0.25">
      <c r="B20">
        <v>2002</v>
      </c>
      <c r="C20" s="6">
        <v>390.7857143</v>
      </c>
      <c r="D20" s="6">
        <v>391</v>
      </c>
      <c r="E20" s="6">
        <v>405.9</v>
      </c>
      <c r="F20" s="6">
        <v>391.45454549999999</v>
      </c>
      <c r="G20" s="6">
        <v>387.81818179999999</v>
      </c>
      <c r="I20" s="7">
        <v>2002</v>
      </c>
      <c r="J20" s="5">
        <v>3.771428571</v>
      </c>
      <c r="K20" s="5">
        <v>5.4857142860000003</v>
      </c>
      <c r="L20" s="5">
        <v>6.12</v>
      </c>
      <c r="M20" s="5">
        <v>4.1454545449999998</v>
      </c>
      <c r="N20" s="5">
        <v>7.3636363640000004</v>
      </c>
      <c r="P20" s="7">
        <v>2002</v>
      </c>
      <c r="Q20" s="6">
        <v>4.8857142859999998</v>
      </c>
      <c r="R20" s="6">
        <v>6.9428571430000003</v>
      </c>
      <c r="S20" s="6">
        <v>7.86</v>
      </c>
      <c r="T20" s="6">
        <v>5.2636363639999999</v>
      </c>
      <c r="U20" s="6">
        <v>8.5363636360000008</v>
      </c>
      <c r="V20" s="5"/>
      <c r="W20" s="7">
        <v>2002</v>
      </c>
      <c r="X20" s="6">
        <v>59.828571429999997</v>
      </c>
      <c r="Y20" s="6">
        <v>80.357142859999996</v>
      </c>
      <c r="Z20" s="6">
        <v>90.78</v>
      </c>
      <c r="AA20" s="6">
        <v>74.154545450000001</v>
      </c>
      <c r="AB20" s="6">
        <v>108.82727269999999</v>
      </c>
      <c r="AC20" s="5"/>
      <c r="AD20" s="7">
        <v>2002</v>
      </c>
      <c r="AE20" s="5">
        <f t="shared" si="1"/>
        <v>5.9828571429999995</v>
      </c>
      <c r="AF20" s="5">
        <f t="shared" si="2"/>
        <v>8.0357142859999993</v>
      </c>
      <c r="AG20" s="5">
        <f t="shared" si="3"/>
        <v>9.0779999999999994</v>
      </c>
      <c r="AH20" s="5">
        <f t="shared" si="4"/>
        <v>7.4154545450000002</v>
      </c>
      <c r="AI20" s="5">
        <f t="shared" si="5"/>
        <v>10.88272727</v>
      </c>
      <c r="AJ20" s="5"/>
      <c r="AK20" s="7">
        <v>2002</v>
      </c>
      <c r="AL20" s="6">
        <v>1169.7285710000001</v>
      </c>
      <c r="AM20" s="6">
        <v>1052.9571430000001</v>
      </c>
      <c r="AN20" s="6">
        <v>1123.4000000000001</v>
      </c>
      <c r="AO20" s="6">
        <v>1599.445455</v>
      </c>
      <c r="AP20" s="6">
        <v>1369.054545</v>
      </c>
      <c r="AQ20" s="5"/>
      <c r="AR20" s="7">
        <v>2002</v>
      </c>
      <c r="AS20" s="6">
        <v>563.57142859999999</v>
      </c>
      <c r="AT20" s="6">
        <v>547.07142859999999</v>
      </c>
      <c r="AU20" s="6">
        <v>554.5</v>
      </c>
      <c r="AV20" s="6">
        <v>548.27272730000004</v>
      </c>
      <c r="AW20" s="6">
        <v>535.70000000000005</v>
      </c>
      <c r="AX20" s="6"/>
      <c r="AY20" s="6">
        <v>22.64285714</v>
      </c>
      <c r="AZ20" s="6">
        <v>22.071428569999998</v>
      </c>
      <c r="BA20" s="6">
        <v>23.3</v>
      </c>
      <c r="BB20" s="6">
        <v>20.454545450000001</v>
      </c>
      <c r="BC20" s="6">
        <v>15</v>
      </c>
      <c r="BD20" s="6"/>
      <c r="BE20" s="7">
        <v>2002</v>
      </c>
      <c r="BF20" s="5">
        <v>1.114285714</v>
      </c>
      <c r="BG20" s="5">
        <v>1.457142857</v>
      </c>
      <c r="BH20" s="5">
        <v>1.74</v>
      </c>
      <c r="BI20" s="5">
        <v>1.118181818</v>
      </c>
      <c r="BJ20" s="5">
        <v>1.172727273</v>
      </c>
      <c r="BK20" s="5"/>
      <c r="BL20" s="7">
        <v>2002</v>
      </c>
      <c r="BM20" s="6">
        <v>593.35714289999999</v>
      </c>
      <c r="BN20" s="6">
        <v>570.57142859999999</v>
      </c>
      <c r="BO20" s="6">
        <v>591.20000000000005</v>
      </c>
      <c r="BP20" s="6">
        <v>585.81818180000005</v>
      </c>
      <c r="BQ20" s="6">
        <v>557.27272730000004</v>
      </c>
      <c r="BR20" s="6"/>
      <c r="BS20" s="7">
        <v>2002</v>
      </c>
      <c r="BT20" s="6">
        <v>334.2857143</v>
      </c>
      <c r="BU20" s="6">
        <v>339.64285710000001</v>
      </c>
      <c r="BV20" s="6">
        <v>350.7</v>
      </c>
      <c r="BW20" s="6">
        <v>340.45454549999999</v>
      </c>
      <c r="BX20" s="6">
        <v>326.72727270000001</v>
      </c>
      <c r="BY20" s="6"/>
      <c r="BZ20" s="7">
        <v>2002</v>
      </c>
      <c r="CA20" s="5">
        <v>191.02142860000001</v>
      </c>
      <c r="CB20" s="5">
        <v>181.26428569999999</v>
      </c>
      <c r="CC20" s="5">
        <v>187.08</v>
      </c>
      <c r="CD20" s="5">
        <v>221.7</v>
      </c>
      <c r="CE20" s="5">
        <v>206.77272730000001</v>
      </c>
      <c r="CG20" s="7">
        <v>2002</v>
      </c>
      <c r="CH20" s="6">
        <v>429</v>
      </c>
      <c r="CI20" s="6">
        <v>426.07142859999999</v>
      </c>
      <c r="CJ20" s="6">
        <v>440.5</v>
      </c>
      <c r="CK20" s="6">
        <v>423.54545450000001</v>
      </c>
      <c r="CL20" s="6">
        <v>410.63636359999998</v>
      </c>
      <c r="CM20" s="6"/>
      <c r="CN20" s="5"/>
      <c r="CO20" s="7">
        <v>2002</v>
      </c>
      <c r="CP20" s="6">
        <v>172.7857143</v>
      </c>
      <c r="CQ20" s="6">
        <v>156.07142859999999</v>
      </c>
      <c r="CR20" s="6">
        <v>148.6</v>
      </c>
      <c r="CS20" s="6">
        <v>156.81818179999999</v>
      </c>
      <c r="CT20" s="6">
        <v>131.45454549999999</v>
      </c>
    </row>
    <row r="21" spans="2:98" x14ac:dyDescent="0.25">
      <c r="B21">
        <v>2003</v>
      </c>
      <c r="C21" s="6">
        <v>398.85714289999999</v>
      </c>
      <c r="D21" s="6">
        <v>399.07142859999999</v>
      </c>
      <c r="E21" s="6">
        <v>410</v>
      </c>
      <c r="F21" s="6">
        <v>394.36363640000002</v>
      </c>
      <c r="G21" s="6">
        <v>388.45454549999999</v>
      </c>
      <c r="I21" s="7">
        <v>2003</v>
      </c>
      <c r="J21" s="5">
        <v>4.7785714290000003</v>
      </c>
      <c r="K21" s="5">
        <v>5.2285714289999996</v>
      </c>
      <c r="L21" s="5">
        <v>7.65</v>
      </c>
      <c r="M21" s="5">
        <v>5.4272727270000001</v>
      </c>
      <c r="N21" s="5">
        <v>7.9363636360000003</v>
      </c>
      <c r="P21" s="7">
        <v>2003</v>
      </c>
      <c r="Q21" s="6">
        <v>5.7</v>
      </c>
      <c r="R21" s="6">
        <v>5.8071428569999997</v>
      </c>
      <c r="S21" s="6">
        <v>8.64</v>
      </c>
      <c r="T21" s="6">
        <v>6</v>
      </c>
      <c r="U21" s="6">
        <v>8.2090909090000004</v>
      </c>
      <c r="V21" s="5"/>
      <c r="W21" s="7">
        <v>2003</v>
      </c>
      <c r="X21" s="6">
        <v>72.307142859999999</v>
      </c>
      <c r="Y21" s="6">
        <v>69.635714289999996</v>
      </c>
      <c r="Z21" s="6">
        <v>104.76</v>
      </c>
      <c r="AA21" s="6">
        <v>85.472727269999993</v>
      </c>
      <c r="AB21" s="6">
        <v>109.5363636</v>
      </c>
      <c r="AC21" s="5"/>
      <c r="AD21" s="7">
        <v>2003</v>
      </c>
      <c r="AE21" s="5">
        <f t="shared" si="1"/>
        <v>7.2307142859999995</v>
      </c>
      <c r="AF21" s="5">
        <f t="shared" si="2"/>
        <v>6.9635714289999999</v>
      </c>
      <c r="AG21" s="5">
        <f t="shared" si="3"/>
        <v>10.476000000000001</v>
      </c>
      <c r="AH21" s="5">
        <f t="shared" si="4"/>
        <v>8.5472727269999993</v>
      </c>
      <c r="AI21" s="5">
        <f t="shared" si="5"/>
        <v>10.953636360000001</v>
      </c>
      <c r="AJ21" s="5"/>
      <c r="AK21" s="7">
        <v>2003</v>
      </c>
      <c r="AL21" s="6">
        <v>1242.0357140000001</v>
      </c>
      <c r="AM21" s="6">
        <v>1122.5999999999999</v>
      </c>
      <c r="AN21" s="6">
        <v>1228.1500000000001</v>
      </c>
      <c r="AO21" s="6">
        <v>1684.927273</v>
      </c>
      <c r="AP21" s="6">
        <v>1478.6</v>
      </c>
      <c r="AQ21" s="5"/>
      <c r="AR21" s="7">
        <v>2003</v>
      </c>
      <c r="AS21" s="6">
        <v>544.33333330000005</v>
      </c>
      <c r="AT21" s="6">
        <v>536.1</v>
      </c>
      <c r="AU21" s="6">
        <v>535.70000000000005</v>
      </c>
      <c r="AV21" s="6">
        <v>539.18181819999995</v>
      </c>
      <c r="AW21" s="6">
        <v>535.7142857</v>
      </c>
      <c r="AX21" s="6"/>
      <c r="AY21" s="6">
        <v>16.428571430000002</v>
      </c>
      <c r="AZ21" s="6">
        <v>11.57142857</v>
      </c>
      <c r="BA21" s="6">
        <v>12</v>
      </c>
      <c r="BB21" s="6">
        <v>9.5454545450000001</v>
      </c>
      <c r="BC21" s="6">
        <v>4.2727272730000001</v>
      </c>
      <c r="BD21" s="6"/>
      <c r="BE21" s="7">
        <v>2003</v>
      </c>
      <c r="BF21" s="5">
        <v>0.92142857099999997</v>
      </c>
      <c r="BG21" s="5">
        <v>0.57857142900000003</v>
      </c>
      <c r="BH21" s="5">
        <v>0.99</v>
      </c>
      <c r="BI21" s="5">
        <v>0.57272727300000004</v>
      </c>
      <c r="BJ21" s="5">
        <v>0.27272727299999999</v>
      </c>
      <c r="BK21" s="5"/>
      <c r="BL21" s="7">
        <v>2003</v>
      </c>
      <c r="BM21" s="6">
        <v>553.64285710000001</v>
      </c>
      <c r="BN21" s="6">
        <v>533.64285710000001</v>
      </c>
      <c r="BO21" s="6">
        <v>556.29999999999995</v>
      </c>
      <c r="BP21" s="6">
        <v>550</v>
      </c>
      <c r="BQ21" s="6">
        <v>517.54545450000001</v>
      </c>
      <c r="BR21" s="6"/>
      <c r="BS21" s="7">
        <v>2003</v>
      </c>
      <c r="BT21" s="6">
        <v>359.92857140000001</v>
      </c>
      <c r="BU21" s="6">
        <v>356.2857143</v>
      </c>
      <c r="BV21" s="6">
        <v>356.3</v>
      </c>
      <c r="BW21" s="6">
        <v>343.72727270000001</v>
      </c>
      <c r="BX21" s="6">
        <v>339.18181820000001</v>
      </c>
      <c r="BY21" s="6"/>
      <c r="BZ21" s="7">
        <v>2003</v>
      </c>
      <c r="CA21" s="5">
        <v>196.7214286</v>
      </c>
      <c r="CB21" s="5">
        <v>187.07142859999999</v>
      </c>
      <c r="CC21" s="5">
        <v>195.72</v>
      </c>
      <c r="CD21" s="5">
        <v>227.7</v>
      </c>
      <c r="CE21" s="5">
        <v>214.98181819999999</v>
      </c>
      <c r="CG21" s="7">
        <v>2003</v>
      </c>
      <c r="CH21" s="6">
        <v>421.64285710000001</v>
      </c>
      <c r="CI21" s="6">
        <v>414.5</v>
      </c>
      <c r="CJ21" s="6">
        <v>425.8</v>
      </c>
      <c r="CK21" s="6">
        <v>408.27272729999999</v>
      </c>
      <c r="CL21" s="6">
        <v>395.90909090000002</v>
      </c>
      <c r="CM21" s="6"/>
      <c r="CN21" s="5"/>
      <c r="CO21" s="7">
        <v>2003</v>
      </c>
      <c r="CP21" s="6">
        <v>120.6428571</v>
      </c>
      <c r="CQ21" s="6">
        <v>97.785714290000001</v>
      </c>
      <c r="CR21" s="6">
        <v>125.7</v>
      </c>
      <c r="CS21" s="6">
        <v>144.81818179999999</v>
      </c>
      <c r="CT21" s="6">
        <v>90.454545449999998</v>
      </c>
    </row>
    <row r="22" spans="2:98" x14ac:dyDescent="0.25">
      <c r="B22">
        <v>2004</v>
      </c>
      <c r="C22" s="6">
        <v>401.07142859999999</v>
      </c>
      <c r="D22" s="6">
        <v>402.7857143</v>
      </c>
      <c r="E22" s="6">
        <v>399.2</v>
      </c>
      <c r="F22" s="6">
        <v>390.63636359999998</v>
      </c>
      <c r="G22" s="6">
        <v>388.36363640000002</v>
      </c>
      <c r="I22" s="7">
        <v>2004</v>
      </c>
      <c r="J22" s="5">
        <v>3.9</v>
      </c>
      <c r="K22" s="5">
        <v>4.3285714290000001</v>
      </c>
      <c r="L22" s="5">
        <v>6.03</v>
      </c>
      <c r="M22" s="5">
        <v>4.1454545449999998</v>
      </c>
      <c r="N22" s="5">
        <v>5.9727272730000003</v>
      </c>
      <c r="P22" s="7">
        <v>2004</v>
      </c>
      <c r="Q22" s="6">
        <v>4.95</v>
      </c>
      <c r="R22" s="6">
        <v>5.0357142860000002</v>
      </c>
      <c r="S22" s="6">
        <v>7.5</v>
      </c>
      <c r="T22" s="6">
        <v>5.3454545449999999</v>
      </c>
      <c r="U22" s="6">
        <v>6.6272727270000003</v>
      </c>
      <c r="V22" s="5"/>
      <c r="W22" s="7">
        <v>2004</v>
      </c>
      <c r="X22" s="6">
        <v>64.378571429999994</v>
      </c>
      <c r="Y22" s="6">
        <v>62.985714289999997</v>
      </c>
      <c r="Z22" s="6">
        <v>95.97</v>
      </c>
      <c r="AA22" s="6">
        <v>79.309090909999995</v>
      </c>
      <c r="AB22" s="6">
        <v>92.572727270000001</v>
      </c>
      <c r="AC22" s="5"/>
      <c r="AD22" s="7">
        <v>2004</v>
      </c>
      <c r="AE22" s="5">
        <f t="shared" si="1"/>
        <v>6.4378571429999996</v>
      </c>
      <c r="AF22" s="5">
        <f t="shared" si="2"/>
        <v>6.2985714289999999</v>
      </c>
      <c r="AG22" s="5">
        <f t="shared" si="3"/>
        <v>9.5969999999999995</v>
      </c>
      <c r="AH22" s="5">
        <f t="shared" si="4"/>
        <v>7.9309090909999993</v>
      </c>
      <c r="AI22" s="5">
        <f t="shared" si="5"/>
        <v>9.2572727270000001</v>
      </c>
      <c r="AJ22" s="5"/>
      <c r="AK22" s="7">
        <v>2004</v>
      </c>
      <c r="AL22" s="6">
        <v>1306.45</v>
      </c>
      <c r="AM22" s="6">
        <v>1185.578571</v>
      </c>
      <c r="AN22" s="6">
        <v>1324.1</v>
      </c>
      <c r="AO22" s="6">
        <v>1764.254545</v>
      </c>
      <c r="AP22" s="6">
        <v>1571.163636</v>
      </c>
      <c r="AQ22" s="5"/>
      <c r="AR22" s="7">
        <v>2004</v>
      </c>
      <c r="AS22" s="6">
        <v>554.69230770000001</v>
      </c>
      <c r="AT22" s="6">
        <v>534.72727269999996</v>
      </c>
      <c r="AU22" s="6">
        <v>539.9</v>
      </c>
      <c r="AV22" s="6">
        <v>550.4</v>
      </c>
      <c r="AW22" s="6">
        <v>529.77777779999997</v>
      </c>
      <c r="AX22" s="6"/>
      <c r="AY22" s="6">
        <v>20.928571430000002</v>
      </c>
      <c r="AZ22" s="6">
        <v>12.64285714</v>
      </c>
      <c r="BA22" s="6">
        <v>21.1</v>
      </c>
      <c r="BB22" s="6">
        <v>19.636363639999999</v>
      </c>
      <c r="BC22" s="6">
        <v>10.81818182</v>
      </c>
      <c r="BD22" s="6"/>
      <c r="BE22" s="7">
        <v>2004</v>
      </c>
      <c r="BF22" s="5">
        <v>1.05</v>
      </c>
      <c r="BG22" s="5">
        <v>0.70714285700000001</v>
      </c>
      <c r="BH22" s="5">
        <v>1.47</v>
      </c>
      <c r="BI22" s="5">
        <v>1.2</v>
      </c>
      <c r="BJ22" s="5">
        <v>0.65454545500000005</v>
      </c>
      <c r="BK22" s="5"/>
      <c r="BL22" s="7">
        <v>2004</v>
      </c>
      <c r="BM22" s="6">
        <v>575.64285710000001</v>
      </c>
      <c r="BN22" s="6">
        <v>541.85714289999999</v>
      </c>
      <c r="BO22" s="6">
        <v>559.20000000000005</v>
      </c>
      <c r="BP22" s="6">
        <v>563.63636359999998</v>
      </c>
      <c r="BQ22" s="6">
        <v>533.90909090000002</v>
      </c>
      <c r="BR22" s="6"/>
      <c r="BS22" s="7">
        <v>2004</v>
      </c>
      <c r="BT22" s="6">
        <v>351.57142859999999</v>
      </c>
      <c r="BU22" s="6">
        <v>356.85714289999999</v>
      </c>
      <c r="BV22" s="6">
        <v>353.2</v>
      </c>
      <c r="BW22" s="6">
        <v>344.27272729999999</v>
      </c>
      <c r="BX22" s="6">
        <v>330.81818179999999</v>
      </c>
      <c r="BY22" s="6"/>
      <c r="BZ22" s="7">
        <v>2004</v>
      </c>
      <c r="CA22" s="5">
        <v>201.67142860000001</v>
      </c>
      <c r="CB22" s="5">
        <v>192.10714290000001</v>
      </c>
      <c r="CC22" s="5">
        <v>203.22</v>
      </c>
      <c r="CD22" s="5">
        <v>233.04545450000001</v>
      </c>
      <c r="CE22" s="5">
        <v>221.60909090000001</v>
      </c>
      <c r="CG22" s="7">
        <v>2004</v>
      </c>
      <c r="CH22" s="6">
        <v>432.14285710000001</v>
      </c>
      <c r="CI22" s="6">
        <v>419.64285710000001</v>
      </c>
      <c r="CJ22" s="6">
        <v>429</v>
      </c>
      <c r="CK22" s="6">
        <v>423.45454549999999</v>
      </c>
      <c r="CL22" s="6">
        <v>403.45454549999999</v>
      </c>
      <c r="CM22" s="6"/>
      <c r="CN22" s="5"/>
      <c r="CO22" s="7">
        <v>2004</v>
      </c>
      <c r="CP22" s="6">
        <v>137.5</v>
      </c>
      <c r="CQ22" s="6">
        <v>104.5</v>
      </c>
      <c r="CR22" s="6">
        <v>140.69999999999999</v>
      </c>
      <c r="CS22" s="6">
        <v>146</v>
      </c>
      <c r="CT22" s="6">
        <v>111.0909091</v>
      </c>
    </row>
    <row r="23" spans="2:98" x14ac:dyDescent="0.25">
      <c r="B23">
        <v>2005</v>
      </c>
      <c r="C23" s="6">
        <v>415.92857140000001</v>
      </c>
      <c r="D23" s="6">
        <v>410.85714289999999</v>
      </c>
      <c r="E23" s="6">
        <v>410.55555559999999</v>
      </c>
      <c r="F23" s="6">
        <v>401.18181820000001</v>
      </c>
      <c r="G23" s="6">
        <v>348.63636359999998</v>
      </c>
      <c r="I23" s="7">
        <v>2005</v>
      </c>
      <c r="J23" s="5">
        <v>3.707142857</v>
      </c>
      <c r="K23" s="5">
        <v>3.75</v>
      </c>
      <c r="L23" s="5">
        <v>5.9333333330000002</v>
      </c>
      <c r="M23" s="5">
        <v>4.2545454549999997</v>
      </c>
      <c r="N23" s="5">
        <v>5.3727272729999997</v>
      </c>
      <c r="P23" s="7">
        <v>2005</v>
      </c>
      <c r="Q23" s="6">
        <v>4.4357142859999996</v>
      </c>
      <c r="R23" s="6">
        <v>4.1142857140000002</v>
      </c>
      <c r="S23" s="6">
        <v>6.6333333330000004</v>
      </c>
      <c r="T23" s="6">
        <v>4.7727272730000001</v>
      </c>
      <c r="U23" s="6">
        <v>5.6454545449999998</v>
      </c>
      <c r="V23" s="5"/>
      <c r="W23" s="7">
        <v>2005</v>
      </c>
      <c r="X23" s="6">
        <v>58.978571430000002</v>
      </c>
      <c r="Y23" s="6">
        <v>53.2</v>
      </c>
      <c r="Z23" s="6">
        <v>90.266666670000006</v>
      </c>
      <c r="AA23" s="6">
        <v>72.918181820000001</v>
      </c>
      <c r="AB23" s="6">
        <v>80.518181819999995</v>
      </c>
      <c r="AC23" s="5"/>
      <c r="AD23" s="7">
        <v>2005</v>
      </c>
      <c r="AE23" s="5">
        <f t="shared" si="1"/>
        <v>5.8978571430000004</v>
      </c>
      <c r="AF23" s="5">
        <f t="shared" si="2"/>
        <v>5.32</v>
      </c>
      <c r="AG23" s="5">
        <f t="shared" si="3"/>
        <v>9.0266666670000006</v>
      </c>
      <c r="AH23" s="5">
        <f t="shared" si="4"/>
        <v>7.2918181820000001</v>
      </c>
      <c r="AI23" s="5">
        <f t="shared" si="5"/>
        <v>8.0518181819999999</v>
      </c>
      <c r="AJ23" s="5"/>
      <c r="AK23" s="7">
        <v>2005</v>
      </c>
      <c r="AL23" s="6">
        <v>1365.4285709999999</v>
      </c>
      <c r="AM23" s="6">
        <v>1238.7928569999999</v>
      </c>
      <c r="AN23" s="6">
        <v>1490.3444440000001</v>
      </c>
      <c r="AO23" s="6">
        <v>1837.163636</v>
      </c>
      <c r="AP23" s="6">
        <v>1651.7</v>
      </c>
      <c r="AQ23" s="5"/>
      <c r="AR23" s="7">
        <v>2005</v>
      </c>
      <c r="AS23" s="6">
        <v>535.75</v>
      </c>
      <c r="AT23" s="6">
        <v>521.70000000000005</v>
      </c>
      <c r="AU23" s="6">
        <v>539.25</v>
      </c>
      <c r="AV23" s="6">
        <v>542.5</v>
      </c>
      <c r="AW23" s="6">
        <v>528</v>
      </c>
      <c r="AX23" s="6"/>
      <c r="AY23" s="6">
        <v>16.64285714</v>
      </c>
      <c r="AZ23" s="6">
        <v>13.5</v>
      </c>
      <c r="BA23" s="6">
        <v>9.7777777780000008</v>
      </c>
      <c r="BB23" s="6">
        <v>12.636363640000001</v>
      </c>
      <c r="BC23" s="6">
        <v>12.363636359999999</v>
      </c>
      <c r="BD23" s="6"/>
      <c r="BE23" s="7">
        <v>2005</v>
      </c>
      <c r="BF23" s="5">
        <v>0.72857142900000005</v>
      </c>
      <c r="BG23" s="5">
        <v>0.36428571399999998</v>
      </c>
      <c r="BH23" s="5">
        <v>0.7</v>
      </c>
      <c r="BI23" s="5">
        <v>0.51818181799999996</v>
      </c>
      <c r="BJ23" s="5">
        <v>0.27272727299999999</v>
      </c>
      <c r="BK23" s="5"/>
      <c r="BL23" s="7">
        <v>2005</v>
      </c>
      <c r="BM23" s="6">
        <v>538.85714289999999</v>
      </c>
      <c r="BN23" s="6">
        <v>516.92857140000001</v>
      </c>
      <c r="BO23" s="6">
        <v>550.44444439999995</v>
      </c>
      <c r="BP23" s="6">
        <v>551.27272730000004</v>
      </c>
      <c r="BQ23" s="6">
        <v>485.09090909999998</v>
      </c>
      <c r="BR23" s="6"/>
      <c r="BS23" s="7">
        <v>2005</v>
      </c>
      <c r="BT23" s="6">
        <v>368.7142857</v>
      </c>
      <c r="BU23" s="6">
        <v>361.92857140000001</v>
      </c>
      <c r="BV23" s="6">
        <v>360.11111110000002</v>
      </c>
      <c r="BW23" s="6">
        <v>355.54545450000001</v>
      </c>
      <c r="BX23" s="6">
        <v>349.09090909999998</v>
      </c>
      <c r="BY23" s="6"/>
      <c r="BZ23" s="7">
        <v>2005</v>
      </c>
      <c r="CA23" s="5">
        <v>206.10714290000001</v>
      </c>
      <c r="CB23" s="5">
        <v>196.2214286</v>
      </c>
      <c r="CC23" s="5">
        <v>216.56666670000001</v>
      </c>
      <c r="CD23" s="5">
        <v>237.81818179999999</v>
      </c>
      <c r="CE23" s="5">
        <v>227.25454550000001</v>
      </c>
      <c r="CG23" s="7">
        <v>2005</v>
      </c>
      <c r="CH23" s="6">
        <v>433.7857143</v>
      </c>
      <c r="CI23" s="6">
        <v>423.64285710000001</v>
      </c>
      <c r="CJ23" s="6">
        <v>424.44444440000001</v>
      </c>
      <c r="CK23" s="6">
        <v>418.63636359999998</v>
      </c>
      <c r="CL23" s="6">
        <v>402.27272729999999</v>
      </c>
      <c r="CM23" s="6"/>
      <c r="CN23" s="5"/>
      <c r="CO23" s="7">
        <v>2005</v>
      </c>
      <c r="CP23" s="6">
        <v>95.071428569999995</v>
      </c>
      <c r="CQ23" s="6">
        <v>71.785714290000001</v>
      </c>
      <c r="CR23" s="6">
        <v>116.55555560000001</v>
      </c>
      <c r="CS23" s="6">
        <v>130.81818179999999</v>
      </c>
      <c r="CT23" s="6">
        <v>97.363636360000001</v>
      </c>
    </row>
    <row r="24" spans="2:98" x14ac:dyDescent="0.25">
      <c r="B24">
        <v>2006</v>
      </c>
      <c r="C24" s="6">
        <v>410.2857143</v>
      </c>
      <c r="D24" s="6">
        <v>414.53846149999998</v>
      </c>
      <c r="E24" s="6">
        <v>413.22222219999998</v>
      </c>
      <c r="F24" s="6">
        <v>403.36363640000002</v>
      </c>
      <c r="G24" s="6">
        <v>398.81818179999999</v>
      </c>
      <c r="I24" s="7">
        <v>2006</v>
      </c>
      <c r="J24" s="5">
        <v>2.7428571430000002</v>
      </c>
      <c r="K24" s="5">
        <v>2.4</v>
      </c>
      <c r="L24" s="5">
        <v>3.9333333330000002</v>
      </c>
      <c r="M24" s="5">
        <v>3.0818181820000001</v>
      </c>
      <c r="N24" s="5">
        <v>3.5727272729999999</v>
      </c>
      <c r="P24" s="7">
        <v>2006</v>
      </c>
      <c r="Q24" s="6">
        <v>3.621428571</v>
      </c>
      <c r="R24" s="6">
        <v>2.7461538459999999</v>
      </c>
      <c r="S24" s="6">
        <v>4.733333333</v>
      </c>
      <c r="T24" s="6">
        <v>3.7090909089999999</v>
      </c>
      <c r="U24" s="6">
        <v>3.7363636360000001</v>
      </c>
      <c r="V24" s="5"/>
      <c r="W24" s="7">
        <v>2006</v>
      </c>
      <c r="X24" s="6">
        <v>49.021428569999998</v>
      </c>
      <c r="Y24" s="6">
        <v>36.053846149999998</v>
      </c>
      <c r="Z24" s="6">
        <v>65.644444440000001</v>
      </c>
      <c r="AA24" s="6">
        <v>55.718181819999998</v>
      </c>
      <c r="AB24" s="6">
        <v>53.409090910000003</v>
      </c>
      <c r="AC24" s="5"/>
      <c r="AD24" s="7">
        <v>2006</v>
      </c>
      <c r="AE24" s="5">
        <f t="shared" si="1"/>
        <v>4.9021428569999994</v>
      </c>
      <c r="AF24" s="5">
        <f t="shared" si="2"/>
        <v>3.6053846149999997</v>
      </c>
      <c r="AG24" s="5">
        <f t="shared" si="3"/>
        <v>6.5644444440000003</v>
      </c>
      <c r="AH24" s="5">
        <f t="shared" si="4"/>
        <v>5.5718181819999995</v>
      </c>
      <c r="AI24" s="5">
        <f t="shared" si="5"/>
        <v>5.3409090910000003</v>
      </c>
      <c r="AJ24" s="5"/>
      <c r="AK24" s="7">
        <v>2006</v>
      </c>
      <c r="AL24" s="6">
        <v>1414.442857</v>
      </c>
      <c r="AM24" s="6">
        <v>1317.2769229999999</v>
      </c>
      <c r="AN24" s="6">
        <v>1555.988889</v>
      </c>
      <c r="AO24" s="6">
        <v>1892.890909</v>
      </c>
      <c r="AP24" s="6">
        <v>1705.090909</v>
      </c>
      <c r="AQ24" s="5"/>
      <c r="AR24" s="7">
        <v>2006</v>
      </c>
      <c r="AS24" s="6">
        <v>542.09090909999998</v>
      </c>
      <c r="AT24" s="6">
        <v>530.57142859999999</v>
      </c>
      <c r="AU24" s="6">
        <v>539.22222220000003</v>
      </c>
      <c r="AV24" s="6">
        <v>547.63636359999998</v>
      </c>
      <c r="AW24" s="6">
        <v>520.5</v>
      </c>
      <c r="AX24" s="6"/>
      <c r="AY24" s="6">
        <v>23.071428569999998</v>
      </c>
      <c r="AZ24" s="6">
        <v>13.69230769</v>
      </c>
      <c r="BA24" s="6">
        <v>18.222222219999999</v>
      </c>
      <c r="BB24" s="6">
        <v>16.81818182</v>
      </c>
      <c r="BC24" s="6">
        <v>6.6363636359999996</v>
      </c>
      <c r="BD24" s="6"/>
      <c r="BE24" s="7">
        <v>2006</v>
      </c>
      <c r="BF24" s="5">
        <v>0.87857142899999996</v>
      </c>
      <c r="BG24" s="5">
        <v>0.34615384599999999</v>
      </c>
      <c r="BH24" s="5">
        <v>0.8</v>
      </c>
      <c r="BI24" s="5">
        <v>0.62727272700000003</v>
      </c>
      <c r="BJ24" s="5">
        <v>0.16363636400000001</v>
      </c>
      <c r="BK24" s="5"/>
      <c r="BL24" s="7">
        <v>2006</v>
      </c>
      <c r="BM24" s="6">
        <v>543</v>
      </c>
      <c r="BN24" s="6">
        <v>516.15384619999998</v>
      </c>
      <c r="BO24" s="6">
        <v>554.88888889999998</v>
      </c>
      <c r="BP24" s="6">
        <v>556.54545450000001</v>
      </c>
      <c r="BQ24" s="6">
        <v>478.54545450000001</v>
      </c>
      <c r="BR24" s="6"/>
      <c r="BS24" s="7">
        <v>2006</v>
      </c>
      <c r="BT24" s="6">
        <v>350.92857140000001</v>
      </c>
      <c r="BU24" s="6">
        <v>366.92307690000001</v>
      </c>
      <c r="BV24" s="6">
        <v>358.44444440000001</v>
      </c>
      <c r="BW24" s="6">
        <v>349.18181820000001</v>
      </c>
      <c r="BX24" s="6">
        <v>340.09090909999998</v>
      </c>
      <c r="BY24" s="6"/>
      <c r="BZ24" s="7">
        <v>2006</v>
      </c>
      <c r="CA24" s="5">
        <v>209.72857139999999</v>
      </c>
      <c r="CB24" s="5">
        <v>202.68461540000001</v>
      </c>
      <c r="CC24" s="5">
        <v>221.3</v>
      </c>
      <c r="CD24" s="5">
        <v>241.5272727</v>
      </c>
      <c r="CE24" s="5">
        <v>230.99090910000001</v>
      </c>
      <c r="CG24" s="7">
        <v>2006</v>
      </c>
      <c r="CH24" s="6">
        <v>439.85714289999999</v>
      </c>
      <c r="CI24" s="6">
        <v>430.84615380000002</v>
      </c>
      <c r="CJ24" s="6">
        <v>435.88888889999998</v>
      </c>
      <c r="CK24" s="6">
        <v>427.72727270000001</v>
      </c>
      <c r="CL24" s="6">
        <v>405.45454549999999</v>
      </c>
      <c r="CM24" s="6"/>
      <c r="CN24" s="5"/>
      <c r="CO24" s="7">
        <v>2006</v>
      </c>
      <c r="CP24" s="6">
        <v>97.285714290000001</v>
      </c>
      <c r="CQ24" s="6">
        <v>66.153846150000007</v>
      </c>
      <c r="CR24" s="6">
        <v>126</v>
      </c>
      <c r="CS24" s="6">
        <v>144.27272730000001</v>
      </c>
      <c r="CT24" s="6">
        <v>38.272727269999997</v>
      </c>
    </row>
    <row r="25" spans="2:98" x14ac:dyDescent="0.25">
      <c r="B25">
        <v>2007</v>
      </c>
      <c r="C25" s="6">
        <v>417.35714289999999</v>
      </c>
      <c r="D25" s="6">
        <v>418.53846149999998</v>
      </c>
      <c r="E25" s="6">
        <v>419</v>
      </c>
      <c r="F25" s="6">
        <v>414.27272729999999</v>
      </c>
      <c r="G25" s="6">
        <v>402.63636359999998</v>
      </c>
      <c r="I25" s="7">
        <v>2007</v>
      </c>
      <c r="J25" s="5">
        <v>1.8</v>
      </c>
      <c r="K25" s="5">
        <v>1.8923076919999999</v>
      </c>
      <c r="L25" s="5">
        <v>3.2</v>
      </c>
      <c r="M25" s="5">
        <v>2.7818181819999999</v>
      </c>
      <c r="N25" s="5">
        <v>2.8909090910000002</v>
      </c>
      <c r="P25" s="7">
        <v>2007</v>
      </c>
      <c r="Q25" s="6">
        <v>3.3857142859999998</v>
      </c>
      <c r="R25" s="6">
        <v>2.5153846149999999</v>
      </c>
      <c r="S25" s="6">
        <v>4.3666666669999996</v>
      </c>
      <c r="T25" s="6">
        <v>3.6818181820000002</v>
      </c>
      <c r="U25" s="6">
        <v>3.381818182</v>
      </c>
      <c r="V25" s="5"/>
      <c r="W25" s="7">
        <v>2007</v>
      </c>
      <c r="X25" s="6">
        <v>45.8</v>
      </c>
      <c r="Y25" s="6">
        <v>34.453846149999997</v>
      </c>
      <c r="Z25" s="6">
        <v>62.377777780000002</v>
      </c>
      <c r="AA25" s="6">
        <v>56.909090910000003</v>
      </c>
      <c r="AB25" s="6">
        <v>49.718181819999998</v>
      </c>
      <c r="AC25" s="5"/>
      <c r="AD25" s="7">
        <v>2007</v>
      </c>
      <c r="AE25" s="5">
        <f t="shared" si="1"/>
        <v>4.58</v>
      </c>
      <c r="AF25" s="5">
        <f t="shared" si="2"/>
        <v>3.4453846149999996</v>
      </c>
      <c r="AG25" s="5">
        <f t="shared" si="3"/>
        <v>6.2377777779999999</v>
      </c>
      <c r="AH25" s="5">
        <f t="shared" si="4"/>
        <v>5.690909091</v>
      </c>
      <c r="AI25" s="5">
        <f t="shared" si="5"/>
        <v>4.9718181819999998</v>
      </c>
      <c r="AJ25" s="5"/>
      <c r="AK25" s="7">
        <v>2007</v>
      </c>
      <c r="AL25" s="6">
        <v>1460.257143</v>
      </c>
      <c r="AM25" s="6">
        <v>1351.707692</v>
      </c>
      <c r="AN25" s="6">
        <v>1618.3444440000001</v>
      </c>
      <c r="AO25" s="6">
        <v>1949.8090910000001</v>
      </c>
      <c r="AP25" s="6">
        <v>1754.8090910000001</v>
      </c>
      <c r="AQ25" s="5"/>
      <c r="AR25" s="7">
        <v>2007</v>
      </c>
      <c r="AS25" s="6">
        <v>554.30769229999999</v>
      </c>
      <c r="AT25" s="6">
        <v>552.1</v>
      </c>
      <c r="AU25" s="6">
        <v>556.25</v>
      </c>
      <c r="AV25" s="6">
        <v>544</v>
      </c>
      <c r="AW25" s="6">
        <v>534.875</v>
      </c>
      <c r="AX25" s="6"/>
      <c r="AY25" s="6">
        <v>41.5</v>
      </c>
      <c r="AZ25" s="6">
        <v>24.30769231</v>
      </c>
      <c r="BA25" s="6">
        <v>27.444444440000002</v>
      </c>
      <c r="BB25" s="6">
        <v>25.636363639999999</v>
      </c>
      <c r="BC25" s="6">
        <v>13.636363640000001</v>
      </c>
      <c r="BD25" s="6"/>
      <c r="BE25" s="7">
        <v>2007</v>
      </c>
      <c r="BF25" s="5">
        <v>1.585714286</v>
      </c>
      <c r="BG25" s="5">
        <v>0.62307692299999995</v>
      </c>
      <c r="BH25" s="5">
        <v>1.1666666670000001</v>
      </c>
      <c r="BI25" s="5">
        <v>0.9</v>
      </c>
      <c r="BJ25" s="5">
        <v>0.49090909100000002</v>
      </c>
      <c r="BK25" s="5"/>
      <c r="BL25" s="7">
        <v>2007</v>
      </c>
      <c r="BM25" s="6">
        <v>587.7142857</v>
      </c>
      <c r="BN25" s="6">
        <v>553.84615380000002</v>
      </c>
      <c r="BO25" s="6">
        <v>583.44444439999995</v>
      </c>
      <c r="BP25" s="6">
        <v>571.27272730000004</v>
      </c>
      <c r="BQ25" s="6">
        <v>519.09090909999998</v>
      </c>
      <c r="BR25" s="6"/>
      <c r="BS25" s="7">
        <v>2007</v>
      </c>
      <c r="BT25" s="6">
        <v>369.35714289999999</v>
      </c>
      <c r="BU25" s="6">
        <v>371.69230770000001</v>
      </c>
      <c r="BV25" s="6">
        <v>363</v>
      </c>
      <c r="BW25" s="6">
        <v>354</v>
      </c>
      <c r="BX25" s="6">
        <v>343.18181820000001</v>
      </c>
      <c r="BY25" s="6"/>
      <c r="BZ25" s="7">
        <v>2007</v>
      </c>
      <c r="CA25" s="5">
        <v>213.11428570000001</v>
      </c>
      <c r="CB25" s="5">
        <v>205.2</v>
      </c>
      <c r="CC25" s="5">
        <v>225.66666670000001</v>
      </c>
      <c r="CD25" s="5">
        <v>245.20909090000001</v>
      </c>
      <c r="CE25" s="5">
        <v>234.37272730000001</v>
      </c>
      <c r="CG25" s="7">
        <v>2007</v>
      </c>
      <c r="CH25" s="6">
        <v>470.85714289999999</v>
      </c>
      <c r="CI25" s="6">
        <v>451.07692309999999</v>
      </c>
      <c r="CJ25" s="6">
        <v>454.88888889999998</v>
      </c>
      <c r="CK25" s="6">
        <v>447.54545450000001</v>
      </c>
      <c r="CL25" s="6">
        <v>420.27272729999999</v>
      </c>
      <c r="CM25" s="6"/>
      <c r="CN25" s="5"/>
      <c r="CO25" s="7">
        <v>2007</v>
      </c>
      <c r="CP25" s="6">
        <v>122.7142857</v>
      </c>
      <c r="CQ25" s="6">
        <v>99.07692308</v>
      </c>
      <c r="CR25" s="6">
        <v>124.33333330000001</v>
      </c>
      <c r="CS25" s="6">
        <v>129.72727269999999</v>
      </c>
      <c r="CT25" s="6">
        <v>94</v>
      </c>
    </row>
    <row r="26" spans="2:98" x14ac:dyDescent="0.25">
      <c r="B26">
        <v>2008</v>
      </c>
      <c r="C26" s="6">
        <v>414.2142857</v>
      </c>
      <c r="D26" s="6">
        <v>410.69230770000001</v>
      </c>
      <c r="E26" s="6">
        <v>416.875</v>
      </c>
      <c r="F26" s="6">
        <v>400.18181820000001</v>
      </c>
      <c r="G26" s="6">
        <v>397.63636359999998</v>
      </c>
      <c r="I26" s="7">
        <v>2008</v>
      </c>
      <c r="J26" s="5">
        <v>3.1928571429999999</v>
      </c>
      <c r="K26" s="5">
        <v>2.8153846150000001</v>
      </c>
      <c r="L26" s="5">
        <v>4.4625000000000004</v>
      </c>
      <c r="M26" s="5">
        <v>3.518181818</v>
      </c>
      <c r="N26" s="5">
        <v>3.518181818</v>
      </c>
      <c r="P26" s="7">
        <v>2008</v>
      </c>
      <c r="Q26" s="6">
        <v>4.0928571429999998</v>
      </c>
      <c r="R26" s="6">
        <v>3.5538461539999999</v>
      </c>
      <c r="S26" s="6">
        <v>5.4749999999999996</v>
      </c>
      <c r="T26" s="6">
        <v>4.2272727269999999</v>
      </c>
      <c r="U26" s="6">
        <v>3.7363636360000001</v>
      </c>
      <c r="V26" s="5"/>
      <c r="W26" s="7">
        <v>2008</v>
      </c>
      <c r="X26" s="6">
        <v>56.93571429</v>
      </c>
      <c r="Y26" s="6">
        <v>48.930769230000003</v>
      </c>
      <c r="Z26" s="6">
        <v>79.762500000000003</v>
      </c>
      <c r="AA26" s="6">
        <v>66.236363639999993</v>
      </c>
      <c r="AB26" s="6">
        <v>56</v>
      </c>
      <c r="AC26" s="5"/>
      <c r="AD26" s="7">
        <v>2008</v>
      </c>
      <c r="AE26" s="5">
        <f t="shared" si="1"/>
        <v>5.6935714290000004</v>
      </c>
      <c r="AF26" s="5">
        <f t="shared" si="2"/>
        <v>4.8930769230000006</v>
      </c>
      <c r="AG26" s="5">
        <f t="shared" si="3"/>
        <v>7.9762500000000003</v>
      </c>
      <c r="AH26" s="5">
        <f t="shared" si="4"/>
        <v>6.6236363639999993</v>
      </c>
      <c r="AI26" s="5">
        <f t="shared" si="5"/>
        <v>5.6</v>
      </c>
      <c r="AJ26" s="5"/>
      <c r="AK26" s="7">
        <v>2008</v>
      </c>
      <c r="AL26" s="6">
        <v>1517.2071430000001</v>
      </c>
      <c r="AM26" s="6">
        <v>1400.6384619999999</v>
      </c>
      <c r="AN26" s="6">
        <v>1707.5625</v>
      </c>
      <c r="AO26" s="6">
        <v>2016.0818180000001</v>
      </c>
      <c r="AP26" s="6">
        <v>1810.818182</v>
      </c>
      <c r="AQ26" s="5"/>
      <c r="AR26" s="7">
        <v>2008</v>
      </c>
      <c r="AS26" s="6">
        <v>548.91666669999995</v>
      </c>
      <c r="AT26" s="6">
        <v>538.81818180000005</v>
      </c>
      <c r="AU26" s="6">
        <v>539.14285710000001</v>
      </c>
      <c r="AV26" s="6">
        <v>551</v>
      </c>
      <c r="AW26" s="6">
        <v>538.7142857</v>
      </c>
      <c r="AX26" s="6"/>
      <c r="AY26" s="6">
        <v>21.928571430000002</v>
      </c>
      <c r="AZ26" s="6">
        <v>20.53846154</v>
      </c>
      <c r="BA26" s="6">
        <v>18.75</v>
      </c>
      <c r="BB26" s="6">
        <v>17.272727270000001</v>
      </c>
      <c r="BC26" s="6">
        <v>7.3636363640000004</v>
      </c>
      <c r="BD26" s="6"/>
      <c r="BE26" s="7">
        <v>2008</v>
      </c>
      <c r="BF26" s="5">
        <v>0.9</v>
      </c>
      <c r="BG26" s="5">
        <v>0.73846153800000003</v>
      </c>
      <c r="BH26" s="5">
        <v>1.0125</v>
      </c>
      <c r="BI26" s="5">
        <v>0.70909090900000005</v>
      </c>
      <c r="BJ26" s="5">
        <v>0.218181818</v>
      </c>
      <c r="BK26" s="5"/>
      <c r="BL26" s="7">
        <v>2008</v>
      </c>
      <c r="BM26" s="6">
        <v>560.42857140000001</v>
      </c>
      <c r="BN26" s="6">
        <v>539.76923079999995</v>
      </c>
      <c r="BO26" s="6">
        <v>563.125</v>
      </c>
      <c r="BP26" s="6">
        <v>567.18181819999995</v>
      </c>
      <c r="BQ26" s="6">
        <v>499.54545450000001</v>
      </c>
      <c r="BR26" s="6"/>
      <c r="BS26" s="7">
        <v>2008</v>
      </c>
      <c r="BT26" s="6">
        <v>360.64285710000001</v>
      </c>
      <c r="BU26" s="6">
        <v>363</v>
      </c>
      <c r="BV26" s="6">
        <v>366.125</v>
      </c>
      <c r="BW26" s="6">
        <v>353.54545450000001</v>
      </c>
      <c r="BX26" s="6">
        <v>349.36363640000002</v>
      </c>
      <c r="BY26" s="6"/>
      <c r="BZ26" s="7">
        <v>2008</v>
      </c>
      <c r="CA26" s="5">
        <v>217.20714290000001</v>
      </c>
      <c r="CB26" s="5">
        <v>208.7538462</v>
      </c>
      <c r="CC26" s="5">
        <v>231.65</v>
      </c>
      <c r="CD26" s="5">
        <v>249.43636359999999</v>
      </c>
      <c r="CE26" s="5">
        <v>238.10909090000001</v>
      </c>
      <c r="CG26" s="7">
        <v>2008</v>
      </c>
      <c r="CH26" s="6">
        <v>441.92857140000001</v>
      </c>
      <c r="CI26" s="6">
        <v>433.92307690000001</v>
      </c>
      <c r="CJ26" s="6">
        <v>439.625</v>
      </c>
      <c r="CK26" s="6">
        <v>425.54545450000001</v>
      </c>
      <c r="CL26" s="6">
        <v>407.72727270000001</v>
      </c>
      <c r="CM26" s="6"/>
      <c r="CN26" s="5"/>
      <c r="CO26" s="7">
        <v>2008</v>
      </c>
      <c r="CP26" s="6">
        <v>113.3571429</v>
      </c>
      <c r="CQ26" s="6">
        <v>107</v>
      </c>
      <c r="CR26" s="6">
        <v>106.875</v>
      </c>
      <c r="CS26" s="6">
        <v>150.81818179999999</v>
      </c>
      <c r="CT26" s="6">
        <v>83.818181820000007</v>
      </c>
    </row>
    <row r="27" spans="2:98" x14ac:dyDescent="0.25">
      <c r="B27">
        <v>2009</v>
      </c>
      <c r="C27" s="6">
        <v>419.92857140000001</v>
      </c>
      <c r="D27" s="6">
        <v>420</v>
      </c>
      <c r="E27" s="6">
        <v>417.5</v>
      </c>
      <c r="F27" s="6">
        <v>405.63636359999998</v>
      </c>
      <c r="G27" s="6">
        <v>395.72727270000001</v>
      </c>
      <c r="I27" s="7">
        <v>2009</v>
      </c>
      <c r="J27" s="5">
        <v>3.021428571</v>
      </c>
      <c r="K27" s="5">
        <v>2.5615384620000001</v>
      </c>
      <c r="L27" s="5">
        <v>3.6</v>
      </c>
      <c r="M27" s="5">
        <v>3.2727272730000001</v>
      </c>
      <c r="N27" s="5">
        <v>2.8363636360000002</v>
      </c>
      <c r="P27" s="7">
        <v>2009</v>
      </c>
      <c r="Q27" s="6">
        <v>4.414285714</v>
      </c>
      <c r="R27" s="6">
        <v>3.4153846149999998</v>
      </c>
      <c r="S27" s="6">
        <v>4.5750000000000002</v>
      </c>
      <c r="T27" s="6">
        <v>4.1727272729999996</v>
      </c>
      <c r="U27" s="6">
        <v>3.2454545449999999</v>
      </c>
      <c r="V27" s="5"/>
      <c r="W27" s="7">
        <v>2009</v>
      </c>
      <c r="X27" s="6">
        <v>62.864285709999997</v>
      </c>
      <c r="Y27" s="6">
        <v>47.9</v>
      </c>
      <c r="Z27" s="6">
        <v>68.037499999999994</v>
      </c>
      <c r="AA27" s="6">
        <v>66.363636360000001</v>
      </c>
      <c r="AB27" s="6">
        <v>49.936363640000003</v>
      </c>
      <c r="AC27" s="5"/>
      <c r="AD27" s="7">
        <v>2009</v>
      </c>
      <c r="AE27" s="5">
        <f t="shared" si="1"/>
        <v>6.2864285710000001</v>
      </c>
      <c r="AF27" s="5">
        <f t="shared" si="2"/>
        <v>4.79</v>
      </c>
      <c r="AG27" s="5">
        <f t="shared" si="3"/>
        <v>6.8037499999999991</v>
      </c>
      <c r="AH27" s="5">
        <f t="shared" si="4"/>
        <v>6.6363636360000005</v>
      </c>
      <c r="AI27" s="5">
        <f t="shared" si="5"/>
        <v>4.9936363640000003</v>
      </c>
      <c r="AJ27" s="5"/>
      <c r="AK27" s="7">
        <v>2009</v>
      </c>
      <c r="AL27" s="6">
        <v>1580.064286</v>
      </c>
      <c r="AM27" s="6">
        <v>1448.5615379999999</v>
      </c>
      <c r="AN27" s="6">
        <v>1775.6125</v>
      </c>
      <c r="AO27" s="6">
        <v>2082.4272729999998</v>
      </c>
      <c r="AP27" s="6">
        <v>1860.745455</v>
      </c>
      <c r="AQ27" s="5"/>
      <c r="AR27" s="7">
        <v>2009</v>
      </c>
      <c r="AS27" s="6">
        <v>542.2857143</v>
      </c>
      <c r="AT27" s="6">
        <v>541.72727269999996</v>
      </c>
      <c r="AU27" s="6">
        <v>548.75</v>
      </c>
      <c r="AV27" s="6">
        <v>557.22222220000003</v>
      </c>
      <c r="AW27" s="6">
        <v>532</v>
      </c>
      <c r="AX27" s="6"/>
      <c r="AY27" s="6">
        <v>33.214285709999999</v>
      </c>
      <c r="AZ27" s="6">
        <v>25.76923077</v>
      </c>
      <c r="BA27" s="6">
        <v>22.375</v>
      </c>
      <c r="BB27" s="6">
        <v>18.90909091</v>
      </c>
      <c r="BC27" s="6">
        <v>13.09090909</v>
      </c>
      <c r="BD27" s="6"/>
      <c r="BE27" s="7">
        <v>2009</v>
      </c>
      <c r="BF27" s="5">
        <v>1.3928571430000001</v>
      </c>
      <c r="BG27" s="5">
        <v>0.85384615399999997</v>
      </c>
      <c r="BH27" s="5">
        <v>0.97499999999999998</v>
      </c>
      <c r="BI27" s="5">
        <v>0.9</v>
      </c>
      <c r="BJ27" s="5">
        <v>0.409090909</v>
      </c>
      <c r="BK27" s="5"/>
      <c r="BL27" s="7">
        <v>2009</v>
      </c>
      <c r="BM27" s="6">
        <v>569.07142859999999</v>
      </c>
      <c r="BN27" s="6">
        <v>550.46153849999996</v>
      </c>
      <c r="BO27" s="6">
        <v>572.5</v>
      </c>
      <c r="BP27" s="6">
        <v>567.81818180000005</v>
      </c>
      <c r="BQ27" s="6">
        <v>498.54545450000001</v>
      </c>
      <c r="BR27" s="6"/>
      <c r="BS27" s="7">
        <v>2009</v>
      </c>
      <c r="BT27" s="6">
        <v>367.2857143</v>
      </c>
      <c r="BU27" s="6">
        <v>381.38461539999997</v>
      </c>
      <c r="BV27" s="6">
        <v>370.875</v>
      </c>
      <c r="BW27" s="6">
        <v>346.81818179999999</v>
      </c>
      <c r="BX27" s="6">
        <v>353.63636359999998</v>
      </c>
      <c r="BY27" s="6"/>
      <c r="BZ27" s="7">
        <v>2009</v>
      </c>
      <c r="CA27" s="5">
        <v>221.6214286</v>
      </c>
      <c r="CB27" s="5">
        <v>212.16923080000001</v>
      </c>
      <c r="CC27" s="5">
        <v>236.22499999999999</v>
      </c>
      <c r="CD27" s="5">
        <v>253.60909090000001</v>
      </c>
      <c r="CE27" s="5">
        <v>241.3545455</v>
      </c>
      <c r="CG27" s="7">
        <v>2009</v>
      </c>
      <c r="CH27" s="6">
        <v>459.42857140000001</v>
      </c>
      <c r="CI27" s="6">
        <v>449.15384619999998</v>
      </c>
      <c r="CJ27" s="6">
        <v>446</v>
      </c>
      <c r="CK27" s="6">
        <v>435.09090909999998</v>
      </c>
      <c r="CL27" s="6">
        <v>413.54545450000001</v>
      </c>
      <c r="CM27" s="6"/>
      <c r="CN27" s="5"/>
      <c r="CO27" s="7">
        <v>2009</v>
      </c>
      <c r="CP27" s="6">
        <v>122.3571429</v>
      </c>
      <c r="CQ27" s="6">
        <v>102.5384615</v>
      </c>
      <c r="CR27" s="6">
        <v>131.25</v>
      </c>
      <c r="CS27" s="6">
        <v>125.54545450000001</v>
      </c>
      <c r="CT27" s="6">
        <v>82.363636360000001</v>
      </c>
    </row>
    <row r="28" spans="2:98" x14ac:dyDescent="0.25">
      <c r="B28">
        <v>2010</v>
      </c>
      <c r="C28" s="6">
        <v>403.2142857</v>
      </c>
      <c r="D28" s="6">
        <v>413.53846149999998</v>
      </c>
      <c r="E28" s="6">
        <v>407.125</v>
      </c>
      <c r="F28" s="6">
        <v>401.36363640000002</v>
      </c>
      <c r="G28" s="6">
        <v>401.90909090000002</v>
      </c>
      <c r="I28" s="7">
        <v>2010</v>
      </c>
      <c r="J28" s="5">
        <v>2.9357142860000001</v>
      </c>
      <c r="K28" s="5">
        <v>2.9307692310000002</v>
      </c>
      <c r="L28" s="5">
        <v>3.7124999999999999</v>
      </c>
      <c r="M28" s="5">
        <v>3.1090909089999998</v>
      </c>
      <c r="N28" s="5">
        <v>2.809090909</v>
      </c>
      <c r="P28" s="7">
        <v>2010</v>
      </c>
      <c r="Q28" s="6">
        <v>4.0285714290000003</v>
      </c>
      <c r="R28" s="6">
        <v>3.461538462</v>
      </c>
      <c r="S28" s="6">
        <v>4.7249999999999996</v>
      </c>
      <c r="T28" s="6">
        <v>3.7909090910000001</v>
      </c>
      <c r="U28" s="6">
        <v>3.3</v>
      </c>
      <c r="V28" s="5"/>
      <c r="W28" s="7">
        <v>2010</v>
      </c>
      <c r="X28" s="6">
        <v>57.47142857</v>
      </c>
      <c r="Y28" s="6">
        <v>49.823076919999998</v>
      </c>
      <c r="Z28" s="6">
        <v>72.012500000000003</v>
      </c>
      <c r="AA28" s="6">
        <v>62.363636360000001</v>
      </c>
      <c r="AB28" s="6">
        <v>51.336363640000002</v>
      </c>
      <c r="AC28" s="5"/>
      <c r="AD28" s="7">
        <v>2010</v>
      </c>
      <c r="AE28" s="5">
        <f t="shared" si="1"/>
        <v>5.747142857</v>
      </c>
      <c r="AF28" s="5">
        <f t="shared" si="2"/>
        <v>4.982307692</v>
      </c>
      <c r="AG28" s="5">
        <f t="shared" si="3"/>
        <v>7.2012499999999999</v>
      </c>
      <c r="AH28" s="5">
        <f t="shared" si="4"/>
        <v>6.2363636360000001</v>
      </c>
      <c r="AI28" s="5">
        <f t="shared" si="5"/>
        <v>5.133636364</v>
      </c>
      <c r="AJ28" s="5"/>
      <c r="AK28" s="7">
        <v>2010</v>
      </c>
      <c r="AL28" s="6">
        <v>1637.5214289999999</v>
      </c>
      <c r="AM28" s="6">
        <v>1498.3692309999999</v>
      </c>
      <c r="AN28" s="6">
        <v>1847.65</v>
      </c>
      <c r="AO28" s="6">
        <v>2144.7818179999999</v>
      </c>
      <c r="AP28" s="6">
        <v>1912.090909</v>
      </c>
      <c r="AQ28" s="5"/>
      <c r="AR28" s="7">
        <v>2010</v>
      </c>
      <c r="AS28" s="6">
        <v>549.2857143</v>
      </c>
      <c r="AT28" s="6">
        <v>553</v>
      </c>
      <c r="AU28" s="6">
        <v>547</v>
      </c>
      <c r="AV28" s="6">
        <v>556</v>
      </c>
      <c r="AW28" s="6">
        <v>543</v>
      </c>
      <c r="AX28" s="6"/>
      <c r="AY28" s="6">
        <v>26.071428569999998</v>
      </c>
      <c r="AZ28" s="6">
        <v>18.92307692</v>
      </c>
      <c r="BA28" s="6">
        <v>20.625</v>
      </c>
      <c r="BB28" s="6">
        <v>18.363636360000001</v>
      </c>
      <c r="BC28" s="6">
        <v>15.636363640000001</v>
      </c>
      <c r="BD28" s="6"/>
      <c r="BE28" s="7">
        <v>2010</v>
      </c>
      <c r="BF28" s="5">
        <v>1.092857143</v>
      </c>
      <c r="BG28" s="5">
        <v>0.53076923099999995</v>
      </c>
      <c r="BH28" s="5">
        <v>1.0125</v>
      </c>
      <c r="BI28" s="5">
        <v>0.68181818199999999</v>
      </c>
      <c r="BJ28" s="5">
        <v>0.49090909100000002</v>
      </c>
      <c r="BK28" s="5"/>
      <c r="BL28" s="7">
        <v>2010</v>
      </c>
      <c r="BM28" s="6">
        <v>572.92857140000001</v>
      </c>
      <c r="BN28" s="6">
        <v>546.84615380000002</v>
      </c>
      <c r="BO28" s="6">
        <v>577.125</v>
      </c>
      <c r="BP28" s="6">
        <v>574.09090909999998</v>
      </c>
      <c r="BQ28" s="6">
        <v>517.90909090000002</v>
      </c>
      <c r="BR28" s="6"/>
      <c r="BS28" s="7">
        <v>2010</v>
      </c>
      <c r="BT28" s="6">
        <v>336.42857140000001</v>
      </c>
      <c r="BU28" s="6">
        <v>374.46153850000002</v>
      </c>
      <c r="BV28" s="6">
        <v>354.875</v>
      </c>
      <c r="BW28" s="6">
        <v>354.45454549999999</v>
      </c>
      <c r="BX28" s="6">
        <v>359.54545450000001</v>
      </c>
      <c r="BY28" s="6"/>
      <c r="BZ28" s="7">
        <v>2010</v>
      </c>
      <c r="CA28" s="5">
        <v>225.65</v>
      </c>
      <c r="CB28" s="5">
        <v>215.6307692</v>
      </c>
      <c r="CC28" s="5">
        <v>240.95</v>
      </c>
      <c r="CD28" s="5">
        <v>257.39999999999998</v>
      </c>
      <c r="CE28" s="5">
        <v>244.65454550000001</v>
      </c>
      <c r="CG28" s="7">
        <v>2010</v>
      </c>
      <c r="CH28" s="6">
        <v>440.2857143</v>
      </c>
      <c r="CI28" s="6">
        <v>437.07692309999999</v>
      </c>
      <c r="CJ28" s="6">
        <v>436.625</v>
      </c>
      <c r="CK28" s="6">
        <v>430.09090909999998</v>
      </c>
      <c r="CL28" s="6">
        <v>423.36363640000002</v>
      </c>
      <c r="CM28" s="6"/>
      <c r="CN28" s="5"/>
      <c r="CO28" s="7">
        <v>2010</v>
      </c>
      <c r="CP28" s="6">
        <v>146.07142859999999</v>
      </c>
      <c r="CQ28" s="6">
        <v>115.3846154</v>
      </c>
      <c r="CR28" s="6">
        <v>139.875</v>
      </c>
      <c r="CS28" s="6">
        <v>143.81818179999999</v>
      </c>
      <c r="CT28" s="6">
        <v>101.2727273</v>
      </c>
    </row>
    <row r="29" spans="2:98" x14ac:dyDescent="0.25">
      <c r="B29">
        <v>2011</v>
      </c>
      <c r="C29" s="6">
        <v>412.38461539999997</v>
      </c>
      <c r="D29" s="6">
        <v>406.53846149999998</v>
      </c>
      <c r="E29" s="6">
        <v>412.25</v>
      </c>
      <c r="F29" s="6">
        <v>408.45454549999999</v>
      </c>
      <c r="G29" s="6">
        <v>401.90909090000002</v>
      </c>
      <c r="I29" s="7">
        <v>2011</v>
      </c>
      <c r="J29" s="5">
        <v>2.9307692310000002</v>
      </c>
      <c r="K29" s="5">
        <v>2.3769230769999998</v>
      </c>
      <c r="L29" s="5">
        <v>3.2250000000000001</v>
      </c>
      <c r="M29" s="5">
        <v>2.863636364</v>
      </c>
      <c r="N29" s="5">
        <v>2.6454545450000002</v>
      </c>
      <c r="P29" s="7">
        <v>2011</v>
      </c>
      <c r="Q29" s="6">
        <v>3.7153846150000001</v>
      </c>
      <c r="R29" s="6">
        <v>2.8384615379999998</v>
      </c>
      <c r="S29" s="6">
        <v>3.9</v>
      </c>
      <c r="T29" s="6">
        <v>3.6545454550000001</v>
      </c>
      <c r="U29" s="6">
        <v>3.054545455</v>
      </c>
      <c r="V29" s="5"/>
      <c r="W29" s="7">
        <v>2011</v>
      </c>
      <c r="X29" s="6">
        <v>54.492307689999997</v>
      </c>
      <c r="Y29" s="6">
        <v>41.592307689999998</v>
      </c>
      <c r="Z29" s="6">
        <v>60.774999999999999</v>
      </c>
      <c r="AA29" s="6">
        <v>60.47272727</v>
      </c>
      <c r="AB29" s="6">
        <v>48.909090910000003</v>
      </c>
      <c r="AC29" s="5"/>
      <c r="AD29" s="7">
        <v>2011</v>
      </c>
      <c r="AE29" s="5">
        <f t="shared" si="1"/>
        <v>5.4492307689999997</v>
      </c>
      <c r="AF29" s="5">
        <f t="shared" si="2"/>
        <v>4.1592307689999997</v>
      </c>
      <c r="AG29" s="5">
        <f t="shared" si="3"/>
        <v>6.0774999999999997</v>
      </c>
      <c r="AH29" s="5">
        <f t="shared" si="4"/>
        <v>6.0472727270000002</v>
      </c>
      <c r="AI29" s="5">
        <f t="shared" si="5"/>
        <v>4.8909090910000002</v>
      </c>
      <c r="AJ29" s="5"/>
      <c r="AK29" s="7">
        <v>2011</v>
      </c>
      <c r="AL29" s="6">
        <v>1732.4846150000001</v>
      </c>
      <c r="AM29" s="6">
        <v>1539.969231</v>
      </c>
      <c r="AN29" s="6">
        <v>1908.4124999999999</v>
      </c>
      <c r="AO29" s="6">
        <v>2205.272727</v>
      </c>
      <c r="AP29" s="6">
        <v>1960.981818</v>
      </c>
      <c r="AQ29" s="5"/>
      <c r="AR29" s="7">
        <v>2011</v>
      </c>
      <c r="AS29" s="6">
        <v>546.69230770000001</v>
      </c>
      <c r="AT29" s="6">
        <v>543.77777779999997</v>
      </c>
      <c r="AU29" s="6">
        <v>553.125</v>
      </c>
      <c r="AV29" s="6">
        <v>549.29999999999995</v>
      </c>
      <c r="AW29" s="6">
        <v>536</v>
      </c>
      <c r="AX29" s="6"/>
      <c r="AY29" s="6">
        <v>22</v>
      </c>
      <c r="AZ29" s="6">
        <v>16.46153846</v>
      </c>
      <c r="BA29" s="6">
        <v>18</v>
      </c>
      <c r="BB29" s="6">
        <v>22.727272729999999</v>
      </c>
      <c r="BC29" s="6">
        <v>13.636363640000001</v>
      </c>
      <c r="BD29" s="6"/>
      <c r="BE29" s="7">
        <v>2011</v>
      </c>
      <c r="BF29" s="5">
        <v>0.78461538500000005</v>
      </c>
      <c r="BG29" s="5">
        <v>0.46153846199999998</v>
      </c>
      <c r="BH29" s="5">
        <v>0.67500000000000004</v>
      </c>
      <c r="BI29" s="5">
        <v>0.79090909099999995</v>
      </c>
      <c r="BJ29" s="5">
        <v>0.409090909</v>
      </c>
      <c r="BK29" s="5"/>
      <c r="BL29" s="7">
        <v>2011</v>
      </c>
      <c r="BM29" s="6">
        <v>571.30769229999999</v>
      </c>
      <c r="BN29" s="6">
        <v>528.46153849999996</v>
      </c>
      <c r="BO29" s="6">
        <v>565.375</v>
      </c>
      <c r="BP29" s="6">
        <v>570.18181819999995</v>
      </c>
      <c r="BQ29" s="6">
        <v>511.90909090000002</v>
      </c>
      <c r="BR29" s="6"/>
      <c r="BS29" s="7">
        <v>2011</v>
      </c>
      <c r="BT29" s="6">
        <v>359.38461539999997</v>
      </c>
      <c r="BU29" s="6">
        <v>367.69230770000001</v>
      </c>
      <c r="BV29" s="6">
        <v>367.625</v>
      </c>
      <c r="BW29" s="6">
        <v>370.54545450000001</v>
      </c>
      <c r="BX29" s="6">
        <v>361.09090909999998</v>
      </c>
      <c r="BY29" s="6"/>
      <c r="BZ29" s="7">
        <v>2011</v>
      </c>
      <c r="CA29" s="5">
        <v>232.2538462</v>
      </c>
      <c r="CB29" s="5">
        <v>218.46923079999999</v>
      </c>
      <c r="CC29" s="5">
        <v>244.85</v>
      </c>
      <c r="CD29" s="5">
        <v>261.05454550000002</v>
      </c>
      <c r="CE29" s="5">
        <v>247.70909090000001</v>
      </c>
      <c r="CG29" s="7">
        <v>2011</v>
      </c>
      <c r="CH29" s="6">
        <v>441.30769229999999</v>
      </c>
      <c r="CI29" s="6">
        <v>427.84615380000002</v>
      </c>
      <c r="CJ29" s="6">
        <v>437.5</v>
      </c>
      <c r="CK29" s="6">
        <v>440.27272729999999</v>
      </c>
      <c r="CL29" s="6">
        <v>419.09090909999998</v>
      </c>
      <c r="CM29" s="6"/>
      <c r="CN29" s="5"/>
      <c r="CO29" s="7">
        <v>2011</v>
      </c>
      <c r="CP29" s="6">
        <v>134.30769230000001</v>
      </c>
      <c r="CQ29" s="6">
        <v>97.692307690000007</v>
      </c>
      <c r="CR29" s="6">
        <v>140.875</v>
      </c>
      <c r="CS29" s="6">
        <v>131.36363639999999</v>
      </c>
      <c r="CT29" s="6">
        <v>92.818181820000007</v>
      </c>
    </row>
    <row r="30" spans="2:98" x14ac:dyDescent="0.25">
      <c r="B30">
        <v>2012</v>
      </c>
      <c r="C30" s="6">
        <v>411.92307690000001</v>
      </c>
      <c r="D30" s="6">
        <v>403.61538460000003</v>
      </c>
      <c r="E30" s="6">
        <v>414.125</v>
      </c>
      <c r="F30" s="6">
        <v>414.09090909999998</v>
      </c>
      <c r="G30" s="6">
        <v>368</v>
      </c>
      <c r="I30" s="7">
        <v>2012</v>
      </c>
      <c r="J30" s="5">
        <v>2.4923076919999998</v>
      </c>
      <c r="K30" s="5">
        <v>1.8230769229999999</v>
      </c>
      <c r="L30" s="5">
        <v>2.7</v>
      </c>
      <c r="M30" s="5">
        <v>2.5363636359999999</v>
      </c>
      <c r="N30" s="5">
        <v>2.0454545450000001</v>
      </c>
      <c r="P30" s="7">
        <v>2012</v>
      </c>
      <c r="Q30" s="6">
        <v>2.8384615379999998</v>
      </c>
      <c r="R30" s="6">
        <v>1.961538462</v>
      </c>
      <c r="S30" s="6">
        <v>3.15</v>
      </c>
      <c r="T30" s="6">
        <v>2.809090909</v>
      </c>
      <c r="U30" s="6">
        <v>2.2636363639999999</v>
      </c>
      <c r="V30" s="5"/>
      <c r="W30" s="7">
        <v>2012</v>
      </c>
      <c r="X30" s="6">
        <v>41.830769230000001</v>
      </c>
      <c r="Y30" s="6">
        <v>29.069230770000001</v>
      </c>
      <c r="Z30" s="6">
        <v>50.137500000000003</v>
      </c>
      <c r="AA30" s="6">
        <v>47.563636359999997</v>
      </c>
      <c r="AB30" s="6">
        <v>36.68181818</v>
      </c>
      <c r="AC30" s="5"/>
      <c r="AD30" s="7">
        <v>2012</v>
      </c>
      <c r="AE30" s="5">
        <f t="shared" si="1"/>
        <v>4.1830769229999998</v>
      </c>
      <c r="AF30" s="5">
        <f t="shared" si="2"/>
        <v>2.9069230770000001</v>
      </c>
      <c r="AG30" s="5">
        <f t="shared" si="3"/>
        <v>5.0137499999999999</v>
      </c>
      <c r="AH30" s="5">
        <f t="shared" si="4"/>
        <v>4.7563636359999997</v>
      </c>
      <c r="AI30" s="5">
        <f t="shared" si="5"/>
        <v>3.6681818179999999</v>
      </c>
      <c r="AJ30" s="5"/>
      <c r="AK30" s="7">
        <v>2012</v>
      </c>
      <c r="AL30" s="6">
        <v>1774.3153850000001</v>
      </c>
      <c r="AM30" s="6">
        <v>1569.0230770000001</v>
      </c>
      <c r="AN30" s="6">
        <v>1958.5374999999999</v>
      </c>
      <c r="AO30" s="6">
        <v>2252.8545450000001</v>
      </c>
      <c r="AP30" s="6">
        <v>1997.6545450000001</v>
      </c>
      <c r="AQ30" s="5"/>
      <c r="AR30" s="7">
        <v>2012</v>
      </c>
      <c r="AS30" s="6">
        <v>542.42857140000001</v>
      </c>
      <c r="AT30" s="6">
        <v>549</v>
      </c>
      <c r="AU30" s="6">
        <v>525.33333330000005</v>
      </c>
      <c r="AV30" s="6">
        <v>545.33333330000005</v>
      </c>
      <c r="AW30" s="6">
        <v>523.33333330000005</v>
      </c>
      <c r="AX30" s="6"/>
      <c r="AY30" s="6">
        <v>12.69230769</v>
      </c>
      <c r="AZ30" s="6">
        <v>10.76923077</v>
      </c>
      <c r="BA30" s="6">
        <v>16.5</v>
      </c>
      <c r="BB30" s="6">
        <v>12.272727270000001</v>
      </c>
      <c r="BC30" s="6">
        <v>13.363636359999999</v>
      </c>
      <c r="BD30" s="6"/>
      <c r="BE30" s="7">
        <v>2012</v>
      </c>
      <c r="BF30" s="5">
        <v>0.34615384599999999</v>
      </c>
      <c r="BG30" s="5">
        <v>0.138461538</v>
      </c>
      <c r="BH30" s="5">
        <v>0.45</v>
      </c>
      <c r="BI30" s="5">
        <v>0.27272727299999999</v>
      </c>
      <c r="BJ30" s="5">
        <v>0.218181818</v>
      </c>
      <c r="BK30" s="5"/>
      <c r="BL30" s="7">
        <v>2012</v>
      </c>
      <c r="BM30" s="6">
        <v>514.07692310000004</v>
      </c>
      <c r="BN30" s="6">
        <v>488.7692308</v>
      </c>
      <c r="BO30" s="6">
        <v>517.625</v>
      </c>
      <c r="BP30" s="6">
        <v>537.63636359999998</v>
      </c>
      <c r="BQ30" s="6">
        <v>487.63636359999998</v>
      </c>
      <c r="BR30" s="6"/>
      <c r="BS30" s="7">
        <v>2012</v>
      </c>
      <c r="BT30" s="6">
        <v>344.84615380000002</v>
      </c>
      <c r="BU30" s="6">
        <v>339.07692309999999</v>
      </c>
      <c r="BV30" s="6">
        <v>365</v>
      </c>
      <c r="BW30" s="6">
        <v>336.54545450000001</v>
      </c>
      <c r="BX30" s="6">
        <v>312.36363640000002</v>
      </c>
      <c r="BY30" s="6"/>
      <c r="BZ30" s="7">
        <v>2012</v>
      </c>
      <c r="CA30" s="5">
        <v>235.09230769999999</v>
      </c>
      <c r="CB30" s="5">
        <v>220.43076919999999</v>
      </c>
      <c r="CC30" s="5">
        <v>248</v>
      </c>
      <c r="CD30" s="5">
        <v>263.86363640000002</v>
      </c>
      <c r="CE30" s="5">
        <v>249.9727273</v>
      </c>
      <c r="CG30" s="7">
        <v>2012</v>
      </c>
      <c r="CH30" s="6">
        <v>427.46153850000002</v>
      </c>
      <c r="CI30" s="6">
        <v>416.15384619999998</v>
      </c>
      <c r="CJ30" s="6">
        <v>432.375</v>
      </c>
      <c r="CK30" s="6">
        <v>427.09090909999998</v>
      </c>
      <c r="CL30" s="6">
        <v>395</v>
      </c>
      <c r="CM30" s="6"/>
      <c r="CN30" s="5"/>
      <c r="CO30" s="7">
        <v>2012</v>
      </c>
      <c r="CP30" s="6">
        <v>66.153846150000007</v>
      </c>
      <c r="CQ30" s="6">
        <v>45.46153846</v>
      </c>
      <c r="CR30" s="6">
        <v>84.375</v>
      </c>
      <c r="CS30" s="6">
        <v>111.45454549999999</v>
      </c>
      <c r="CT30" s="6">
        <v>88.818181820000007</v>
      </c>
    </row>
    <row r="34" spans="1:35" x14ac:dyDescent="0.25">
      <c r="B34" t="s">
        <v>40</v>
      </c>
      <c r="C34" t="s">
        <v>3</v>
      </c>
      <c r="D34" t="s">
        <v>41</v>
      </c>
      <c r="E34" s="5" t="s">
        <v>42</v>
      </c>
      <c r="F34" s="5" t="s">
        <v>43</v>
      </c>
      <c r="G34" s="5" t="s">
        <v>44</v>
      </c>
      <c r="H34" t="s">
        <v>45</v>
      </c>
      <c r="I34" s="6" t="s">
        <v>46</v>
      </c>
      <c r="J34" s="5" t="s">
        <v>47</v>
      </c>
      <c r="K34" s="5" t="s">
        <v>48</v>
      </c>
      <c r="L34" s="6" t="s">
        <v>49</v>
      </c>
      <c r="M34" s="6" t="s">
        <v>50</v>
      </c>
      <c r="N34" s="6" t="s">
        <v>51</v>
      </c>
      <c r="O34" s="6" t="s">
        <v>52</v>
      </c>
      <c r="P34" s="6" t="s">
        <v>53</v>
      </c>
      <c r="X34"/>
      <c r="Y34"/>
      <c r="AB34"/>
      <c r="AC34"/>
      <c r="AD34"/>
      <c r="AE34"/>
      <c r="AF34"/>
      <c r="AG34"/>
      <c r="AH34"/>
      <c r="AI34"/>
    </row>
    <row r="35" spans="1:35" x14ac:dyDescent="0.25">
      <c r="A35" t="s">
        <v>229</v>
      </c>
      <c r="B35" s="6">
        <v>1</v>
      </c>
      <c r="C35">
        <v>1985</v>
      </c>
      <c r="D35">
        <v>3.3</v>
      </c>
      <c r="E35" s="5">
        <v>3.3</v>
      </c>
      <c r="F35" s="5">
        <v>3.3</v>
      </c>
      <c r="G35" s="5">
        <v>0</v>
      </c>
      <c r="H35" s="6">
        <v>0</v>
      </c>
      <c r="I35" s="6">
        <v>0.4</v>
      </c>
      <c r="J35" s="5">
        <v>0.4</v>
      </c>
      <c r="K35" s="5">
        <v>377.5</v>
      </c>
      <c r="L35" s="6">
        <v>377.5</v>
      </c>
      <c r="M35"/>
      <c r="N35" s="6">
        <v>0</v>
      </c>
      <c r="O35" s="6">
        <v>307</v>
      </c>
      <c r="P35" s="6">
        <v>442</v>
      </c>
      <c r="X35"/>
      <c r="Y35"/>
      <c r="AC35"/>
      <c r="AD35"/>
      <c r="AE35"/>
      <c r="AF35"/>
      <c r="AG35"/>
      <c r="AH35"/>
      <c r="AI35"/>
    </row>
    <row r="36" spans="1:35" x14ac:dyDescent="0.25">
      <c r="A36" t="s">
        <v>229</v>
      </c>
      <c r="B36" s="6">
        <v>1.6666666670000001</v>
      </c>
      <c r="C36">
        <v>1986</v>
      </c>
      <c r="D36">
        <v>13.9</v>
      </c>
      <c r="E36" s="5">
        <v>12.8</v>
      </c>
      <c r="F36" s="5">
        <v>10.3</v>
      </c>
      <c r="G36" s="5">
        <v>0</v>
      </c>
      <c r="H36" s="6">
        <v>0</v>
      </c>
      <c r="I36" s="6">
        <v>6.983333333</v>
      </c>
      <c r="J36" s="5">
        <v>7.1166666669999996</v>
      </c>
      <c r="K36" s="5">
        <v>357.83333329999999</v>
      </c>
      <c r="L36" s="6">
        <v>357.83333329999999</v>
      </c>
      <c r="M36"/>
      <c r="N36" s="6">
        <v>0</v>
      </c>
      <c r="O36" s="6">
        <v>296.5</v>
      </c>
      <c r="P36" s="6">
        <v>435.83333329999999</v>
      </c>
      <c r="X36"/>
      <c r="Y36"/>
      <c r="AC36"/>
      <c r="AD36"/>
      <c r="AE36"/>
      <c r="AF36"/>
      <c r="AG36"/>
      <c r="AH36"/>
      <c r="AI36"/>
    </row>
    <row r="37" spans="1:35" x14ac:dyDescent="0.25">
      <c r="A37" t="s">
        <v>229</v>
      </c>
      <c r="B37" s="6">
        <v>2.1290322580000001</v>
      </c>
      <c r="C37">
        <v>1987</v>
      </c>
      <c r="D37">
        <v>26.280645159999999</v>
      </c>
      <c r="E37" s="5">
        <v>23.590322579999999</v>
      </c>
      <c r="F37" s="5">
        <v>16.364516129999998</v>
      </c>
      <c r="G37" s="5">
        <v>0.38709677399999998</v>
      </c>
      <c r="H37" s="6">
        <v>1.2903225810000001</v>
      </c>
      <c r="I37" s="6">
        <v>24.477419350000002</v>
      </c>
      <c r="J37" s="5">
        <v>25.858064519999999</v>
      </c>
      <c r="K37" s="5">
        <v>349.48387100000002</v>
      </c>
      <c r="L37" s="6">
        <v>346.48387100000002</v>
      </c>
      <c r="M37" s="6">
        <v>513.25</v>
      </c>
      <c r="N37" s="6">
        <v>41.419354839999997</v>
      </c>
      <c r="O37" s="6">
        <v>240.35483869999999</v>
      </c>
      <c r="P37" s="6">
        <v>480.61290320000001</v>
      </c>
      <c r="X37"/>
      <c r="Y37"/>
      <c r="AC37"/>
      <c r="AD37"/>
      <c r="AE37"/>
      <c r="AF37"/>
      <c r="AG37"/>
      <c r="AH37"/>
      <c r="AI37"/>
    </row>
    <row r="38" spans="1:35" x14ac:dyDescent="0.25">
      <c r="A38" t="s">
        <v>229</v>
      </c>
      <c r="B38" s="6">
        <v>3.063829787</v>
      </c>
      <c r="C38">
        <v>1988</v>
      </c>
      <c r="D38">
        <v>42.344680850000003</v>
      </c>
      <c r="E38" s="5">
        <v>25.0106383</v>
      </c>
      <c r="F38" s="5">
        <v>18.912765960000002</v>
      </c>
      <c r="G38" s="5">
        <v>0.39574468099999999</v>
      </c>
      <c r="H38" s="6">
        <v>1.8936170210000001</v>
      </c>
      <c r="I38" s="6">
        <v>44.887234040000003</v>
      </c>
      <c r="J38" s="5">
        <v>61.93617021</v>
      </c>
      <c r="K38" s="5">
        <v>354.44680849999997</v>
      </c>
      <c r="L38" s="6">
        <v>351</v>
      </c>
      <c r="M38" s="6">
        <v>489.25</v>
      </c>
      <c r="N38" s="6">
        <v>61.085106379999999</v>
      </c>
      <c r="O38" s="6">
        <v>265.31914890000002</v>
      </c>
      <c r="P38" s="6">
        <v>484.04255319999999</v>
      </c>
      <c r="X38"/>
      <c r="Y38"/>
      <c r="AC38"/>
      <c r="AD38"/>
      <c r="AE38"/>
      <c r="AF38"/>
      <c r="AG38"/>
      <c r="AH38"/>
      <c r="AI38"/>
    </row>
    <row r="39" spans="1:35" x14ac:dyDescent="0.25">
      <c r="A39" t="s">
        <v>229</v>
      </c>
      <c r="B39" s="6">
        <v>4.0555555559999998</v>
      </c>
      <c r="C39">
        <v>1989</v>
      </c>
      <c r="D39">
        <v>56.41111111</v>
      </c>
      <c r="E39" s="5">
        <v>19.555555559999998</v>
      </c>
      <c r="F39" s="5">
        <v>17.33888889</v>
      </c>
      <c r="G39" s="5">
        <v>0.55000000000000004</v>
      </c>
      <c r="H39" s="6">
        <v>2.907407407</v>
      </c>
      <c r="I39" s="6">
        <v>55.637037040000003</v>
      </c>
      <c r="J39" s="5">
        <v>109.5388889</v>
      </c>
      <c r="K39" s="5">
        <v>362.037037</v>
      </c>
      <c r="L39" s="6">
        <v>356.57407410000002</v>
      </c>
      <c r="M39" s="6">
        <v>522.17948720000004</v>
      </c>
      <c r="N39" s="6">
        <v>115.5740741</v>
      </c>
      <c r="O39" s="6">
        <v>280.29629629999999</v>
      </c>
      <c r="P39" s="6">
        <v>517.16666669999995</v>
      </c>
      <c r="X39"/>
      <c r="Y39"/>
      <c r="AC39"/>
      <c r="AD39"/>
      <c r="AE39"/>
      <c r="AF39"/>
      <c r="AG39"/>
      <c r="AH39"/>
      <c r="AI39"/>
    </row>
    <row r="40" spans="1:35" x14ac:dyDescent="0.25">
      <c r="A40" t="s">
        <v>229</v>
      </c>
      <c r="B40" s="6">
        <v>5.0338983050000001</v>
      </c>
      <c r="C40">
        <v>1990</v>
      </c>
      <c r="D40">
        <v>66.769491529999996</v>
      </c>
      <c r="E40" s="5">
        <v>15.13898305</v>
      </c>
      <c r="F40" s="5">
        <v>13.04745763</v>
      </c>
      <c r="G40" s="5">
        <v>0.95593220300000004</v>
      </c>
      <c r="H40" s="6">
        <v>7.2542372879999997</v>
      </c>
      <c r="I40" s="6">
        <v>54.493220340000001</v>
      </c>
      <c r="J40" s="5">
        <v>154.759322</v>
      </c>
      <c r="K40" s="5">
        <v>372.0169492</v>
      </c>
      <c r="L40" s="6">
        <v>360</v>
      </c>
      <c r="M40" s="6">
        <v>527.34042550000004</v>
      </c>
      <c r="N40" s="6">
        <v>130.4745763</v>
      </c>
      <c r="O40" s="6">
        <v>290.4915254</v>
      </c>
      <c r="P40" s="6">
        <v>532.5084746</v>
      </c>
      <c r="X40"/>
      <c r="Y40"/>
      <c r="AC40"/>
      <c r="AD40"/>
      <c r="AE40"/>
      <c r="AF40"/>
      <c r="AG40"/>
      <c r="AH40"/>
      <c r="AI40"/>
    </row>
    <row r="41" spans="1:35" x14ac:dyDescent="0.25">
      <c r="A41" t="s">
        <v>229</v>
      </c>
      <c r="B41" s="6">
        <v>6.0163934430000001</v>
      </c>
      <c r="C41">
        <v>1991</v>
      </c>
      <c r="D41">
        <v>79.178688519999994</v>
      </c>
      <c r="E41" s="5">
        <v>14.598360660000001</v>
      </c>
      <c r="F41" s="5">
        <v>12.93442623</v>
      </c>
      <c r="G41" s="5">
        <v>1.204918033</v>
      </c>
      <c r="H41" s="6">
        <v>8.6557377049999999</v>
      </c>
      <c r="I41" s="6">
        <v>64.206557380000007</v>
      </c>
      <c r="J41" s="5">
        <v>213.88852460000001</v>
      </c>
      <c r="K41" s="5">
        <v>384.03278690000002</v>
      </c>
      <c r="L41" s="6">
        <v>369.52459019999998</v>
      </c>
      <c r="M41" s="6">
        <v>529.49122809999994</v>
      </c>
      <c r="N41" s="6">
        <v>148.2459016</v>
      </c>
      <c r="O41" s="6">
        <v>305.39344260000001</v>
      </c>
      <c r="P41" s="6">
        <v>543.09836069999994</v>
      </c>
      <c r="X41"/>
      <c r="Y41"/>
      <c r="AC41"/>
      <c r="AD41"/>
      <c r="AE41"/>
      <c r="AF41"/>
      <c r="AG41"/>
      <c r="AH41"/>
      <c r="AI41"/>
    </row>
    <row r="42" spans="1:35" x14ac:dyDescent="0.25">
      <c r="A42" t="s">
        <v>229</v>
      </c>
      <c r="B42" s="6">
        <v>7.0163934430000001</v>
      </c>
      <c r="C42">
        <v>1992</v>
      </c>
      <c r="D42">
        <v>95.024590160000002</v>
      </c>
      <c r="E42" s="5">
        <v>15.845901639999999</v>
      </c>
      <c r="F42" s="5">
        <v>14.567213110000001</v>
      </c>
      <c r="G42" s="5">
        <v>1.278688525</v>
      </c>
      <c r="H42" s="6">
        <v>8.1639344260000009</v>
      </c>
      <c r="I42" s="6">
        <v>87.386885250000006</v>
      </c>
      <c r="J42" s="5">
        <v>301.26721309999999</v>
      </c>
      <c r="K42" s="5">
        <v>384.60655739999999</v>
      </c>
      <c r="L42" s="6">
        <v>371.85245900000001</v>
      </c>
      <c r="M42" s="6">
        <v>527.01960780000002</v>
      </c>
      <c r="N42" s="6">
        <v>127</v>
      </c>
      <c r="O42" s="6">
        <v>314.06557379999998</v>
      </c>
      <c r="P42" s="6">
        <v>535.26229509999996</v>
      </c>
      <c r="X42"/>
      <c r="Y42"/>
      <c r="AC42"/>
      <c r="AD42"/>
      <c r="AE42"/>
      <c r="AF42"/>
      <c r="AG42"/>
      <c r="AH42"/>
      <c r="AI42"/>
    </row>
    <row r="43" spans="1:35" x14ac:dyDescent="0.25">
      <c r="A43" t="s">
        <v>229</v>
      </c>
      <c r="B43" s="6">
        <v>8.0163934430000001</v>
      </c>
      <c r="C43">
        <v>1993</v>
      </c>
      <c r="D43">
        <v>108.5147541</v>
      </c>
      <c r="E43" s="5">
        <v>13.49016393</v>
      </c>
      <c r="F43" s="5">
        <v>12.29508197</v>
      </c>
      <c r="G43" s="5">
        <v>1.1950819669999999</v>
      </c>
      <c r="H43" s="6">
        <v>9.2786885249999997</v>
      </c>
      <c r="I43" s="6">
        <v>88.331147540000003</v>
      </c>
      <c r="J43" s="5">
        <v>389.5983607</v>
      </c>
      <c r="K43" s="5">
        <v>385.4590164</v>
      </c>
      <c r="L43" s="6">
        <v>370.34426230000003</v>
      </c>
      <c r="M43" s="6">
        <v>526.6</v>
      </c>
      <c r="N43" s="6">
        <v>139.62295080000001</v>
      </c>
      <c r="O43" s="6">
        <v>309.29508199999998</v>
      </c>
      <c r="P43" s="6">
        <v>538.31147539999995</v>
      </c>
      <c r="X43"/>
      <c r="Y43"/>
      <c r="AC43"/>
      <c r="AD43"/>
      <c r="AE43"/>
      <c r="AF43"/>
      <c r="AG43"/>
      <c r="AH43"/>
      <c r="AI43"/>
    </row>
    <row r="44" spans="1:35" x14ac:dyDescent="0.25">
      <c r="A44" t="s">
        <v>229</v>
      </c>
      <c r="B44" s="6">
        <v>9.0163934430000001</v>
      </c>
      <c r="C44">
        <v>1994</v>
      </c>
      <c r="D44">
        <v>121.00163929999999</v>
      </c>
      <c r="E44" s="5">
        <v>12.48688525</v>
      </c>
      <c r="F44" s="5">
        <v>11.54262295</v>
      </c>
      <c r="G44" s="5">
        <v>0.94426229500000003</v>
      </c>
      <c r="H44" s="6">
        <v>8.5737704919999995</v>
      </c>
      <c r="I44" s="6">
        <v>93.196721310000001</v>
      </c>
      <c r="J44" s="5">
        <v>482.79344259999999</v>
      </c>
      <c r="K44" s="5">
        <v>388.95081970000001</v>
      </c>
      <c r="L44" s="6">
        <v>375.68852459999999</v>
      </c>
      <c r="M44" s="6">
        <v>528.15789470000004</v>
      </c>
      <c r="N44" s="6">
        <v>141.37704919999999</v>
      </c>
      <c r="O44" s="6">
        <v>304.75409839999998</v>
      </c>
      <c r="P44" s="6">
        <v>538.42622949999998</v>
      </c>
      <c r="X44"/>
      <c r="Y44"/>
      <c r="AC44"/>
      <c r="AD44"/>
      <c r="AE44"/>
      <c r="AF44"/>
      <c r="AG44"/>
      <c r="AH44"/>
      <c r="AI44"/>
    </row>
    <row r="45" spans="1:35" x14ac:dyDescent="0.25">
      <c r="A45" t="s">
        <v>229</v>
      </c>
      <c r="B45" s="6">
        <v>10.01639344</v>
      </c>
      <c r="C45">
        <v>1995</v>
      </c>
      <c r="D45">
        <v>132.19999999999999</v>
      </c>
      <c r="E45" s="5">
        <v>11.198360660000001</v>
      </c>
      <c r="F45" s="5">
        <v>10.43114754</v>
      </c>
      <c r="G45" s="5">
        <v>0.767213115</v>
      </c>
      <c r="H45" s="6">
        <v>7.491803279</v>
      </c>
      <c r="I45" s="6">
        <v>92.978688520000006</v>
      </c>
      <c r="J45" s="5">
        <v>575.76885249999998</v>
      </c>
      <c r="K45" s="5">
        <v>391.73770489999998</v>
      </c>
      <c r="L45" s="6">
        <v>380.40983610000001</v>
      </c>
      <c r="M45" s="6">
        <v>530.40740740000001</v>
      </c>
      <c r="N45" s="6">
        <v>130.6721311</v>
      </c>
      <c r="O45" s="6">
        <v>309.11475410000003</v>
      </c>
      <c r="P45" s="6">
        <v>538.52459020000003</v>
      </c>
      <c r="X45"/>
      <c r="Y45"/>
      <c r="AC45"/>
      <c r="AD45"/>
      <c r="AE45"/>
      <c r="AF45"/>
      <c r="AG45"/>
      <c r="AH45"/>
      <c r="AI45"/>
    </row>
    <row r="46" spans="1:35" x14ac:dyDescent="0.25">
      <c r="A46" t="s">
        <v>229</v>
      </c>
      <c r="B46" s="6">
        <v>11.01639344</v>
      </c>
      <c r="C46">
        <v>1996</v>
      </c>
      <c r="D46">
        <v>143.64426230000001</v>
      </c>
      <c r="E46" s="5">
        <v>11.4442623</v>
      </c>
      <c r="F46" s="5">
        <v>10.25409836</v>
      </c>
      <c r="G46" s="5">
        <v>1.1901639340000001</v>
      </c>
      <c r="H46" s="6">
        <v>10.786885249999999</v>
      </c>
      <c r="I46" s="6">
        <v>101.852459</v>
      </c>
      <c r="J46" s="5">
        <v>677.62459019999994</v>
      </c>
      <c r="K46" s="5">
        <v>384.7704918</v>
      </c>
      <c r="L46" s="6">
        <v>366.3606557</v>
      </c>
      <c r="M46" s="6">
        <v>529.98245610000004</v>
      </c>
      <c r="N46" s="6">
        <v>151.49180329999999</v>
      </c>
      <c r="O46" s="6">
        <v>304.81967209999999</v>
      </c>
      <c r="P46" s="6">
        <v>544.5409836</v>
      </c>
      <c r="X46"/>
      <c r="Y46"/>
      <c r="AC46"/>
      <c r="AD46"/>
      <c r="AE46"/>
      <c r="AF46"/>
      <c r="AG46"/>
      <c r="AH46"/>
      <c r="AI46"/>
    </row>
    <row r="47" spans="1:35" x14ac:dyDescent="0.25">
      <c r="A47" t="s">
        <v>229</v>
      </c>
      <c r="B47" s="6">
        <v>12.01639344</v>
      </c>
      <c r="C47">
        <v>1997</v>
      </c>
      <c r="D47">
        <v>155.82622950000001</v>
      </c>
      <c r="E47" s="5">
        <v>12.18196721</v>
      </c>
      <c r="F47" s="5">
        <v>10.89836066</v>
      </c>
      <c r="G47" s="5">
        <v>1.2836065569999999</v>
      </c>
      <c r="H47" s="6">
        <v>11.180327869999999</v>
      </c>
      <c r="I47" s="6">
        <v>117.2737705</v>
      </c>
      <c r="J47" s="5">
        <v>794.9065574</v>
      </c>
      <c r="K47" s="5">
        <v>395.47540980000002</v>
      </c>
      <c r="L47" s="6">
        <v>378.44262300000003</v>
      </c>
      <c r="M47" s="6">
        <v>531.05357140000001</v>
      </c>
      <c r="N47" s="6">
        <v>138.72131150000001</v>
      </c>
      <c r="O47" s="6">
        <v>322.62295080000001</v>
      </c>
      <c r="P47" s="6">
        <v>544.62295080000001</v>
      </c>
      <c r="X47"/>
      <c r="Y47"/>
      <c r="AC47"/>
      <c r="AD47"/>
      <c r="AE47"/>
      <c r="AF47"/>
      <c r="AG47"/>
      <c r="AH47"/>
      <c r="AI47"/>
    </row>
    <row r="48" spans="1:35" x14ac:dyDescent="0.25">
      <c r="A48" t="s">
        <v>229</v>
      </c>
      <c r="B48" s="6">
        <v>13.01639344</v>
      </c>
      <c r="C48">
        <v>1998</v>
      </c>
      <c r="D48">
        <v>164.05409839999999</v>
      </c>
      <c r="E48" s="5">
        <v>8.2278688520000003</v>
      </c>
      <c r="F48" s="5">
        <v>7.0524590160000002</v>
      </c>
      <c r="G48" s="5">
        <v>1.175409836</v>
      </c>
      <c r="H48" s="6">
        <v>14.508196720000001</v>
      </c>
      <c r="I48" s="6">
        <v>83.462295080000004</v>
      </c>
      <c r="J48" s="5">
        <v>878.36721309999996</v>
      </c>
      <c r="K48" s="5">
        <v>407.78688519999997</v>
      </c>
      <c r="L48" s="6">
        <v>386.42622949999998</v>
      </c>
      <c r="M48" s="6">
        <v>534.38596489999998</v>
      </c>
      <c r="N48" s="6">
        <v>138.2131148</v>
      </c>
      <c r="O48" s="6">
        <v>323.59016389999999</v>
      </c>
      <c r="P48" s="6">
        <v>551.65573770000003</v>
      </c>
      <c r="X48"/>
      <c r="Y48"/>
      <c r="AC48"/>
      <c r="AD48"/>
      <c r="AE48"/>
      <c r="AF48"/>
      <c r="AG48"/>
      <c r="AH48"/>
      <c r="AI48"/>
    </row>
    <row r="49" spans="1:35" x14ac:dyDescent="0.25">
      <c r="A49" t="s">
        <v>229</v>
      </c>
      <c r="B49" s="6">
        <v>14.01639344</v>
      </c>
      <c r="C49">
        <v>1999</v>
      </c>
      <c r="D49">
        <v>173.56065570000001</v>
      </c>
      <c r="E49" s="5">
        <v>9.506557377</v>
      </c>
      <c r="F49" s="5">
        <v>8.8475409840000001</v>
      </c>
      <c r="G49" s="5">
        <v>0.65901639300000003</v>
      </c>
      <c r="H49" s="6">
        <v>7.1147540979999997</v>
      </c>
      <c r="I49" s="6">
        <v>102.44918029999999</v>
      </c>
      <c r="J49" s="5">
        <v>980.81967210000005</v>
      </c>
      <c r="K49" s="5">
        <v>399.9016393</v>
      </c>
      <c r="L49" s="6">
        <v>390</v>
      </c>
      <c r="M49" s="6">
        <v>531.31111109999995</v>
      </c>
      <c r="N49" s="6">
        <v>102.3278689</v>
      </c>
      <c r="O49" s="6">
        <v>334.3278689</v>
      </c>
      <c r="P49" s="6">
        <v>529.63934429999995</v>
      </c>
      <c r="X49"/>
      <c r="Y49"/>
      <c r="AC49"/>
      <c r="AD49"/>
      <c r="AE49"/>
      <c r="AF49"/>
      <c r="AG49"/>
      <c r="AH49"/>
      <c r="AI49"/>
    </row>
    <row r="50" spans="1:35" x14ac:dyDescent="0.25">
      <c r="A50" t="s">
        <v>229</v>
      </c>
      <c r="B50" s="6">
        <v>15.01639344</v>
      </c>
      <c r="C50">
        <v>2000</v>
      </c>
      <c r="D50">
        <v>181.557377</v>
      </c>
      <c r="E50" s="5">
        <v>7.9967213109999999</v>
      </c>
      <c r="F50" s="5">
        <v>7.1852459020000001</v>
      </c>
      <c r="G50" s="5">
        <v>0.81147541000000001</v>
      </c>
      <c r="H50" s="6">
        <v>10.60655738</v>
      </c>
      <c r="I50" s="6">
        <v>89.940983610000004</v>
      </c>
      <c r="J50" s="5">
        <v>1070.7606559999999</v>
      </c>
      <c r="K50" s="5">
        <v>399.85245900000001</v>
      </c>
      <c r="L50" s="6">
        <v>383.98360659999997</v>
      </c>
      <c r="M50" s="6">
        <v>535.84482760000003</v>
      </c>
      <c r="N50" s="6">
        <v>143.0163934</v>
      </c>
      <c r="O50" s="6">
        <v>321.9016393</v>
      </c>
      <c r="P50" s="6">
        <v>549.22950820000005</v>
      </c>
      <c r="X50"/>
      <c r="Y50"/>
      <c r="AC50"/>
      <c r="AD50"/>
      <c r="AE50"/>
      <c r="AF50"/>
      <c r="AG50"/>
      <c r="AH50"/>
      <c r="AI50"/>
    </row>
    <row r="51" spans="1:35" x14ac:dyDescent="0.25">
      <c r="A51" t="s">
        <v>229</v>
      </c>
      <c r="B51" s="6">
        <v>16.016666669999999</v>
      </c>
      <c r="C51">
        <v>2001</v>
      </c>
      <c r="D51">
        <v>190</v>
      </c>
      <c r="E51" s="5">
        <v>7.3</v>
      </c>
      <c r="F51" s="5">
        <v>6.2050000000000001</v>
      </c>
      <c r="G51" s="5">
        <v>1.095</v>
      </c>
      <c r="H51" s="6">
        <v>15.66666667</v>
      </c>
      <c r="I51" s="6">
        <v>86.768333330000004</v>
      </c>
      <c r="J51" s="5">
        <v>1168.69</v>
      </c>
      <c r="K51" s="5">
        <v>417.25</v>
      </c>
      <c r="L51" s="6">
        <v>394.08333329999999</v>
      </c>
      <c r="M51" s="6">
        <v>544.42857140000001</v>
      </c>
      <c r="N51" s="6">
        <v>138.83333329999999</v>
      </c>
      <c r="O51" s="6">
        <v>344.3</v>
      </c>
      <c r="P51" s="6">
        <v>563.6166667</v>
      </c>
      <c r="X51"/>
      <c r="Y51"/>
      <c r="AC51"/>
      <c r="AD51"/>
      <c r="AE51"/>
      <c r="AF51"/>
      <c r="AG51"/>
      <c r="AH51"/>
      <c r="AI51"/>
    </row>
    <row r="52" spans="1:35" x14ac:dyDescent="0.25">
      <c r="A52" t="s">
        <v>229</v>
      </c>
      <c r="B52" s="6">
        <v>17.016666669999999</v>
      </c>
      <c r="C52">
        <v>2002</v>
      </c>
      <c r="D52">
        <v>196.6</v>
      </c>
      <c r="E52" s="5">
        <v>6.6</v>
      </c>
      <c r="F52" s="5">
        <v>5.29</v>
      </c>
      <c r="G52" s="5">
        <v>1.31</v>
      </c>
      <c r="H52" s="6">
        <v>20.81666667</v>
      </c>
      <c r="I52" s="6">
        <v>81.386666669999997</v>
      </c>
      <c r="J52" s="5">
        <v>1250.085</v>
      </c>
      <c r="K52" s="5">
        <v>425.8666667</v>
      </c>
      <c r="L52" s="6">
        <v>392.93333330000002</v>
      </c>
      <c r="M52" s="6">
        <v>550.54237290000003</v>
      </c>
      <c r="N52" s="6">
        <v>154.35</v>
      </c>
      <c r="O52" s="6">
        <v>338.01666669999997</v>
      </c>
      <c r="P52" s="6">
        <v>579.68333329999996</v>
      </c>
      <c r="X52"/>
      <c r="Y52"/>
      <c r="AC52"/>
      <c r="AD52"/>
      <c r="AE52"/>
      <c r="AF52"/>
      <c r="AG52"/>
      <c r="AH52"/>
      <c r="AI52"/>
    </row>
    <row r="53" spans="1:35" x14ac:dyDescent="0.25">
      <c r="A53" t="s">
        <v>229</v>
      </c>
      <c r="B53" s="6">
        <v>18.016666669999999</v>
      </c>
      <c r="C53">
        <v>2003</v>
      </c>
      <c r="D53">
        <v>203.33</v>
      </c>
      <c r="E53" s="5">
        <v>6.73</v>
      </c>
      <c r="F53" s="5">
        <v>6.06</v>
      </c>
      <c r="G53" s="5">
        <v>0.67</v>
      </c>
      <c r="H53" s="6">
        <v>11.06666667</v>
      </c>
      <c r="I53" s="6">
        <v>86.331666670000004</v>
      </c>
      <c r="J53" s="5">
        <v>1336.42</v>
      </c>
      <c r="K53" s="5">
        <v>413.5</v>
      </c>
      <c r="L53" s="6">
        <v>398.03333329999998</v>
      </c>
      <c r="M53" s="6">
        <v>538.62</v>
      </c>
      <c r="N53" s="6">
        <v>115.05</v>
      </c>
      <c r="O53" s="6">
        <v>351.7</v>
      </c>
      <c r="P53" s="6">
        <v>542.1333333</v>
      </c>
      <c r="X53"/>
      <c r="Y53"/>
      <c r="AC53"/>
      <c r="AD53"/>
      <c r="AE53"/>
      <c r="AF53"/>
      <c r="AG53"/>
      <c r="AH53"/>
      <c r="AI53"/>
    </row>
    <row r="54" spans="1:35" x14ac:dyDescent="0.25">
      <c r="A54" t="s">
        <v>229</v>
      </c>
      <c r="B54" s="6">
        <v>19.016666669999999</v>
      </c>
      <c r="C54">
        <v>2004</v>
      </c>
      <c r="D54">
        <v>209.10499999999999</v>
      </c>
      <c r="E54" s="5">
        <v>5.7750000000000004</v>
      </c>
      <c r="F54" s="5">
        <v>4.78</v>
      </c>
      <c r="G54" s="5">
        <v>0.995</v>
      </c>
      <c r="H54" s="6">
        <v>16.93333333</v>
      </c>
      <c r="I54" s="6">
        <v>77.224999999999994</v>
      </c>
      <c r="J54" s="5">
        <v>1413.65</v>
      </c>
      <c r="K54" s="5">
        <v>421.85</v>
      </c>
      <c r="L54" s="6">
        <v>396.91666670000001</v>
      </c>
      <c r="M54" s="6">
        <v>542.7169811</v>
      </c>
      <c r="N54" s="6">
        <v>127.05</v>
      </c>
      <c r="O54" s="6">
        <v>347.93333330000002</v>
      </c>
      <c r="P54" s="6">
        <v>555.16666669999995</v>
      </c>
      <c r="X54"/>
      <c r="Y54"/>
      <c r="AC54"/>
      <c r="AD54"/>
      <c r="AE54"/>
      <c r="AF54"/>
      <c r="AG54"/>
      <c r="AH54"/>
      <c r="AI54"/>
    </row>
    <row r="55" spans="1:35" x14ac:dyDescent="0.25">
      <c r="A55" t="s">
        <v>229</v>
      </c>
      <c r="B55" s="6">
        <v>20.016949149999999</v>
      </c>
      <c r="C55">
        <v>2005</v>
      </c>
      <c r="D55">
        <v>215.2118644</v>
      </c>
      <c r="E55" s="5">
        <v>4.9830508470000003</v>
      </c>
      <c r="F55" s="5">
        <v>4.4694915249999996</v>
      </c>
      <c r="G55" s="5">
        <v>0.51355932199999998</v>
      </c>
      <c r="H55" s="6">
        <v>13.305084750000001</v>
      </c>
      <c r="I55" s="6">
        <v>68.994915250000005</v>
      </c>
      <c r="J55" s="5">
        <v>1495.757627</v>
      </c>
      <c r="K55" s="5">
        <v>421.2542373</v>
      </c>
      <c r="L55" s="6">
        <v>398.61016949999998</v>
      </c>
      <c r="M55" s="6">
        <v>533.88888889999998</v>
      </c>
      <c r="N55" s="6">
        <v>99.915254239999996</v>
      </c>
      <c r="O55" s="6">
        <v>359.67796609999999</v>
      </c>
      <c r="P55" s="6">
        <v>527.71186439999997</v>
      </c>
      <c r="X55"/>
      <c r="Y55"/>
      <c r="AC55"/>
      <c r="AD55"/>
      <c r="AE55"/>
      <c r="AF55"/>
      <c r="AG55"/>
      <c r="AH55"/>
      <c r="AI55"/>
    </row>
    <row r="56" spans="1:35" x14ac:dyDescent="0.25">
      <c r="A56" t="s">
        <v>229</v>
      </c>
      <c r="B56" s="6">
        <v>21.017241380000002</v>
      </c>
      <c r="C56">
        <v>2006</v>
      </c>
      <c r="D56">
        <v>220.00862069999999</v>
      </c>
      <c r="E56" s="5">
        <v>3.6362068970000001</v>
      </c>
      <c r="F56" s="5">
        <v>3.0724137929999999</v>
      </c>
      <c r="G56" s="5">
        <v>0.56379310299999996</v>
      </c>
      <c r="H56" s="6">
        <v>15.913793099999999</v>
      </c>
      <c r="I56" s="6">
        <v>50.796551719999997</v>
      </c>
      <c r="J56" s="5">
        <v>1560.4913790000001</v>
      </c>
      <c r="K56" s="5">
        <v>428.39655169999997</v>
      </c>
      <c r="L56" s="6">
        <v>408.20689659999999</v>
      </c>
      <c r="M56" s="6">
        <v>538.95238099999995</v>
      </c>
      <c r="N56" s="6">
        <v>92.482758619999998</v>
      </c>
      <c r="O56" s="6">
        <v>353.29310340000001</v>
      </c>
      <c r="P56" s="6">
        <v>529.17241379999996</v>
      </c>
      <c r="X56"/>
      <c r="Y56"/>
      <c r="AC56"/>
      <c r="AD56"/>
      <c r="AE56"/>
      <c r="AF56"/>
      <c r="AG56"/>
      <c r="AH56"/>
      <c r="AI56"/>
    </row>
    <row r="57" spans="1:35" x14ac:dyDescent="0.25">
      <c r="A57" t="s">
        <v>229</v>
      </c>
      <c r="B57" s="6">
        <v>22.017241380000002</v>
      </c>
      <c r="C57">
        <v>2007</v>
      </c>
      <c r="D57">
        <v>223.40689660000001</v>
      </c>
      <c r="E57" s="5">
        <v>3.3982758620000002</v>
      </c>
      <c r="F57" s="5">
        <v>2.4310344829999999</v>
      </c>
      <c r="G57" s="5">
        <v>0.96724137899999996</v>
      </c>
      <c r="H57" s="6">
        <v>27.17241379</v>
      </c>
      <c r="I57" s="6">
        <v>48.679310340000001</v>
      </c>
      <c r="J57" s="5">
        <v>1609.1672410000001</v>
      </c>
      <c r="K57" s="5">
        <v>449.93103450000001</v>
      </c>
      <c r="L57" s="6">
        <v>414.5</v>
      </c>
      <c r="M57" s="6">
        <v>548.79999999999995</v>
      </c>
      <c r="N57" s="6">
        <v>113.5517241</v>
      </c>
      <c r="O57" s="6">
        <v>361.01724139999999</v>
      </c>
      <c r="P57" s="6">
        <v>563.32758620000004</v>
      </c>
      <c r="X57"/>
      <c r="Y57"/>
      <c r="AC57"/>
      <c r="AD57"/>
      <c r="AE57"/>
      <c r="AF57"/>
      <c r="AG57"/>
      <c r="AH57"/>
      <c r="AI57"/>
    </row>
    <row r="58" spans="1:35" x14ac:dyDescent="0.25">
      <c r="A58" t="s">
        <v>229</v>
      </c>
      <c r="B58" s="6">
        <v>23.01754386</v>
      </c>
      <c r="C58">
        <v>2008</v>
      </c>
      <c r="D58">
        <v>227.5596491</v>
      </c>
      <c r="E58" s="5">
        <v>4.1210526319999996</v>
      </c>
      <c r="F58" s="5">
        <v>3.4105263159999999</v>
      </c>
      <c r="G58" s="5">
        <v>0.71052631600000005</v>
      </c>
      <c r="H58" s="6">
        <v>17.456140349999998</v>
      </c>
      <c r="I58" s="6">
        <v>59.928070179999999</v>
      </c>
      <c r="J58" s="5">
        <v>1670.273684</v>
      </c>
      <c r="K58" s="5">
        <v>430.01754390000002</v>
      </c>
      <c r="L58" s="6">
        <v>407.87719299999998</v>
      </c>
      <c r="M58" s="6">
        <v>544.16666669999995</v>
      </c>
      <c r="N58" s="6">
        <v>112.52631580000001</v>
      </c>
      <c r="O58" s="6">
        <v>358.4035088</v>
      </c>
      <c r="P58" s="6">
        <v>545.64912279999999</v>
      </c>
      <c r="X58"/>
      <c r="Y58"/>
      <c r="AC58"/>
      <c r="AD58"/>
      <c r="AE58"/>
      <c r="AF58"/>
      <c r="AG58"/>
      <c r="AH58"/>
      <c r="AI58"/>
    </row>
    <row r="59" spans="1:35" x14ac:dyDescent="0.25">
      <c r="A59" t="s">
        <v>229</v>
      </c>
      <c r="B59" s="6">
        <v>24.01754386</v>
      </c>
      <c r="C59">
        <v>2009</v>
      </c>
      <c r="D59">
        <v>231.49649120000001</v>
      </c>
      <c r="E59" s="5">
        <v>3.9368421050000002</v>
      </c>
      <c r="F59" s="5">
        <v>3.010526316</v>
      </c>
      <c r="G59" s="5">
        <v>0.926315789</v>
      </c>
      <c r="H59" s="6">
        <v>23.350877189999999</v>
      </c>
      <c r="I59" s="6">
        <v>58.357894739999999</v>
      </c>
      <c r="J59" s="5">
        <v>1728.6315790000001</v>
      </c>
      <c r="K59" s="5">
        <v>441.64912279999999</v>
      </c>
      <c r="L59" s="6">
        <v>412.17543860000001</v>
      </c>
      <c r="M59" s="6">
        <v>544.48979589999999</v>
      </c>
      <c r="N59" s="6">
        <v>111.98245609999999</v>
      </c>
      <c r="O59" s="6">
        <v>364.4210526</v>
      </c>
      <c r="P59" s="6">
        <v>551.45614039999998</v>
      </c>
      <c r="X59"/>
      <c r="Y59"/>
      <c r="AC59"/>
      <c r="AD59"/>
      <c r="AE59"/>
      <c r="AF59"/>
      <c r="AG59"/>
      <c r="AH59"/>
      <c r="AI59"/>
    </row>
    <row r="60" spans="1:35" x14ac:dyDescent="0.25">
      <c r="A60" t="s">
        <v>229</v>
      </c>
      <c r="B60" s="6">
        <v>25.01754386</v>
      </c>
      <c r="C60">
        <v>2010</v>
      </c>
      <c r="D60">
        <v>235.3070175</v>
      </c>
      <c r="E60" s="5">
        <v>3.8105263159999998</v>
      </c>
      <c r="F60" s="5">
        <v>3.0526315789999998</v>
      </c>
      <c r="G60" s="5">
        <v>0.75789473699999999</v>
      </c>
      <c r="H60" s="6">
        <v>20.1754386</v>
      </c>
      <c r="I60" s="6">
        <v>57.52807018</v>
      </c>
      <c r="J60" s="5">
        <v>1786.1561400000001</v>
      </c>
      <c r="K60" s="5">
        <v>433.80701749999997</v>
      </c>
      <c r="L60" s="6">
        <v>405.5087719</v>
      </c>
      <c r="M60" s="6">
        <v>550.05882350000002</v>
      </c>
      <c r="N60" s="6">
        <v>129.12280699999999</v>
      </c>
      <c r="O60" s="6">
        <v>355.63157890000002</v>
      </c>
      <c r="P60" s="6">
        <v>557.17543860000001</v>
      </c>
      <c r="X60"/>
      <c r="Y60"/>
      <c r="AC60"/>
      <c r="AD60"/>
      <c r="AE60"/>
      <c r="AF60"/>
      <c r="AG60"/>
      <c r="AH60"/>
      <c r="AI60"/>
    </row>
    <row r="61" spans="1:35" x14ac:dyDescent="0.25">
      <c r="A61" t="s">
        <v>229</v>
      </c>
      <c r="B61" s="6">
        <v>26</v>
      </c>
      <c r="C61">
        <v>2011</v>
      </c>
      <c r="D61">
        <v>239.54642860000001</v>
      </c>
      <c r="E61" s="5">
        <v>3.396428571</v>
      </c>
      <c r="F61" s="5">
        <v>2.7749999999999999</v>
      </c>
      <c r="G61" s="5">
        <v>0.62142857100000004</v>
      </c>
      <c r="H61" s="6">
        <v>18.64285714</v>
      </c>
      <c r="I61" s="6">
        <v>52.473214290000001</v>
      </c>
      <c r="J61" s="5">
        <v>1850.6785709999999</v>
      </c>
      <c r="K61" s="5">
        <v>433.07142859999999</v>
      </c>
      <c r="L61" s="6">
        <v>408.17857140000001</v>
      </c>
      <c r="M61" s="6">
        <v>545.97916669999995</v>
      </c>
      <c r="N61" s="6">
        <v>118.0178571</v>
      </c>
      <c r="O61" s="6">
        <v>365.01785710000001</v>
      </c>
      <c r="P61" s="6">
        <v>548.625</v>
      </c>
      <c r="X61"/>
      <c r="Y61"/>
      <c r="AC61"/>
      <c r="AD61"/>
      <c r="AE61"/>
      <c r="AF61"/>
      <c r="AG61"/>
      <c r="AH61"/>
      <c r="AI61"/>
    </row>
    <row r="62" spans="1:35" x14ac:dyDescent="0.25">
      <c r="A62" t="s">
        <v>229</v>
      </c>
      <c r="B62" s="6">
        <v>27</v>
      </c>
      <c r="C62">
        <v>2012</v>
      </c>
      <c r="D62">
        <v>242.10714290000001</v>
      </c>
      <c r="E62" s="5">
        <v>2.5607142860000001</v>
      </c>
      <c r="F62" s="5">
        <v>2.2875000000000001</v>
      </c>
      <c r="G62" s="5">
        <v>0.27321428599999997</v>
      </c>
      <c r="H62" s="6">
        <v>12.83928571</v>
      </c>
      <c r="I62" s="6">
        <v>40.169642860000003</v>
      </c>
      <c r="J62" s="5">
        <v>1890.8446429999999</v>
      </c>
      <c r="K62" s="5">
        <v>419.0892857</v>
      </c>
      <c r="L62" s="6">
        <v>402.10714289999999</v>
      </c>
      <c r="M62" s="6">
        <v>537.63636359999998</v>
      </c>
      <c r="N62" s="6">
        <v>77.303571430000005</v>
      </c>
      <c r="O62" s="6">
        <v>338.375</v>
      </c>
      <c r="P62" s="6">
        <v>508.14285710000001</v>
      </c>
      <c r="X62"/>
      <c r="Y62"/>
      <c r="AC62"/>
      <c r="AD62"/>
      <c r="AE62"/>
      <c r="AF62"/>
      <c r="AG62"/>
      <c r="AH62"/>
      <c r="AI62"/>
    </row>
    <row r="63" spans="1:35" x14ac:dyDescent="0.25">
      <c r="A63" t="s">
        <v>229</v>
      </c>
      <c r="B63" s="6">
        <v>14.67086928</v>
      </c>
      <c r="C63">
        <v>1999.6456539999999</v>
      </c>
      <c r="D63">
        <v>162.85189120000001</v>
      </c>
      <c r="E63" s="5">
        <v>9.5364299930000005</v>
      </c>
      <c r="F63" s="5">
        <v>8.2174518909999996</v>
      </c>
      <c r="G63" s="5">
        <v>0.86775049800000004</v>
      </c>
      <c r="H63" s="6">
        <v>12.597213010000001</v>
      </c>
      <c r="I63" s="6">
        <v>73.171134699999996</v>
      </c>
      <c r="J63" s="5">
        <v>991.64558729999999</v>
      </c>
      <c r="K63" s="5">
        <v>404.65096219999998</v>
      </c>
      <c r="L63" s="6">
        <v>386.31453219999997</v>
      </c>
      <c r="M63" s="6">
        <v>535.5614458</v>
      </c>
      <c r="N63" s="6">
        <v>120.87126739999999</v>
      </c>
      <c r="O63" s="6">
        <v>327.2475116</v>
      </c>
      <c r="P63" s="6">
        <v>539.55806240000004</v>
      </c>
      <c r="X63"/>
      <c r="Y63"/>
      <c r="AC63"/>
      <c r="AD63"/>
      <c r="AE63"/>
      <c r="AF63"/>
      <c r="AG63"/>
      <c r="AH63"/>
      <c r="AI63"/>
    </row>
    <row r="67" spans="1:19" x14ac:dyDescent="0.25">
      <c r="B67" s="5" t="s">
        <v>3</v>
      </c>
      <c r="C67" s="5" t="s">
        <v>41</v>
      </c>
      <c r="D67" s="5" t="s">
        <v>42</v>
      </c>
      <c r="E67" s="5" t="s">
        <v>43</v>
      </c>
      <c r="F67" s="6" t="s">
        <v>44</v>
      </c>
      <c r="G67" s="6" t="s">
        <v>45</v>
      </c>
      <c r="H67" s="6" t="s">
        <v>46</v>
      </c>
      <c r="I67" s="5" t="s">
        <v>47</v>
      </c>
      <c r="J67" s="5" t="s">
        <v>48</v>
      </c>
      <c r="K67" s="6" t="s">
        <v>49</v>
      </c>
      <c r="L67" s="6" t="s">
        <v>50</v>
      </c>
      <c r="M67" s="6" t="s">
        <v>51</v>
      </c>
      <c r="N67" s="6" t="s">
        <v>52</v>
      </c>
      <c r="O67" t="s">
        <v>53</v>
      </c>
    </row>
    <row r="68" spans="1:19" x14ac:dyDescent="0.25">
      <c r="A68" t="s">
        <v>230</v>
      </c>
      <c r="B68" s="6">
        <v>1992</v>
      </c>
      <c r="C68" s="5">
        <v>3.45</v>
      </c>
      <c r="D68" s="5">
        <v>3.45</v>
      </c>
      <c r="E68" s="5">
        <v>3.45</v>
      </c>
      <c r="F68" s="5">
        <v>0</v>
      </c>
      <c r="G68" s="6">
        <v>0</v>
      </c>
      <c r="H68" s="6">
        <v>0.4</v>
      </c>
      <c r="I68" s="5">
        <v>0.4</v>
      </c>
      <c r="J68" s="6">
        <v>290.5</v>
      </c>
      <c r="K68" s="6">
        <v>290.5</v>
      </c>
      <c r="L68" s="6">
        <v>0</v>
      </c>
      <c r="M68" s="6">
        <v>0</v>
      </c>
      <c r="N68" s="6">
        <v>142.5</v>
      </c>
      <c r="O68" s="6">
        <v>397</v>
      </c>
      <c r="P68" s="6"/>
      <c r="Q68" s="6"/>
      <c r="R68" s="6"/>
      <c r="S68" s="6"/>
    </row>
    <row r="69" spans="1:19" x14ac:dyDescent="0.25">
      <c r="A69" t="s">
        <v>230</v>
      </c>
      <c r="B69" s="6">
        <v>1993</v>
      </c>
      <c r="C69" s="5">
        <v>16.97142857</v>
      </c>
      <c r="D69" s="5">
        <v>15.985714290000001</v>
      </c>
      <c r="E69" s="5">
        <v>11.1</v>
      </c>
      <c r="F69" s="5">
        <v>0.6</v>
      </c>
      <c r="G69" s="6">
        <v>5.2857142860000002</v>
      </c>
      <c r="H69" s="6">
        <v>10.67142857</v>
      </c>
      <c r="I69" s="5">
        <v>10.78571429</v>
      </c>
      <c r="J69" s="6">
        <v>377.42857140000001</v>
      </c>
      <c r="K69" s="6">
        <v>367.2857143</v>
      </c>
      <c r="L69" s="6">
        <v>154.2857143</v>
      </c>
      <c r="M69" s="6">
        <v>41.714285709999999</v>
      </c>
      <c r="N69" s="6">
        <v>274.7142857</v>
      </c>
      <c r="O69" s="6">
        <v>468.42857140000001</v>
      </c>
      <c r="P69" s="6"/>
      <c r="Q69" s="6"/>
      <c r="R69" s="6"/>
      <c r="S69" s="6"/>
    </row>
    <row r="70" spans="1:19" x14ac:dyDescent="0.25">
      <c r="A70" t="s">
        <v>230</v>
      </c>
      <c r="B70" s="6">
        <v>1994</v>
      </c>
      <c r="C70" s="5">
        <v>25.0952381</v>
      </c>
      <c r="D70" s="5">
        <v>19.438095239999999</v>
      </c>
      <c r="E70" s="5">
        <v>13.228571430000001</v>
      </c>
      <c r="F70" s="5">
        <v>0.68571428599999995</v>
      </c>
      <c r="G70" s="6">
        <v>3.6666666669999999</v>
      </c>
      <c r="H70" s="6">
        <v>19.419047620000001</v>
      </c>
      <c r="I70" s="5">
        <v>23.004761899999998</v>
      </c>
      <c r="J70" s="6">
        <v>375.23809519999998</v>
      </c>
      <c r="K70" s="6">
        <v>367.85714289999999</v>
      </c>
      <c r="L70" s="6">
        <v>271.7142857</v>
      </c>
      <c r="M70" s="6">
        <v>74.47619048</v>
      </c>
      <c r="N70" s="6">
        <v>279.52380950000003</v>
      </c>
      <c r="O70" s="6">
        <v>500.33333329999999</v>
      </c>
      <c r="P70" s="6"/>
      <c r="Q70" s="6"/>
      <c r="R70" s="6"/>
      <c r="S70" s="6"/>
    </row>
    <row r="71" spans="1:19" x14ac:dyDescent="0.25">
      <c r="A71" t="s">
        <v>230</v>
      </c>
      <c r="B71" s="6">
        <v>1995</v>
      </c>
      <c r="C71" s="5">
        <v>35.964864859999999</v>
      </c>
      <c r="D71" s="5">
        <v>21.721621620000001</v>
      </c>
      <c r="E71" s="5">
        <v>16.191891890000001</v>
      </c>
      <c r="F71" s="5">
        <v>0.90810810799999997</v>
      </c>
      <c r="G71" s="6">
        <v>4.4594594589999996</v>
      </c>
      <c r="H71" s="6">
        <v>35.586486489999999</v>
      </c>
      <c r="I71" s="5">
        <v>48.643243239999997</v>
      </c>
      <c r="J71" s="6">
        <v>366.97297300000002</v>
      </c>
      <c r="K71" s="6">
        <v>358.13513510000001</v>
      </c>
      <c r="L71" s="6">
        <v>380.3513514</v>
      </c>
      <c r="M71" s="6">
        <v>113.8378378</v>
      </c>
      <c r="N71" s="6">
        <v>277.6486486</v>
      </c>
      <c r="O71" s="6">
        <v>520.05405410000003</v>
      </c>
      <c r="P71" s="6"/>
      <c r="Q71" s="6"/>
      <c r="R71" s="6"/>
      <c r="S71" s="6"/>
    </row>
    <row r="72" spans="1:19" x14ac:dyDescent="0.25">
      <c r="A72" t="s">
        <v>230</v>
      </c>
      <c r="B72" s="6">
        <v>1996</v>
      </c>
      <c r="C72" s="5">
        <v>46.8</v>
      </c>
      <c r="D72" s="5">
        <v>20.707843140000001</v>
      </c>
      <c r="E72" s="5">
        <v>17.96470588</v>
      </c>
      <c r="F72" s="5">
        <v>0.48823529399999999</v>
      </c>
      <c r="G72" s="6">
        <v>2.2549019609999998</v>
      </c>
      <c r="H72" s="6">
        <v>48.198039219999998</v>
      </c>
      <c r="I72" s="5">
        <v>83.482352939999998</v>
      </c>
      <c r="J72" s="6">
        <v>366.47058820000001</v>
      </c>
      <c r="K72" s="6">
        <v>361.86274509999998</v>
      </c>
      <c r="L72" s="6">
        <v>325.1176471</v>
      </c>
      <c r="M72" s="6">
        <v>95.39215686</v>
      </c>
      <c r="N72" s="6">
        <v>279.78431369999998</v>
      </c>
      <c r="O72" s="6">
        <v>506.82352939999998</v>
      </c>
      <c r="P72" s="6"/>
      <c r="Q72" s="6"/>
      <c r="R72" s="6"/>
      <c r="S72" s="6"/>
    </row>
    <row r="73" spans="1:19" x14ac:dyDescent="0.25">
      <c r="A73" t="s">
        <v>230</v>
      </c>
      <c r="B73" s="6">
        <v>1997</v>
      </c>
      <c r="C73" s="5">
        <v>58.976785710000001</v>
      </c>
      <c r="D73" s="5">
        <v>16.355357139999999</v>
      </c>
      <c r="E73" s="5">
        <v>13.762499999999999</v>
      </c>
      <c r="F73" s="5">
        <v>1.253571429</v>
      </c>
      <c r="G73" s="6">
        <v>8.8214285710000002</v>
      </c>
      <c r="H73" s="6">
        <v>47.666071430000002</v>
      </c>
      <c r="I73" s="5">
        <v>123.7017857</v>
      </c>
      <c r="J73" s="6">
        <v>387.07142859999999</v>
      </c>
      <c r="K73" s="6">
        <v>372.8392857</v>
      </c>
      <c r="L73" s="6">
        <v>419.94642859999999</v>
      </c>
      <c r="M73" s="6">
        <v>116.3571429</v>
      </c>
      <c r="N73" s="6">
        <v>310.42857140000001</v>
      </c>
      <c r="O73" s="6">
        <v>524.82142859999999</v>
      </c>
      <c r="P73" s="6"/>
      <c r="Q73" s="6"/>
      <c r="R73" s="6"/>
      <c r="S73" s="6"/>
    </row>
    <row r="74" spans="1:19" x14ac:dyDescent="0.25">
      <c r="A74" t="s">
        <v>230</v>
      </c>
      <c r="B74" s="6">
        <v>1998</v>
      </c>
      <c r="C74" s="5">
        <v>69.101754389999996</v>
      </c>
      <c r="D74" s="5">
        <v>11.159649119999999</v>
      </c>
      <c r="E74" s="5">
        <v>10.28947368</v>
      </c>
      <c r="F74" s="5">
        <v>0.69473684199999997</v>
      </c>
      <c r="G74" s="6">
        <v>5.7894736839999998</v>
      </c>
      <c r="H74" s="6">
        <v>42.717543859999999</v>
      </c>
      <c r="I74" s="5">
        <v>164.25438600000001</v>
      </c>
      <c r="J74" s="6">
        <v>376.43859650000002</v>
      </c>
      <c r="K74" s="6">
        <v>367.31578949999999</v>
      </c>
      <c r="L74" s="6">
        <v>374.17543860000001</v>
      </c>
      <c r="M74" s="6">
        <v>108.5087719</v>
      </c>
      <c r="N74" s="6">
        <v>306.38596489999998</v>
      </c>
      <c r="O74" s="6">
        <v>517.10526319999997</v>
      </c>
      <c r="P74" s="6"/>
      <c r="Q74" s="6"/>
      <c r="R74" s="6"/>
      <c r="S74" s="6"/>
    </row>
    <row r="75" spans="1:19" x14ac:dyDescent="0.25">
      <c r="A75" t="s">
        <v>230</v>
      </c>
      <c r="B75" s="6">
        <v>1999</v>
      </c>
      <c r="C75" s="5">
        <v>78.625862069999997</v>
      </c>
      <c r="D75" s="5">
        <v>10.71551724</v>
      </c>
      <c r="E75" s="5">
        <v>9.729310345</v>
      </c>
      <c r="F75" s="5">
        <v>0.84827586200000005</v>
      </c>
      <c r="G75" s="6">
        <v>8.1724137930000005</v>
      </c>
      <c r="H75" s="6">
        <v>46.874137930000003</v>
      </c>
      <c r="I75" s="5">
        <v>208.28793099999999</v>
      </c>
      <c r="J75" s="6">
        <v>392.41379310000002</v>
      </c>
      <c r="K75" s="6">
        <v>380.32758619999998</v>
      </c>
      <c r="L75" s="6">
        <v>407.41379310000002</v>
      </c>
      <c r="M75" s="6">
        <v>109.1724138</v>
      </c>
      <c r="N75" s="6">
        <v>322.4482759</v>
      </c>
      <c r="O75" s="6">
        <v>525.79310339999995</v>
      </c>
      <c r="P75" s="6"/>
      <c r="Q75" s="6"/>
      <c r="R75" s="6"/>
      <c r="S75" s="6"/>
    </row>
    <row r="76" spans="1:19" x14ac:dyDescent="0.25">
      <c r="A76" t="s">
        <v>230</v>
      </c>
      <c r="B76" s="6">
        <v>2000</v>
      </c>
      <c r="C76" s="5">
        <v>90.925862069999994</v>
      </c>
      <c r="D76" s="5">
        <v>12.3</v>
      </c>
      <c r="E76" s="5">
        <v>11.53965517</v>
      </c>
      <c r="F76" s="5">
        <v>0.76034482800000003</v>
      </c>
      <c r="G76" s="6">
        <v>6.051724138</v>
      </c>
      <c r="H76" s="6">
        <v>64.241379309999999</v>
      </c>
      <c r="I76" s="5">
        <v>272.53275860000002</v>
      </c>
      <c r="J76" s="6">
        <v>378.13793099999998</v>
      </c>
      <c r="K76" s="6">
        <v>368.6896552</v>
      </c>
      <c r="L76" s="6">
        <v>414.63793099999998</v>
      </c>
      <c r="M76" s="6">
        <v>121.63793099999999</v>
      </c>
      <c r="N76" s="6">
        <v>307.9482759</v>
      </c>
      <c r="O76" s="6">
        <v>521.74137929999995</v>
      </c>
      <c r="P76" s="6"/>
      <c r="Q76" s="6"/>
      <c r="R76" s="6"/>
      <c r="S76" s="6"/>
    </row>
    <row r="77" spans="1:19" x14ac:dyDescent="0.25">
      <c r="A77" t="s">
        <v>230</v>
      </c>
      <c r="B77" s="6">
        <v>2001</v>
      </c>
      <c r="C77" s="5">
        <v>101.51896549999999</v>
      </c>
      <c r="D77" s="5">
        <v>10.593103449999999</v>
      </c>
      <c r="E77" s="5">
        <v>9.3775862070000002</v>
      </c>
      <c r="F77" s="5">
        <v>1.2155172409999999</v>
      </c>
      <c r="G77" s="6">
        <v>11.741379309999999</v>
      </c>
      <c r="H77" s="6">
        <v>62.815517239999998</v>
      </c>
      <c r="I77" s="5">
        <v>335.34827589999998</v>
      </c>
      <c r="J77" s="6">
        <v>394.82758619999998</v>
      </c>
      <c r="K77" s="6">
        <v>376.56896549999999</v>
      </c>
      <c r="L77" s="6">
        <v>484.62068970000001</v>
      </c>
      <c r="M77" s="6">
        <v>138.1034483</v>
      </c>
      <c r="N77" s="6">
        <v>317.25862069999999</v>
      </c>
      <c r="O77" s="6">
        <v>542.72413789999996</v>
      </c>
      <c r="P77" s="6"/>
      <c r="Q77" s="6"/>
      <c r="R77" s="6"/>
      <c r="S77" s="6"/>
    </row>
    <row r="78" spans="1:19" x14ac:dyDescent="0.25">
      <c r="A78" t="s">
        <v>230</v>
      </c>
      <c r="B78" s="6">
        <v>2002</v>
      </c>
      <c r="C78" s="5">
        <v>112.24137930000001</v>
      </c>
      <c r="D78" s="5">
        <v>10.722413789999999</v>
      </c>
      <c r="E78" s="5">
        <v>9.2172413790000007</v>
      </c>
      <c r="F78" s="5">
        <v>1.505172414</v>
      </c>
      <c r="G78" s="6">
        <v>14.551724139999999</v>
      </c>
      <c r="H78" s="6">
        <v>71.472413790000004</v>
      </c>
      <c r="I78" s="5">
        <v>406.82931029999997</v>
      </c>
      <c r="J78" s="6">
        <v>405.58620689999998</v>
      </c>
      <c r="K78" s="6">
        <v>382.9482759</v>
      </c>
      <c r="L78" s="6">
        <v>467.75862069999999</v>
      </c>
      <c r="M78" s="6">
        <v>129.91379309999999</v>
      </c>
      <c r="N78" s="6">
        <v>316.0517241</v>
      </c>
      <c r="O78" s="6">
        <v>545.32758620000004</v>
      </c>
      <c r="P78" s="6"/>
      <c r="Q78" s="6"/>
      <c r="R78" s="6"/>
      <c r="S78" s="6"/>
    </row>
    <row r="79" spans="1:19" x14ac:dyDescent="0.25">
      <c r="A79" t="s">
        <v>230</v>
      </c>
      <c r="B79" s="6">
        <v>2003</v>
      </c>
      <c r="C79" s="5">
        <v>125.9068966</v>
      </c>
      <c r="D79" s="5">
        <v>13.66551724</v>
      </c>
      <c r="E79" s="5">
        <v>12.537931029999999</v>
      </c>
      <c r="F79" s="5">
        <v>1.127586207</v>
      </c>
      <c r="G79" s="6">
        <v>8.2586206900000008</v>
      </c>
      <c r="H79" s="6">
        <v>102.3810345</v>
      </c>
      <c r="I79" s="5">
        <v>509.21034479999997</v>
      </c>
      <c r="J79" s="6">
        <v>401.41379310000002</v>
      </c>
      <c r="K79" s="6">
        <v>390</v>
      </c>
      <c r="L79" s="6">
        <v>457.77586209999998</v>
      </c>
      <c r="M79" s="6">
        <v>118.0517241</v>
      </c>
      <c r="N79" s="6">
        <v>329.01724139999999</v>
      </c>
      <c r="O79" s="6">
        <v>543.37931030000004</v>
      </c>
      <c r="P79" s="6"/>
      <c r="Q79" s="6"/>
      <c r="R79" s="6"/>
      <c r="S79" s="6"/>
    </row>
    <row r="80" spans="1:19" x14ac:dyDescent="0.25">
      <c r="A80" t="s">
        <v>230</v>
      </c>
      <c r="B80" s="6">
        <v>2004</v>
      </c>
      <c r="C80" s="5">
        <v>140.22931030000001</v>
      </c>
      <c r="D80" s="5">
        <v>14.322413790000001</v>
      </c>
      <c r="E80" s="5">
        <v>12.010344829999999</v>
      </c>
      <c r="F80" s="5">
        <v>2.312068966</v>
      </c>
      <c r="G80" s="6">
        <v>16.67241379</v>
      </c>
      <c r="H80" s="6">
        <v>119.7086207</v>
      </c>
      <c r="I80" s="5">
        <v>628.91551719999995</v>
      </c>
      <c r="J80" s="6">
        <v>417.27586209999998</v>
      </c>
      <c r="K80" s="6">
        <v>395.0517241</v>
      </c>
      <c r="L80" s="6">
        <v>482.91379310000002</v>
      </c>
      <c r="M80" s="6">
        <v>119.6724138</v>
      </c>
      <c r="N80" s="6">
        <v>330.87931029999999</v>
      </c>
      <c r="O80" s="6">
        <v>550.18965519999995</v>
      </c>
      <c r="P80" s="6"/>
      <c r="Q80" s="6"/>
      <c r="R80" s="6"/>
      <c r="S80" s="6"/>
    </row>
    <row r="81" spans="1:19" x14ac:dyDescent="0.25">
      <c r="A81" t="s">
        <v>230</v>
      </c>
      <c r="B81" s="6">
        <v>2005</v>
      </c>
      <c r="C81" s="5">
        <v>153.02068969999999</v>
      </c>
      <c r="D81" s="5">
        <v>12.79137931</v>
      </c>
      <c r="E81" s="5">
        <v>11.746551719999999</v>
      </c>
      <c r="F81" s="5">
        <v>1.044827586</v>
      </c>
      <c r="G81" s="6">
        <v>8</v>
      </c>
      <c r="H81" s="6">
        <v>118.6793103</v>
      </c>
      <c r="I81" s="5">
        <v>747.61034480000001</v>
      </c>
      <c r="J81" s="6">
        <v>406.25862069999999</v>
      </c>
      <c r="K81" s="6">
        <v>395.8103448</v>
      </c>
      <c r="L81" s="6">
        <v>417.79310340000001</v>
      </c>
      <c r="M81" s="6">
        <v>99.258620690000001</v>
      </c>
      <c r="N81" s="6">
        <v>337.89655169999997</v>
      </c>
      <c r="O81" s="6">
        <v>528.15517239999997</v>
      </c>
      <c r="P81" s="6"/>
      <c r="Q81" s="6"/>
      <c r="R81" s="6"/>
      <c r="S81" s="6"/>
    </row>
    <row r="82" spans="1:19" x14ac:dyDescent="0.25">
      <c r="A82" t="s">
        <v>230</v>
      </c>
      <c r="B82" s="6">
        <v>2006</v>
      </c>
      <c r="C82" s="5">
        <v>161.67413790000001</v>
      </c>
      <c r="D82" s="5">
        <v>8.6534482760000007</v>
      </c>
      <c r="E82" s="5">
        <v>7.7948275860000003</v>
      </c>
      <c r="F82" s="5">
        <v>0.85862068999999996</v>
      </c>
      <c r="G82" s="6">
        <v>10.01724138</v>
      </c>
      <c r="H82" s="6">
        <v>85.243103450000007</v>
      </c>
      <c r="I82" s="5">
        <v>832.85689660000003</v>
      </c>
      <c r="J82" s="6">
        <v>406.27586209999998</v>
      </c>
      <c r="K82" s="6">
        <v>392.60344830000003</v>
      </c>
      <c r="L82" s="6">
        <v>381.51724139999999</v>
      </c>
      <c r="M82" s="6">
        <v>93.637931030000004</v>
      </c>
      <c r="N82" s="6">
        <v>328.60344830000003</v>
      </c>
      <c r="O82" s="6">
        <v>521</v>
      </c>
      <c r="P82" s="6"/>
      <c r="Q82" s="6"/>
      <c r="R82" s="6"/>
      <c r="S82" s="6"/>
    </row>
    <row r="83" spans="1:19" x14ac:dyDescent="0.25">
      <c r="A83" t="s">
        <v>230</v>
      </c>
      <c r="B83" s="6">
        <v>2007</v>
      </c>
      <c r="C83" s="5">
        <v>170.29137929999999</v>
      </c>
      <c r="D83" s="5">
        <v>8.6172413789999993</v>
      </c>
      <c r="E83" s="5">
        <v>6.853448276</v>
      </c>
      <c r="F83" s="5">
        <v>1.763793103</v>
      </c>
      <c r="G83" s="6">
        <v>20.12068966</v>
      </c>
      <c r="H83" s="6">
        <v>91.296551719999997</v>
      </c>
      <c r="I83" s="5">
        <v>924.14655170000003</v>
      </c>
      <c r="J83" s="6">
        <v>436.93103450000001</v>
      </c>
      <c r="K83" s="6">
        <v>411.9482759</v>
      </c>
      <c r="L83" s="6">
        <v>481.72413790000002</v>
      </c>
      <c r="M83" s="6">
        <v>110.7241379</v>
      </c>
      <c r="N83" s="6">
        <v>351.67241380000002</v>
      </c>
      <c r="O83" s="6">
        <v>555.58620689999998</v>
      </c>
      <c r="P83" s="6"/>
      <c r="Q83" s="6"/>
      <c r="R83" s="6"/>
      <c r="S83" s="6"/>
    </row>
    <row r="84" spans="1:19" x14ac:dyDescent="0.25">
      <c r="A84" t="s">
        <v>230</v>
      </c>
      <c r="B84" s="6">
        <v>2008</v>
      </c>
      <c r="C84" s="5">
        <v>179.35862069999999</v>
      </c>
      <c r="D84" s="5">
        <v>9.0672413790000004</v>
      </c>
      <c r="E84" s="5">
        <v>8.6224137929999998</v>
      </c>
      <c r="F84" s="5">
        <v>0.444827586</v>
      </c>
      <c r="G84" s="6">
        <v>4.8793103450000004</v>
      </c>
      <c r="H84" s="6">
        <v>100.4637931</v>
      </c>
      <c r="I84" s="5">
        <v>1024.612069</v>
      </c>
      <c r="J84" s="6">
        <v>399.10344830000003</v>
      </c>
      <c r="K84" s="6">
        <v>393.8103448</v>
      </c>
      <c r="L84" s="6">
        <v>198.74137930000001</v>
      </c>
      <c r="M84" s="6">
        <v>42.551724139999997</v>
      </c>
      <c r="N84" s="6">
        <v>338.87931029999999</v>
      </c>
      <c r="O84" s="6">
        <v>486.39655169999997</v>
      </c>
      <c r="P84" s="6"/>
      <c r="Q84" s="6"/>
      <c r="R84" s="6"/>
      <c r="S84" s="6"/>
    </row>
    <row r="85" spans="1:19" x14ac:dyDescent="0.25">
      <c r="A85" t="s">
        <v>230</v>
      </c>
      <c r="B85" s="6">
        <v>2009</v>
      </c>
      <c r="C85" s="5">
        <v>184.24137930000001</v>
      </c>
      <c r="D85" s="5">
        <v>4.8827586209999998</v>
      </c>
      <c r="E85" s="5">
        <v>3.8689655169999999</v>
      </c>
      <c r="F85" s="5">
        <v>1.013793103</v>
      </c>
      <c r="G85" s="6">
        <v>22.03448276</v>
      </c>
      <c r="H85" s="6">
        <v>56.401724139999999</v>
      </c>
      <c r="I85" s="5">
        <v>1081.0137930000001</v>
      </c>
      <c r="J85" s="6">
        <v>434.6896552</v>
      </c>
      <c r="K85" s="6">
        <v>405.32758619999998</v>
      </c>
      <c r="L85" s="6">
        <v>465.43103450000001</v>
      </c>
      <c r="M85" s="6">
        <v>114.6206897</v>
      </c>
      <c r="N85" s="6">
        <v>351.43103450000001</v>
      </c>
      <c r="O85" s="6">
        <v>545.18965519999995</v>
      </c>
      <c r="P85" s="6"/>
      <c r="Q85" s="6"/>
      <c r="R85" s="6"/>
      <c r="S85" s="6"/>
    </row>
    <row r="86" spans="1:19" x14ac:dyDescent="0.25">
      <c r="A86" t="s">
        <v>230</v>
      </c>
      <c r="B86" s="6">
        <v>2010</v>
      </c>
      <c r="C86" s="5">
        <v>190.5</v>
      </c>
      <c r="D86" s="5">
        <v>6.7125000000000004</v>
      </c>
      <c r="E86" s="5">
        <v>5.1803571430000002</v>
      </c>
      <c r="F86" s="5">
        <v>1.532142857</v>
      </c>
      <c r="G86" s="6">
        <v>22.714285709999999</v>
      </c>
      <c r="H86" s="6">
        <v>80.326785709999996</v>
      </c>
      <c r="I86" s="5">
        <v>1156.126786</v>
      </c>
      <c r="J86" s="6">
        <v>436.9107143</v>
      </c>
      <c r="K86" s="6">
        <v>407.44642859999999</v>
      </c>
      <c r="L86" s="6">
        <v>499.5892857</v>
      </c>
      <c r="M86" s="6">
        <v>119.6785714</v>
      </c>
      <c r="N86" s="6">
        <v>356.9642857</v>
      </c>
      <c r="O86" s="6">
        <v>553.5892857</v>
      </c>
      <c r="P86" s="6"/>
      <c r="Q86" s="6"/>
      <c r="R86" s="6"/>
      <c r="S86" s="6"/>
    </row>
    <row r="87" spans="1:19" x14ac:dyDescent="0.25">
      <c r="A87" t="s">
        <v>230</v>
      </c>
      <c r="B87" s="6">
        <v>2011</v>
      </c>
      <c r="C87" s="5">
        <v>197.45357139999999</v>
      </c>
      <c r="D87" s="5">
        <v>6.9535714290000001</v>
      </c>
      <c r="E87" s="5">
        <v>6.3964285710000004</v>
      </c>
      <c r="F87" s="5">
        <v>0.55714285699999999</v>
      </c>
      <c r="G87" s="6">
        <v>7.5535714289999998</v>
      </c>
      <c r="H87" s="6">
        <v>86.126785709999993</v>
      </c>
      <c r="I87" s="5">
        <v>1242.251786</v>
      </c>
      <c r="J87" s="6">
        <v>405.0357143</v>
      </c>
      <c r="K87" s="6">
        <v>396.64285710000001</v>
      </c>
      <c r="L87" s="6">
        <v>264.05357140000001</v>
      </c>
      <c r="M87" s="6">
        <v>59.089285709999999</v>
      </c>
      <c r="N87" s="6">
        <v>347.0357143</v>
      </c>
      <c r="O87" s="6">
        <v>500.67857140000001</v>
      </c>
      <c r="P87" s="6"/>
      <c r="Q87" s="6"/>
      <c r="R87" s="6"/>
      <c r="S87" s="6"/>
    </row>
    <row r="88" spans="1:19" x14ac:dyDescent="0.25">
      <c r="A88" t="s">
        <v>230</v>
      </c>
      <c r="B88" s="6">
        <v>2012</v>
      </c>
      <c r="C88" s="5">
        <v>200.7857143</v>
      </c>
      <c r="D88" s="5">
        <v>3.332142857</v>
      </c>
      <c r="E88" s="5">
        <v>3.042857143</v>
      </c>
      <c r="F88" s="5">
        <v>0.28928571400000003</v>
      </c>
      <c r="G88" s="6">
        <v>8.5178571430000005</v>
      </c>
      <c r="H88" s="6">
        <v>42.892857139999997</v>
      </c>
      <c r="I88" s="5">
        <v>1285.1553570000001</v>
      </c>
      <c r="J88" s="6">
        <v>407.69642859999999</v>
      </c>
      <c r="K88" s="6">
        <v>398.67857140000001</v>
      </c>
      <c r="L88" s="6">
        <v>232.3392857</v>
      </c>
      <c r="M88" s="6">
        <v>48.392857139999997</v>
      </c>
      <c r="N88" s="6">
        <v>328.35714289999999</v>
      </c>
      <c r="O88" s="6">
        <v>483.82142859999999</v>
      </c>
      <c r="P88" s="6"/>
      <c r="Q88" s="6"/>
      <c r="R88" s="6"/>
      <c r="S88" s="6"/>
    </row>
    <row r="89" spans="1:19" x14ac:dyDescent="0.25">
      <c r="A89" t="s">
        <v>230</v>
      </c>
      <c r="B89" s="6">
        <v>2003.4117650000001</v>
      </c>
      <c r="C89" s="5">
        <v>126.77637420000001</v>
      </c>
      <c r="D89" s="5">
        <v>11.222661520000001</v>
      </c>
      <c r="E89" s="5">
        <v>9.6864995179999998</v>
      </c>
      <c r="F89" s="5">
        <v>1.0298939250000001</v>
      </c>
      <c r="G89" s="6">
        <v>10.56798457</v>
      </c>
      <c r="H89" s="6">
        <v>71.765863069999995</v>
      </c>
      <c r="I89" s="5">
        <v>610.9195757</v>
      </c>
      <c r="J89" s="6">
        <v>401.0732883</v>
      </c>
      <c r="K89" s="6">
        <v>386.45419479999998</v>
      </c>
      <c r="L89" s="6">
        <v>393.78881389999998</v>
      </c>
      <c r="M89" s="6">
        <v>102.0260366</v>
      </c>
      <c r="N89" s="6">
        <v>323.954677</v>
      </c>
      <c r="O89" s="6">
        <v>525.42526520000001</v>
      </c>
      <c r="P89" s="6"/>
      <c r="Q89" s="6"/>
      <c r="R89" s="6"/>
      <c r="S89" s="6"/>
    </row>
  </sheetData>
  <sortState xmlns:xlrd2="http://schemas.microsoft.com/office/spreadsheetml/2017/richdata2" columnSort="1" ref="C1:CA30">
    <sortCondition ref="C1:CA1"/>
    <sortCondition ref="C2:CA2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c7b2a-e338-4788-b809-a191b86cdea0}" enabled="0" method="" siteId="{912c7b2a-e338-4788-b809-a191b86cdea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4</vt:i4>
      </vt:variant>
    </vt:vector>
  </HeadingPairs>
  <TitlesOfParts>
    <vt:vector size="8" baseType="lpstr">
      <vt:lpstr>Sheet1</vt:lpstr>
      <vt:lpstr>Subtot data</vt:lpstr>
      <vt:lpstr>Subtot avgs</vt:lpstr>
      <vt:lpstr>Graph data</vt:lpstr>
      <vt:lpstr>Chart - 5 plots ring wid</vt:lpstr>
      <vt:lpstr>Chart - 5 plots basal area incr</vt:lpstr>
      <vt:lpstr>Chart- 5 plots basal area cumul</vt:lpstr>
      <vt:lpstr>Chart - 5 plots ring den</vt:lpstr>
    </vt:vector>
  </TitlesOfParts>
  <Company>Scion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 McKinley</dc:creator>
  <cp:lastModifiedBy>Russell McKinley</cp:lastModifiedBy>
  <dcterms:created xsi:type="dcterms:W3CDTF">2013-01-30T03:33:25Z</dcterms:created>
  <dcterms:modified xsi:type="dcterms:W3CDTF">2026-06-09T03:52:33Z</dcterms:modified>
</cp:coreProperties>
</file>